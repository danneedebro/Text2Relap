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7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B310" i="4" l="1"/>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<sst xmlns="http://schemas.openxmlformats.org/spreadsheetml/2006/main" count="2178" uniqueCount="431">
  <si>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</si>
  <si>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</si>
  <si>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</si>
  <si>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</si>
  <si>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</si>
  <si>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</si>
  <si>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</si>
  <si>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</si>
  <si>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</si>
  <si>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</si>
  <si>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</si>
  <si>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</si>
  <si>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</si>
  <si>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</si>
  <si>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</si>
  <si>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</si>
  <si>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</si>
  <si>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</si>
  <si>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</si>
  <si>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</si>
  <si>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</si>
  <si>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</si>
  <si>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</si>
  <si>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</si>
  <si>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</si>
  <si>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</si>
  <si>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</si>
  <si>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</si>
  <si>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</si>
  <si>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</si>
  <si>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</si>
  <si>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</si>
  <si>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</si>
  <si>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</si>
  <si>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</si>
  <si>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</si>
  <si>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</si>
  <si>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</si>
  <si>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</si>
  <si>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</si>
  <si>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</si>
  <si>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</si>
  <si>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</si>
  <si>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</si>
  <si>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</si>
  <si>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</si>
  <si>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</si>
  <si>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</si>
  <si>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</si>
  <si>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</si>
  <si>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</si>
  <si>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</si>
  <si>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</si>
  <si>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</si>
  <si>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</si>
  <si>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</si>
  <si>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</si>
  <si>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</si>
  <si>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</si>
  <si>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</si>
  <si>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</si>
  <si>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</si>
  <si>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</si>
  <si>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</si>
  <si>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</si>
  <si>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</si>
  <si>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</si>
  <si>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</si>
  <si>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</si>
  <si>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</si>
  <si>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</si>
  <si>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</si>
  <si>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</si>
  <si>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</si>
  <si>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</si>
  <si>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</si>
  <si>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</si>
  <si>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</si>
  <si>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</si>
  <si>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</si>
  <si>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</si>
  <si>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</si>
  <si>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</si>
  <si>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</si>
  <si>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</si>
  <si>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</si>
  <si>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</si>
  <si>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</si>
  <si>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</si>
  <si>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</si>
  <si>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</si>
  <si>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</si>
  <si>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</si>
  <si>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</si>
  <si>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</si>
  <si>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</si>
  <si>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</si>
  <si>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</si>
  <si>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</si>
  <si>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</si>
  <si>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</si>
  <si>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</si>
  <si>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</si>
  <si>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</si>
  <si>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</si>
  <si>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</si>
  <si>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</si>
  <si>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</si>
  <si>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</si>
  <si>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</si>
  <si>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</si>
  <si>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</si>
  <si>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</si>
  <si>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</si>
  <si>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</si>
  <si>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</si>
  <si>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</si>
  <si>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</si>
  <si>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</si>
  <si>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</si>
  <si>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</si>
  <si>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</si>
  <si>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</si>
  <si>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</si>
  <si>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</si>
  <si>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</si>
  <si>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</si>
  <si>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</si>
  <si>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</si>
  <si>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</si>
  <si>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</si>
  <si>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</si>
  <si>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</si>
  <si>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</si>
  <si>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</si>
  <si>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</si>
  <si>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</si>
  <si>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</si>
  <si>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</si>
  <si>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</si>
  <si>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</si>
  <si>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</si>
  <si>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</si>
  <si>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</si>
  <si>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</si>
  <si>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</si>
  <si>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</si>
  <si>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</si>
  <si>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</si>
  <si>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</si>
  <si>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</si>
  <si>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</si>
  <si>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</si>
  <si>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</si>
  <si>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</si>
  <si>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</si>
  <si>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</si>
  <si>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</si>
  <si>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</si>
  <si>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</si>
  <si>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</si>
  <si>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</si>
  <si>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</si>
  <si>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</si>
  <si>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</si>
  <si>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</si>
  <si>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</si>
  <si>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</si>
  <si>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</si>
  <si>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</si>
  <si>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</si>
  <si>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</si>
  <si>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</si>
  <si>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</si>
  <si>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</si>
  <si>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</si>
  <si>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</si>
  <si>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</si>
  <si>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</si>
  <si>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</si>
  <si>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</si>
  <si>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</si>
  <si>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</si>
  <si>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</si>
  <si>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</si>
  <si>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</si>
  <si>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</si>
  <si>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</si>
  <si>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</si>
  <si>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</si>
  <si>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</si>
  <si>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</si>
  <si>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</si>
  <si>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</si>
  <si>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</si>
  <si>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</si>
  <si>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</si>
  <si>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</si>
  <si>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</si>
  <si>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</si>
  <si>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</si>
  <si>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</si>
  <si>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</si>
  <si>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</si>
  <si>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</si>
  <si>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</si>
  <si>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</si>
  <si>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</si>
  <si>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</si>
  <si>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</si>
  <si>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</si>
  <si>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</si>
  <si>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</si>
  <si>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</si>
  <si>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</si>
  <si>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</si>
  <si>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</si>
  <si>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</si>
  <si>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</si>
  <si>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</si>
  <si>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</si>
  <si>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</si>
  <si>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</si>
  <si>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</si>
  <si>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</si>
  <si>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</si>
  <si>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</si>
  <si>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</si>
  <si>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</si>
  <si>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</si>
  <si>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</si>
  <si>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</si>
  <si>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</si>
  <si>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</si>
  <si>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</si>
  <si>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</si>
  <si>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</si>
  <si>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</si>
  <si>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</si>
  <si>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</si>
  <si>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</si>
  <si>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</si>
  <si>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</si>
  <si>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</si>
  <si>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</si>
  <si>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</si>
  <si>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</si>
  <si>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</si>
  <si>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</si>
  <si>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</si>
  <si>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</si>
  <si>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</si>
  <si>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</si>
  <si>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</si>
  <si>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</si>
  <si>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</si>
  <si>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</si>
  <si>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</si>
  <si>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</si>
  <si>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</si>
  <si>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</si>
  <si>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</si>
  <si>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</si>
  <si>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</si>
  <si>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</si>
  <si>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</si>
  <si>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</si>
  <si>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</si>
  <si>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</si>
  <si>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</si>
  <si>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</si>
  <si>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mflowj</t>
  </si>
  <si>
    <t>p</t>
  </si>
  <si>
    <t>vlvstem</t>
  </si>
  <si>
    <t>pmpvel</t>
  </si>
  <si>
    <t>Case2</t>
  </si>
  <si>
    <t>Replacements</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</si>
  <si>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</si>
  <si>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</si>
  <si>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</si>
  <si>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</si>
  <si>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</si>
  <si>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</si>
  <si>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</si>
  <si>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</si>
  <si>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</si>
  <si>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</si>
  <si>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</si>
  <si>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</si>
  <si>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</si>
  <si>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</si>
  <si>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</si>
  <si>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</si>
  <si>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</si>
  <si>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</si>
  <si>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</si>
  <si>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</si>
  <si>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</si>
  <si>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</si>
  <si>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</si>
  <si>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</si>
  <si>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</si>
  <si>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</si>
  <si>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</si>
  <si>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</si>
  <si>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</si>
  <si>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</si>
  <si>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</si>
  <si>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</si>
  <si>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</si>
  <si>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</si>
  <si>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</si>
  <si>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</si>
  <si>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</si>
  <si>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</si>
  <si>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</si>
  <si>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</si>
  <si>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</si>
  <si>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</si>
  <si>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</si>
  <si>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</si>
  <si>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</si>
  <si>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</si>
  <si>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</si>
  <si>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</si>
  <si>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</si>
  <si>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</si>
  <si>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</si>
  <si>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</si>
  <si>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</si>
  <si>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</si>
  <si>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</si>
  <si>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</si>
  <si>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</si>
  <si>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</si>
  <si>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</si>
  <si>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</si>
  <si>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</si>
  <si>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</si>
  <si>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</si>
  <si>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</si>
  <si>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</si>
  <si>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</si>
  <si>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</si>
  <si>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</si>
  <si>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</si>
  <si>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</si>
  <si>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</si>
  <si>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</si>
  <si>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</si>
  <si>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</si>
  <si>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</si>
  <si>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</si>
  <si>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</si>
  <si>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</si>
  <si>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</si>
  <si>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</si>
  <si>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</si>
  <si>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</si>
  <si>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</si>
  <si>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</si>
  <si>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</si>
  <si>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</si>
  <si>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</si>
  <si>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</si>
  <si>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</si>
  <si>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</si>
  <si>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</si>
  <si>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</si>
  <si>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</si>
  <si>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</si>
  <si>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</si>
  <si>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</si>
  <si>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</si>
  <si>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</si>
  <si>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</si>
  <si>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</si>
  <si>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</si>
  <si>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</si>
  <si>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</si>
  <si>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</si>
  <si>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</si>
  <si>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</si>
  <si>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</si>
  <si>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</si>
  <si>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</si>
  <si>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</si>
  <si>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</si>
  <si>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</si>
  <si>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</si>
  <si>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</si>
  <si>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</si>
  <si>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</si>
  <si>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</si>
  <si>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</si>
  <si>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</si>
  <si>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</si>
  <si>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</si>
  <si>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</si>
  <si>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</si>
  <si>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</si>
  <si>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</si>
  <si>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</si>
  <si>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</si>
  <si>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</si>
  <si>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</si>
  <si>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</si>
  <si>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</si>
  <si>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</si>
  <si>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</si>
  <si>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</si>
  <si>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</si>
  <si>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</si>
  <si>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</si>
  <si>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</si>
  <si>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</si>
  <si>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</si>
  <si>
    <t>Group</t>
  </si>
  <si>
    <t>Channels</t>
  </si>
  <si>
    <t>X</t>
  </si>
  <si>
    <t>time-0</t>
  </si>
  <si>
    <t>Time (s)</t>
  </si>
  <si>
    <t>LabelDefault</t>
  </si>
  <si>
    <t>mflowj-</t>
  </si>
  <si>
    <t>Mass flow (kg/s)</t>
  </si>
  <si>
    <t>p-</t>
  </si>
  <si>
    <t>Pressure (Pa)</t>
  </si>
  <si>
    <t>temp</t>
  </si>
  <si>
    <t>Temperature (K)</t>
  </si>
  <si>
    <t>void</t>
  </si>
  <si>
    <t>Void fraction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</si>
</sst>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49"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8">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38">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5"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6" fillId="0" borderId="0" xfId="0" applyNumberFormat="1" applyFont="1"/>
    <xf numFmtId="0" fontId="8" fillId="7" borderId="2" xfId="31" applyAlignment="1">
      <alignment horizontal="left" vertical="top" wrapText="1"/>
    </xf>
    <xf numFmtId="0" fontId="17" fillId="17" borderId="9" xfId="41" applyAlignment="1">
      <alignment horizontal="left"/>
    </xf>
    <xf numFmtId="0" fontId="47"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7"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4" xfId="31" applyBorder="1" applyAlignment="1">
      <alignment horizontal="center"/>
    </xf>
    <xf numFmtId="11" fontId="8" fillId="7" borderId="14" xfId="31" applyNumberFormat="1" applyBorder="1" applyAlignment="1">
      <alignment horizontal="center"/>
    </xf>
    <xf numFmtId="0" fontId="32" fillId="25" borderId="16" xfId="0" applyFont="1" applyFill="1" applyBorder="1" applyAlignment="1">
      <alignment horizontal="center"/>
    </xf>
    <xf numFmtId="0" fontId="32" fillId="25" borderId="17" xfId="0" applyFont="1" applyFill="1" applyBorder="1" applyAlignment="1">
      <alignment horizontal="center"/>
    </xf>
    <xf numFmtId="0" fontId="48" fillId="25" borderId="15"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xmlns=""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xmlns=""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xmlns=""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xmlns=""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xmlns=""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xmlns=""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xmlns=""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xmlns=""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xmlns=""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xmlns=""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xmlns=""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xmlns=""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xmlns=""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xmlns=""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xmlns=""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xmlns=""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xmlns=""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xmlns=""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xmlns=""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xmlns=""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xmlns=""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xmlns=""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xmlns=""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xmlns=""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xmlns=""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xmlns=""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xmlns=""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xmlns=""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xmlns=""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xmlns=""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xmlns=""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xmlns=""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xmlns=""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xmlns=""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xmlns=""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xmlns=""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xmlns=""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xmlns=""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xmlns=""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xmlns=""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xmlns=""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xmlns=""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xmlns=""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xmlns=""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xmlns=""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xmlns=""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xmlns=""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xmlns=""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xmlns=""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xmlns=""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xmlns=""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xmlns=""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xmlns=""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xmlns=""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xmlns=""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xmlns=""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xmlns=""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xmlns=""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xmlns=""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xmlns=""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xmlns=""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xmlns=""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xmlns=""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xmlns=""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xmlns=""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xmlns=""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xmlns=""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xmlns=""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xmlns=""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xmlns=""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xmlns=""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xmlns=""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xmlns=""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xmlns=""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xmlns=""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xmlns=""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xmlns=""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xmlns=""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xmlns=""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xmlns=""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xmlns=""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xmlns=""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xmlns=""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xmlns=""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xmlns=""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xmlns=""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xmlns=""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xmlns=""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xmlns=""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xmlns=""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xmlns=""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xmlns=""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xmlns=""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xmlns=""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xmlns=""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xmlns=""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xmlns=""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xmlns=""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xmlns=""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xmlns=""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Create strip request file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Normal="100" workbookViewId="0">
      <pane xSplit="22" ySplit="2" topLeftCell="W33" activePane="bottomRight" state="frozenSplit"/>
      <selection pane="topRight" activeCell="M1" sqref="M1"/>
      <selection pane="bottomLeft" activeCell="A3" sqref="A3"/>
      <selection pane="bottomRight" activeCell="B44" sqref="B44"/>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289</v>
      </c>
      <c r="B1" s="2" t="s">
        <v>306</v>
      </c>
      <c r="C1" s="3" t="s">
        <v>290</v>
      </c>
      <c r="D1" s="3" t="s">
        <v>3</v>
      </c>
      <c r="E1" s="4" t="s">
        <v>4</v>
      </c>
      <c r="F1" s="5" t="s">
        <v>291</v>
      </c>
      <c r="G1" s="5" t="s">
        <v>292</v>
      </c>
      <c r="H1" s="5" t="s">
        <v>7</v>
      </c>
      <c r="I1" s="5" t="s">
        <v>8</v>
      </c>
      <c r="J1" s="1" t="s">
        <v>281</v>
      </c>
      <c r="K1" s="1" t="s">
        <v>293</v>
      </c>
      <c r="L1" s="6" t="s">
        <v>288</v>
      </c>
      <c r="M1" s="2" t="s">
        <v>294</v>
      </c>
      <c r="N1" s="2" t="s">
        <v>295</v>
      </c>
      <c r="O1" s="7" t="s">
        <v>296</v>
      </c>
      <c r="P1" s="7" t="s">
        <v>297</v>
      </c>
      <c r="Q1" s="8" t="s">
        <v>312</v>
      </c>
      <c r="R1" s="9" t="s">
        <v>298</v>
      </c>
      <c r="S1" s="9" t="s">
        <v>299</v>
      </c>
      <c r="T1" s="9" t="s">
        <v>300</v>
      </c>
      <c r="U1" s="9" t="s">
        <v>314</v>
      </c>
      <c r="V1" s="9" t="s">
        <v>315</v>
      </c>
      <c r="W1" s="9" t="s">
        <v>301</v>
      </c>
      <c r="X1" s="5" t="s">
        <v>22</v>
      </c>
      <c r="Y1" s="9" t="s">
        <v>23</v>
      </c>
      <c r="Z1" s="9"/>
      <c r="AA1" s="10"/>
    </row>
    <row r="2" spans="1:27" ht="27" customHeight="1" x14ac:dyDescent="0.3">
      <c r="A2" s="64" t="s">
        <v>266</v>
      </c>
      <c r="B2" s="59">
        <v>3</v>
      </c>
      <c r="C2" s="60"/>
      <c r="D2" s="65" t="s">
        <v>310</v>
      </c>
      <c r="E2" s="66" t="str">
        <f>INDEX(TestMatrixNames,CurrentIndex)</f>
        <v>Case3</v>
      </c>
      <c r="F2" s="94" t="s">
        <v>311</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415</v>
      </c>
      <c r="J3" s="16"/>
      <c r="R3" s="13"/>
    </row>
    <row r="4" spans="1:27" ht="18.75" x14ac:dyDescent="0.3">
      <c r="A4" s="38" t="s">
        <v>287</v>
      </c>
      <c r="B4" s="103" t="str">
        <f>HYPERLINK(INDEX(TestMatrixFilenames,CurrentIndex))</f>
        <v>Case3\Case3.i</v>
      </c>
      <c r="E4" s="109" t="str">
        <f>CONCATENATE("Create ","""",B4,"""")</f>
        <v>Create "Case3\Case3.i"</v>
      </c>
      <c r="R4" s="13"/>
    </row>
    <row r="5" spans="1:27" x14ac:dyDescent="0.25">
      <c r="A5" s="26" t="s">
        <v>24</v>
      </c>
      <c r="B5" s="12" t="str">
        <f>INDEX(TestMatrixNames,CurrentIndex)</f>
        <v>Case3</v>
      </c>
      <c r="G5" s="23"/>
      <c r="H5" s="23"/>
      <c r="I5" s="23"/>
      <c r="J5" s="99"/>
      <c r="K5" s="24"/>
      <c r="L5" s="24"/>
      <c r="M5" s="20"/>
      <c r="N5" s="20"/>
      <c r="O5" s="20"/>
      <c r="P5" s="20"/>
      <c r="Q5" s="25"/>
      <c r="R5" s="21"/>
      <c r="S5" s="23"/>
      <c r="T5" s="23"/>
      <c r="U5" s="23"/>
      <c r="V5" s="23"/>
      <c r="W5" s="19"/>
    </row>
    <row r="6" spans="1:27" x14ac:dyDescent="0.25">
      <c r="A6" s="26" t="s">
        <v>25</v>
      </c>
      <c r="B6" s="99" t="str">
        <f>HYPERLINK("include\")</f>
        <v>include\</v>
      </c>
      <c r="G6" s="23"/>
      <c r="H6" s="23"/>
      <c r="I6" s="23"/>
      <c r="J6" s="24"/>
      <c r="K6" s="24"/>
      <c r="L6" s="24"/>
      <c r="M6" s="20"/>
      <c r="N6" s="20"/>
      <c r="O6" s="20"/>
      <c r="P6" s="20"/>
      <c r="Q6" s="25"/>
      <c r="R6" s="21"/>
      <c r="S6" s="23"/>
      <c r="T6" s="23"/>
      <c r="U6" s="23"/>
      <c r="V6" s="23"/>
      <c r="W6" s="19"/>
    </row>
    <row r="7" spans="1:27" x14ac:dyDescent="0.25">
      <c r="A7" s="11" t="s">
        <v>307</v>
      </c>
      <c r="D7" s="13" t="s">
        <v>308</v>
      </c>
      <c r="R7" s="13"/>
      <c r="T7" s="23"/>
      <c r="U7" s="23"/>
      <c r="V7" s="23"/>
      <c r="W7" s="27"/>
    </row>
    <row r="8" spans="1:27" x14ac:dyDescent="0.25">
      <c r="A8" s="26" t="s">
        <v>27</v>
      </c>
      <c r="B8" s="12">
        <v>100</v>
      </c>
      <c r="C8" s="12">
        <v>1</v>
      </c>
      <c r="D8" s="96">
        <v>113.38</v>
      </c>
      <c r="E8" s="14" t="s">
        <v>319</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304</v>
      </c>
      <c r="G11" s="23"/>
      <c r="H11" s="23"/>
      <c r="I11" s="23"/>
      <c r="J11" s="24"/>
      <c r="K11" s="24"/>
      <c r="L11" s="24"/>
      <c r="M11" s="20"/>
      <c r="N11" s="20"/>
      <c r="O11" s="20"/>
      <c r="P11" s="20"/>
      <c r="Q11" s="25"/>
      <c r="R11" s="21"/>
      <c r="S11" s="23"/>
      <c r="T11" s="23"/>
      <c r="U11" s="23"/>
      <c r="V11" s="23"/>
    </row>
    <row r="12" spans="1:27" x14ac:dyDescent="0.25">
      <c r="A12" s="26" t="s">
        <v>31</v>
      </c>
      <c r="B12" s="12">
        <v>9999</v>
      </c>
      <c r="D12" s="13" t="s">
        <v>305</v>
      </c>
      <c r="R12" s="13"/>
      <c r="T12" s="23"/>
      <c r="U12" s="23"/>
      <c r="V12" s="23"/>
    </row>
    <row r="13" spans="1:27" x14ac:dyDescent="0.25">
      <c r="A13" s="26" t="s">
        <v>32</v>
      </c>
      <c r="B13" s="12">
        <v>0</v>
      </c>
      <c r="D13" s="13" t="s">
        <v>285</v>
      </c>
      <c r="R13" s="13"/>
      <c r="T13" s="23"/>
      <c r="U13" s="23"/>
      <c r="V13" s="23"/>
    </row>
    <row r="14" spans="1:27" x14ac:dyDescent="0.25">
      <c r="A14" s="28" t="s">
        <v>33</v>
      </c>
      <c r="B14" s="20">
        <v>2</v>
      </c>
      <c r="C14" s="21"/>
      <c r="D14" s="21" t="s">
        <v>286</v>
      </c>
      <c r="E14" s="22"/>
      <c r="F14" s="23"/>
      <c r="R14" s="13"/>
      <c r="T14" s="23"/>
      <c r="U14" s="23"/>
      <c r="V14" s="23"/>
    </row>
    <row r="15" spans="1:27" x14ac:dyDescent="0.25">
      <c r="A15" s="29" t="s">
        <v>283</v>
      </c>
      <c r="B15" s="30">
        <v>1</v>
      </c>
      <c r="C15" s="31"/>
      <c r="D15" s="31" t="s">
        <v>284</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4"/>
      <c r="R26" s="13"/>
      <c r="U26" s="36"/>
      <c r="V26" s="36"/>
    </row>
    <row r="27" spans="1:22" x14ac:dyDescent="0.25">
      <c r="A27" s="114"/>
      <c r="B27" s="15"/>
      <c r="R27" s="13"/>
      <c r="U27" s="36"/>
      <c r="V27" s="36"/>
    </row>
    <row r="28" spans="1:22" x14ac:dyDescent="0.25">
      <c r="A28" s="114"/>
      <c r="B28" s="15"/>
      <c r="R28" s="13"/>
      <c r="U28" s="36"/>
      <c r="V28" s="36"/>
    </row>
    <row r="29" spans="1:22" x14ac:dyDescent="0.25">
      <c r="A29" s="114"/>
      <c r="R29" s="13"/>
      <c r="U29" s="36"/>
      <c r="V29" s="36"/>
    </row>
    <row r="30" spans="1:22" x14ac:dyDescent="0.25">
      <c r="A30" s="114" t="s">
        <v>333</v>
      </c>
      <c r="R30" s="13"/>
      <c r="U30" s="36"/>
      <c r="V30" s="36"/>
    </row>
    <row r="31" spans="1:22" x14ac:dyDescent="0.25">
      <c r="A31" s="114" t="s">
        <v>334</v>
      </c>
      <c r="B31" s="15">
        <f>INDEX(TestMatrixVariableValues, CurrentIndex,MATCH("P1_START",TestMatrixVariableNames,0))</f>
        <v>10</v>
      </c>
      <c r="C31" s="13" t="s">
        <v>335</v>
      </c>
      <c r="R31" s="13"/>
      <c r="U31" s="36"/>
      <c r="V31" s="36"/>
    </row>
    <row r="32" spans="1:22" x14ac:dyDescent="0.25">
      <c r="A32" s="114" t="s">
        <v>336</v>
      </c>
      <c r="B32" s="15">
        <f>INDEX(TestMatrixVariableValues, CurrentIndex,MATCH("P1_STOP",TestMatrixVariableNames,0))</f>
        <v>20</v>
      </c>
      <c r="C32" s="13" t="s">
        <v>335</v>
      </c>
      <c r="R32" s="13"/>
      <c r="U32" s="36"/>
      <c r="V32" s="36"/>
    </row>
    <row r="33" spans="1:22" x14ac:dyDescent="0.25">
      <c r="A33" s="114"/>
      <c r="R33" s="13"/>
      <c r="U33" s="36"/>
      <c r="V33" s="36"/>
    </row>
    <row r="34" spans="1:22" x14ac:dyDescent="0.25">
      <c r="A34" s="114" t="s">
        <v>337</v>
      </c>
      <c r="R34" s="13"/>
      <c r="U34" s="36"/>
      <c r="V34" s="36"/>
    </row>
    <row r="35" spans="1:22" x14ac:dyDescent="0.25">
      <c r="A35" s="114" t="s">
        <v>334</v>
      </c>
      <c r="B35" s="15">
        <f>INDEX(TestMatrixVariableValues, CurrentIndex,MATCH("P2_START",TestMatrixVariableNames,0))</f>
        <v>10</v>
      </c>
      <c r="C35" s="13" t="s">
        <v>335</v>
      </c>
      <c r="R35" s="13"/>
      <c r="U35" s="36"/>
      <c r="V35" s="36"/>
    </row>
    <row r="36" spans="1:22" x14ac:dyDescent="0.25">
      <c r="A36" s="114" t="s">
        <v>336</v>
      </c>
      <c r="B36" s="15">
        <f>INDEX(TestMatrixVariableValues, CurrentIndex,MATCH("P2_STOP",TestMatrixVariableNames,0))</f>
        <v>9999</v>
      </c>
      <c r="C36" s="13" t="s">
        <v>335</v>
      </c>
      <c r="R36" s="13"/>
      <c r="U36" s="36"/>
      <c r="V36" s="36"/>
    </row>
    <row r="37" spans="1:22" x14ac:dyDescent="0.25">
      <c r="A37" s="114"/>
      <c r="R37" s="13"/>
      <c r="U37" s="36"/>
      <c r="V37" s="36"/>
    </row>
    <row r="38" spans="1:22" x14ac:dyDescent="0.25">
      <c r="A38" s="127" t="s">
        <v>338</v>
      </c>
      <c r="R38" s="13"/>
      <c r="U38" s="36"/>
      <c r="V38" s="36"/>
    </row>
    <row r="39" spans="1:22" x14ac:dyDescent="0.25">
      <c r="A39" s="114" t="s">
        <v>339</v>
      </c>
      <c r="B39" s="12">
        <f>INDEX(TestMatrixVariableValues, CurrentIndex,MATCH("VVX1",TestMatrixVariableNames,0))</f>
        <v>1</v>
      </c>
      <c r="R39" s="13"/>
      <c r="U39" s="36"/>
      <c r="V39" s="36"/>
    </row>
    <row r="40" spans="1:22" x14ac:dyDescent="0.25">
      <c r="A40" s="114"/>
      <c r="R40" s="13"/>
      <c r="U40" s="36"/>
      <c r="V40" s="36"/>
    </row>
    <row r="41" spans="1:22" x14ac:dyDescent="0.25">
      <c r="A41" s="114" t="s">
        <v>340</v>
      </c>
      <c r="R41" s="13"/>
      <c r="U41" s="36"/>
      <c r="V41" s="36"/>
    </row>
    <row r="42" spans="1:22" x14ac:dyDescent="0.25">
      <c r="A42" s="126" t="s">
        <v>341</v>
      </c>
      <c r="B42" s="12">
        <f>INDEX(TestMatrixVariableValues, CurrentIndex,MATCH("VVX2",TestMatrixVariableNames,0))</f>
        <v>1</v>
      </c>
      <c r="R42" s="13"/>
      <c r="U42" s="36"/>
      <c r="V42" s="36"/>
    </row>
    <row r="43" spans="1:22" x14ac:dyDescent="0.25">
      <c r="A43" s="114"/>
      <c r="B43" s="15"/>
      <c r="R43" s="13"/>
      <c r="U43" s="36"/>
      <c r="V43" s="36"/>
    </row>
    <row r="44" spans="1:22" x14ac:dyDescent="0.25">
      <c r="A44" s="114"/>
      <c r="R44" s="13"/>
      <c r="U44" s="36"/>
      <c r="V44" s="36"/>
    </row>
    <row r="45" spans="1:22" x14ac:dyDescent="0.25">
      <c r="A45" s="114" t="s">
        <v>342</v>
      </c>
      <c r="R45" s="13"/>
      <c r="U45" s="36"/>
      <c r="V45" s="36"/>
    </row>
    <row r="46" spans="1:22" x14ac:dyDescent="0.25">
      <c r="A46" s="114" t="s">
        <v>343</v>
      </c>
      <c r="B46" s="12">
        <v>25</v>
      </c>
      <c r="C46" s="13" t="s">
        <v>318</v>
      </c>
      <c r="R46" s="13"/>
      <c r="U46" s="36"/>
      <c r="V46" s="36"/>
    </row>
    <row r="47" spans="1:22" x14ac:dyDescent="0.25">
      <c r="A47" s="114" t="s">
        <v>344</v>
      </c>
      <c r="B47" s="12">
        <v>120</v>
      </c>
      <c r="C47" s="13" t="s">
        <v>268</v>
      </c>
      <c r="R47" s="13"/>
      <c r="U47" s="36"/>
      <c r="V47" s="36"/>
    </row>
    <row r="48" spans="1:22" x14ac:dyDescent="0.25">
      <c r="A48" s="114" t="s">
        <v>404</v>
      </c>
      <c r="B48" s="15">
        <f>rho_pT(1,B46)</f>
        <v>997.04743540809625</v>
      </c>
      <c r="C48" s="13" t="s">
        <v>405</v>
      </c>
      <c r="R48" s="13"/>
      <c r="U48" s="36"/>
      <c r="V48" s="36"/>
    </row>
    <row r="49" spans="1:22" x14ac:dyDescent="0.25">
      <c r="A49" s="11" t="s">
        <v>345</v>
      </c>
      <c r="R49" s="13"/>
      <c r="U49" s="36"/>
      <c r="V49" s="36"/>
    </row>
    <row r="50" spans="1:22" x14ac:dyDescent="0.25">
      <c r="A50" s="116" t="s">
        <v>346</v>
      </c>
      <c r="B50" s="135">
        <f>INDEX(TestMatrixVariableValues, CurrentIndex,MATCH("V8754A",TestMatrixVariableNames,0))</f>
        <v>0.75</v>
      </c>
      <c r="R50" s="13"/>
      <c r="U50" s="36"/>
      <c r="V50" s="36"/>
    </row>
    <row r="51" spans="1:22" x14ac:dyDescent="0.25">
      <c r="A51" s="116" t="s">
        <v>347</v>
      </c>
      <c r="B51" s="135">
        <f>INDEX(TestMatrixVariableValues, CurrentIndex,MATCH("V8754B",TestMatrixVariableNames,0))</f>
        <v>0.75</v>
      </c>
      <c r="R51" s="13"/>
      <c r="U51" s="36"/>
      <c r="V51" s="36"/>
    </row>
    <row r="52" spans="1:22" x14ac:dyDescent="0.25">
      <c r="A52" s="116" t="s">
        <v>348</v>
      </c>
      <c r="B52" s="135">
        <f>INDEX(TestMatrixVariableValues, CurrentIndex,MATCH("V8751",TestMatrixVariableNames,0))</f>
        <v>7.4999999999999997E-2</v>
      </c>
      <c r="R52" s="13"/>
      <c r="U52" s="36"/>
      <c r="V52" s="36"/>
    </row>
    <row r="53" spans="1:22" x14ac:dyDescent="0.25">
      <c r="A53" s="116" t="s">
        <v>349</v>
      </c>
      <c r="B53" s="135">
        <f>INDEX(TestMatrixVariableValues, CurrentIndex,MATCH("V8792",TestMatrixVariableNames,0))</f>
        <v>7.4999999999999997E-2</v>
      </c>
      <c r="R53" s="13"/>
      <c r="U53" s="36"/>
      <c r="V53" s="36"/>
    </row>
    <row r="54" spans="1:22" x14ac:dyDescent="0.25">
      <c r="A54" s="116"/>
      <c r="R54" s="13"/>
      <c r="U54" s="36"/>
      <c r="V54" s="36"/>
    </row>
    <row r="55" spans="1:22" x14ac:dyDescent="0.25">
      <c r="A55" s="116"/>
      <c r="R55" s="13"/>
      <c r="U55" s="36"/>
      <c r="V55" s="36"/>
    </row>
    <row r="56" spans="1:22" x14ac:dyDescent="0.25">
      <c r="A56" s="116"/>
      <c r="R56" s="13"/>
      <c r="U56" s="36"/>
      <c r="V56" s="36"/>
    </row>
    <row r="57" spans="1:22" x14ac:dyDescent="0.25">
      <c r="A57" s="128"/>
      <c r="B57" s="102"/>
      <c r="C57" s="129"/>
      <c r="D57" s="129"/>
      <c r="E57" s="130"/>
      <c r="F57" s="131"/>
      <c r="G57" s="131"/>
      <c r="H57" s="131"/>
      <c r="I57" s="131"/>
      <c r="J57" s="101"/>
      <c r="K57" s="101"/>
      <c r="L57" s="101"/>
      <c r="M57" s="102"/>
      <c r="N57" s="102"/>
      <c r="O57" s="102"/>
      <c r="P57" s="102"/>
      <c r="Q57" s="132"/>
      <c r="R57" s="129"/>
      <c r="S57" s="131"/>
      <c r="T57" s="131"/>
      <c r="U57" s="133"/>
      <c r="V57" s="133"/>
    </row>
    <row r="58" spans="1:22" x14ac:dyDescent="0.25">
      <c r="A58" s="128" t="s">
        <v>42</v>
      </c>
      <c r="B58" s="102" t="str">
        <f>brackedExpression("P1_STARTTIME",B31,"P2_STARTTIME",B35,"P1_TRIPTIME",B32,"P2_TRIPTIME",B36)</f>
        <v>[P1_STARTTIME;10.00;P2_STARTTIME;10.00;P1_TRIPTIME;20.00;P2_TRIPTIME;9999.00]</v>
      </c>
      <c r="C58" s="129"/>
      <c r="D58" s="129"/>
      <c r="E58" s="130"/>
      <c r="F58" s="131"/>
      <c r="G58" s="131"/>
      <c r="H58" s="131"/>
      <c r="I58" s="131"/>
      <c r="J58" s="101"/>
      <c r="K58" s="101"/>
      <c r="L58" s="101"/>
      <c r="M58" s="102"/>
      <c r="N58" s="102"/>
      <c r="O58" s="102"/>
      <c r="P58" s="102"/>
      <c r="Q58" s="132"/>
      <c r="R58" s="129"/>
      <c r="S58" s="131"/>
      <c r="T58" s="131"/>
      <c r="U58" s="133"/>
      <c r="V58" s="133"/>
    </row>
    <row r="59" spans="1:22" x14ac:dyDescent="0.25">
      <c r="A59" s="128"/>
      <c r="B59" s="102"/>
      <c r="C59" s="129"/>
      <c r="D59" s="129"/>
      <c r="E59" s="130"/>
      <c r="F59" s="131"/>
      <c r="G59" s="131"/>
      <c r="H59" s="131"/>
      <c r="I59" s="131"/>
      <c r="J59" s="101"/>
      <c r="K59" s="101"/>
      <c r="L59" s="101"/>
      <c r="M59" s="102"/>
      <c r="N59" s="102"/>
      <c r="O59" s="102"/>
      <c r="P59" s="102"/>
      <c r="Q59" s="132"/>
      <c r="R59" s="129"/>
      <c r="S59" s="131"/>
      <c r="T59" s="131"/>
      <c r="U59" s="133"/>
      <c r="V59" s="133"/>
    </row>
    <row r="60" spans="1:22" x14ac:dyDescent="0.25">
      <c r="A60" s="128"/>
      <c r="B60" s="102"/>
      <c r="C60" s="129"/>
      <c r="D60" s="129"/>
      <c r="E60" s="130"/>
      <c r="F60" s="131"/>
      <c r="G60" s="131"/>
      <c r="H60" s="131"/>
      <c r="I60" s="131"/>
      <c r="J60" s="101"/>
      <c r="K60" s="101"/>
      <c r="L60" s="101"/>
      <c r="M60" s="102"/>
      <c r="N60" s="102"/>
      <c r="O60" s="102"/>
      <c r="P60" s="102"/>
      <c r="Q60" s="132"/>
      <c r="R60" s="129"/>
      <c r="S60" s="131"/>
      <c r="T60" s="131"/>
      <c r="U60" s="133"/>
      <c r="V60" s="133"/>
    </row>
    <row r="61" spans="1:22" x14ac:dyDescent="0.25">
      <c r="A61" s="128"/>
      <c r="B61" s="102"/>
      <c r="C61" s="129"/>
      <c r="D61" s="129"/>
      <c r="E61" s="130"/>
      <c r="F61" s="131"/>
      <c r="G61" s="131"/>
      <c r="H61" s="131"/>
      <c r="I61" s="131"/>
      <c r="J61" s="101"/>
      <c r="K61" s="101"/>
      <c r="L61" s="101"/>
      <c r="M61" s="102"/>
      <c r="N61" s="102"/>
      <c r="O61" s="102"/>
      <c r="P61" s="102"/>
      <c r="Q61" s="132"/>
      <c r="R61" s="129"/>
      <c r="S61" s="131"/>
      <c r="T61" s="131"/>
      <c r="U61" s="133"/>
      <c r="V61" s="133"/>
    </row>
    <row r="62" spans="1:22" x14ac:dyDescent="0.25">
      <c r="A62" s="128" t="s">
        <v>34</v>
      </c>
      <c r="B62" s="102" t="s">
        <v>350</v>
      </c>
      <c r="C62" s="129"/>
      <c r="D62" s="129"/>
      <c r="E62" s="130"/>
      <c r="F62" s="131"/>
      <c r="G62" s="131"/>
      <c r="H62" s="131"/>
      <c r="I62" s="131"/>
      <c r="J62" s="101"/>
      <c r="K62" s="101"/>
      <c r="L62" s="101"/>
      <c r="M62" s="102"/>
      <c r="N62" s="102"/>
      <c r="O62" s="102"/>
      <c r="P62" s="102"/>
      <c r="Q62" s="132"/>
      <c r="R62" s="129"/>
      <c r="S62" s="131"/>
      <c r="T62" s="131"/>
      <c r="U62" s="133"/>
      <c r="V62" s="133"/>
    </row>
    <row r="63" spans="1:22" x14ac:dyDescent="0.25">
      <c r="A63" s="128"/>
      <c r="B63" s="102"/>
      <c r="C63" s="129"/>
      <c r="D63" s="129"/>
      <c r="E63" s="130"/>
      <c r="F63" s="131"/>
      <c r="G63" s="131"/>
      <c r="H63" s="131"/>
      <c r="I63" s="131"/>
      <c r="J63" s="101"/>
      <c r="K63" s="101"/>
      <c r="L63" s="101"/>
      <c r="M63" s="102"/>
      <c r="N63" s="102"/>
      <c r="O63" s="102"/>
      <c r="P63" s="102"/>
      <c r="Q63" s="132"/>
      <c r="R63" s="129"/>
      <c r="S63" s="131"/>
      <c r="T63" s="131"/>
      <c r="U63" s="133"/>
      <c r="V63" s="133"/>
    </row>
    <row r="64" spans="1:22" x14ac:dyDescent="0.25">
      <c r="A64" s="128"/>
      <c r="B64" s="102"/>
      <c r="C64" s="129"/>
      <c r="D64" s="129"/>
      <c r="E64" s="130"/>
      <c r="F64" s="131"/>
      <c r="G64" s="131"/>
      <c r="H64" s="131"/>
      <c r="I64" s="131"/>
      <c r="J64" s="101"/>
      <c r="K64" s="101"/>
      <c r="L64" s="101"/>
      <c r="M64" s="102"/>
      <c r="N64" s="102"/>
      <c r="O64" s="102"/>
      <c r="P64" s="102"/>
      <c r="Q64" s="132"/>
      <c r="R64" s="129"/>
      <c r="S64" s="131"/>
      <c r="T64" s="131"/>
      <c r="U64" s="133"/>
      <c r="V64" s="133"/>
    </row>
    <row r="65" spans="1:22" x14ac:dyDescent="0.25">
      <c r="A65" s="128"/>
      <c r="B65" s="102"/>
      <c r="C65" s="129"/>
      <c r="D65" s="129"/>
      <c r="E65" s="130"/>
      <c r="F65" s="131"/>
      <c r="G65" s="131"/>
      <c r="H65" s="131"/>
      <c r="I65" s="131"/>
      <c r="J65" s="101"/>
      <c r="K65" s="101"/>
      <c r="L65" s="101"/>
      <c r="M65" s="102"/>
      <c r="N65" s="102"/>
      <c r="O65" s="102"/>
      <c r="P65" s="102"/>
      <c r="Q65" s="132"/>
      <c r="R65" s="129"/>
      <c r="S65" s="131"/>
      <c r="T65" s="131"/>
      <c r="U65" s="133"/>
      <c r="V65" s="133"/>
    </row>
    <row r="66" spans="1:22" x14ac:dyDescent="0.25">
      <c r="A66" s="128"/>
      <c r="B66" s="102"/>
      <c r="C66" s="129"/>
      <c r="D66" s="129"/>
      <c r="E66" s="130"/>
      <c r="F66" s="131"/>
      <c r="G66" s="131"/>
      <c r="H66" s="131"/>
      <c r="I66" s="131"/>
      <c r="J66" s="101"/>
      <c r="K66" s="101"/>
      <c r="L66" s="101"/>
      <c r="M66" s="102"/>
      <c r="N66" s="102"/>
      <c r="O66" s="102"/>
      <c r="P66" s="102"/>
      <c r="Q66" s="132"/>
      <c r="R66" s="129"/>
      <c r="S66" s="131"/>
      <c r="T66" s="131"/>
      <c r="U66" s="133"/>
      <c r="V66" s="133"/>
    </row>
    <row r="67" spans="1:22" x14ac:dyDescent="0.25">
      <c r="A67" s="101"/>
      <c r="B67" s="102"/>
      <c r="C67" s="129"/>
      <c r="D67" s="129"/>
      <c r="E67" s="130"/>
      <c r="F67" s="131"/>
      <c r="G67" s="131"/>
      <c r="H67" s="131"/>
      <c r="I67" s="131"/>
      <c r="J67" s="101"/>
      <c r="K67" s="101"/>
      <c r="L67" s="101"/>
      <c r="M67" s="102"/>
      <c r="N67" s="102"/>
      <c r="O67" s="102"/>
      <c r="P67" s="102"/>
      <c r="Q67" s="132"/>
      <c r="R67" s="129"/>
      <c r="S67" s="131"/>
      <c r="T67" s="131"/>
      <c r="U67" s="133"/>
      <c r="V67" s="133"/>
    </row>
    <row r="68" spans="1:22" x14ac:dyDescent="0.25">
      <c r="A68" s="128"/>
      <c r="B68" s="102"/>
      <c r="C68" s="129"/>
      <c r="D68" s="129"/>
      <c r="E68" s="130"/>
      <c r="F68" s="131"/>
      <c r="G68" s="131"/>
      <c r="H68" s="131"/>
      <c r="I68" s="131"/>
      <c r="J68" s="101"/>
      <c r="K68" s="101"/>
      <c r="L68" s="101"/>
      <c r="M68" s="102"/>
      <c r="N68" s="102"/>
      <c r="O68" s="102"/>
      <c r="P68" s="102"/>
      <c r="Q68" s="132"/>
      <c r="R68" s="129"/>
      <c r="S68" s="131"/>
      <c r="T68" s="131"/>
      <c r="U68" s="133"/>
      <c r="V68" s="133"/>
    </row>
    <row r="69" spans="1:22" x14ac:dyDescent="0.25">
      <c r="A69" s="101"/>
      <c r="B69" s="102"/>
      <c r="C69" s="102"/>
      <c r="D69" s="102"/>
      <c r="E69" s="102"/>
      <c r="F69" s="102"/>
      <c r="G69" s="102"/>
      <c r="H69" s="102"/>
      <c r="I69" s="102"/>
      <c r="J69" s="102"/>
      <c r="K69" s="102"/>
      <c r="L69" s="102"/>
      <c r="M69" s="102"/>
      <c r="N69" s="102"/>
      <c r="O69" s="102"/>
      <c r="P69" s="102"/>
      <c r="Q69" s="102"/>
      <c r="R69" s="102"/>
      <c r="S69" s="102"/>
      <c r="T69" s="102"/>
      <c r="U69" s="102"/>
      <c r="V69" s="102"/>
    </row>
    <row r="70" spans="1:22" x14ac:dyDescent="0.25">
      <c r="A70" s="101"/>
      <c r="B70" s="102"/>
      <c r="C70" s="129"/>
      <c r="D70" s="129"/>
      <c r="E70" s="130"/>
      <c r="F70" s="131"/>
      <c r="G70" s="131"/>
      <c r="H70" s="131"/>
      <c r="I70" s="131"/>
      <c r="J70" s="101"/>
      <c r="K70" s="101"/>
      <c r="L70" s="101"/>
      <c r="M70" s="102"/>
      <c r="N70" s="102"/>
      <c r="O70" s="102"/>
      <c r="P70" s="102"/>
      <c r="Q70" s="132"/>
      <c r="R70" s="129"/>
      <c r="S70" s="131"/>
      <c r="T70" s="131"/>
      <c r="U70" s="133"/>
      <c r="V70" s="133"/>
    </row>
    <row r="71" spans="1:22" x14ac:dyDescent="0.25">
      <c r="A71" s="101"/>
      <c r="B71" s="102"/>
      <c r="C71" s="129"/>
      <c r="D71" s="129"/>
      <c r="E71" s="130"/>
      <c r="F71" s="131"/>
      <c r="G71" s="131"/>
      <c r="H71" s="131"/>
      <c r="I71" s="131"/>
      <c r="J71" s="101"/>
      <c r="K71" s="101"/>
      <c r="L71" s="101"/>
      <c r="M71" s="102"/>
      <c r="N71" s="102"/>
      <c r="O71" s="102"/>
      <c r="P71" s="102"/>
      <c r="Q71" s="132"/>
      <c r="R71" s="129"/>
      <c r="S71" s="131"/>
      <c r="T71" s="131"/>
      <c r="U71" s="133"/>
      <c r="V71" s="133"/>
    </row>
    <row r="72" spans="1:22" x14ac:dyDescent="0.25">
      <c r="A72" s="101"/>
      <c r="B72" s="102"/>
      <c r="C72" s="129"/>
      <c r="D72" s="129"/>
      <c r="E72" s="130"/>
      <c r="F72" s="131"/>
      <c r="G72" s="131"/>
      <c r="H72" s="131"/>
      <c r="I72" s="131"/>
      <c r="J72" s="101"/>
      <c r="K72" s="101"/>
      <c r="L72" s="101"/>
      <c r="M72" s="102"/>
      <c r="N72" s="102"/>
      <c r="O72" s="102"/>
      <c r="P72" s="102"/>
      <c r="Q72" s="132"/>
      <c r="R72" s="129"/>
      <c r="S72" s="131"/>
      <c r="T72" s="131"/>
      <c r="U72" s="133"/>
      <c r="V72" s="133"/>
    </row>
    <row r="73" spans="1:22" x14ac:dyDescent="0.25">
      <c r="A73" s="101"/>
      <c r="B73" s="102"/>
      <c r="C73" s="129"/>
      <c r="D73" s="129"/>
      <c r="E73" s="130"/>
      <c r="F73" s="131"/>
      <c r="G73" s="131"/>
      <c r="H73" s="131"/>
      <c r="I73" s="131"/>
      <c r="J73" s="101"/>
      <c r="K73" s="101"/>
      <c r="L73" s="101"/>
      <c r="M73" s="102"/>
      <c r="N73" s="102"/>
      <c r="O73" s="102"/>
      <c r="P73" s="102"/>
      <c r="Q73" s="132"/>
      <c r="R73" s="129"/>
      <c r="S73" s="131"/>
      <c r="T73" s="131"/>
      <c r="U73" s="133"/>
      <c r="V73" s="133"/>
    </row>
    <row r="74" spans="1:22" x14ac:dyDescent="0.25">
      <c r="A74" s="101"/>
      <c r="B74" s="102"/>
      <c r="C74" s="129"/>
      <c r="D74" s="129"/>
      <c r="E74" s="130"/>
      <c r="F74" s="131"/>
      <c r="G74" s="131"/>
      <c r="H74" s="131"/>
      <c r="I74" s="131"/>
      <c r="J74" s="101"/>
      <c r="K74" s="101"/>
      <c r="L74" s="101"/>
      <c r="M74" s="102"/>
      <c r="N74" s="102"/>
      <c r="O74" s="102"/>
      <c r="P74" s="102"/>
      <c r="Q74" s="132"/>
      <c r="R74" s="129"/>
      <c r="S74" s="131"/>
      <c r="T74" s="131"/>
      <c r="U74" s="133"/>
      <c r="V74" s="133"/>
    </row>
    <row r="75" spans="1:22" x14ac:dyDescent="0.25">
      <c r="A75" s="101"/>
      <c r="B75" s="102"/>
      <c r="C75" s="129"/>
      <c r="D75" s="129"/>
      <c r="E75" s="130"/>
      <c r="F75" s="131"/>
      <c r="G75" s="131"/>
      <c r="H75" s="131"/>
      <c r="I75" s="131"/>
      <c r="J75" s="101"/>
      <c r="K75" s="101"/>
      <c r="L75" s="101"/>
      <c r="M75" s="102"/>
      <c r="N75" s="102"/>
      <c r="O75" s="102"/>
      <c r="P75" s="102"/>
      <c r="Q75" s="132"/>
      <c r="R75" s="129"/>
      <c r="S75" s="131"/>
      <c r="T75" s="131"/>
      <c r="U75" s="133"/>
      <c r="V75" s="133"/>
    </row>
    <row r="76" spans="1:22" x14ac:dyDescent="0.25">
      <c r="A76" s="101"/>
      <c r="B76" s="102"/>
      <c r="C76" s="129"/>
      <c r="D76" s="129"/>
      <c r="E76" s="130"/>
      <c r="F76" s="131"/>
      <c r="G76" s="131"/>
      <c r="H76" s="131"/>
      <c r="I76" s="131"/>
      <c r="J76" s="101"/>
      <c r="K76" s="101"/>
      <c r="L76" s="101"/>
      <c r="M76" s="102"/>
      <c r="N76" s="102"/>
      <c r="O76" s="102"/>
      <c r="P76" s="102"/>
      <c r="Q76" s="132"/>
      <c r="R76" s="129"/>
      <c r="S76" s="131"/>
      <c r="T76" s="131"/>
      <c r="U76" s="133"/>
      <c r="V76" s="133"/>
    </row>
    <row r="77" spans="1:22" x14ac:dyDescent="0.25">
      <c r="A77" s="101"/>
      <c r="B77" s="102"/>
      <c r="C77" s="129"/>
      <c r="D77" s="129"/>
      <c r="E77" s="130"/>
      <c r="F77" s="131"/>
      <c r="G77" s="131"/>
      <c r="H77" s="131"/>
      <c r="I77" s="131"/>
      <c r="J77" s="101"/>
      <c r="K77" s="101"/>
      <c r="L77" s="101"/>
      <c r="M77" s="102"/>
      <c r="N77" s="102"/>
      <c r="O77" s="102"/>
      <c r="P77" s="102"/>
      <c r="Q77" s="132"/>
      <c r="R77" s="129"/>
      <c r="S77" s="131"/>
      <c r="T77" s="131"/>
      <c r="U77" s="133"/>
      <c r="V77" s="133"/>
    </row>
    <row r="78" spans="1:22" x14ac:dyDescent="0.25">
      <c r="A78" s="101"/>
      <c r="B78" s="102"/>
      <c r="C78" s="129"/>
      <c r="D78" s="129"/>
      <c r="E78" s="130"/>
      <c r="F78" s="131"/>
      <c r="G78" s="131"/>
      <c r="H78" s="131"/>
      <c r="I78" s="131"/>
      <c r="J78" s="101"/>
      <c r="K78" s="101"/>
      <c r="L78" s="101"/>
      <c r="M78" s="102"/>
      <c r="N78" s="102"/>
      <c r="O78" s="102"/>
      <c r="P78" s="102"/>
      <c r="Q78" s="132"/>
      <c r="R78" s="129"/>
      <c r="S78" s="131"/>
      <c r="T78" s="131"/>
      <c r="U78" s="133"/>
      <c r="V78" s="133"/>
    </row>
    <row r="79" spans="1:22" x14ac:dyDescent="0.25">
      <c r="A79" s="101"/>
      <c r="B79" s="102"/>
      <c r="C79" s="129"/>
      <c r="D79" s="129"/>
      <c r="E79" s="130"/>
      <c r="F79" s="131"/>
      <c r="G79" s="131"/>
      <c r="H79" s="131"/>
      <c r="I79" s="131"/>
      <c r="J79" s="101"/>
      <c r="K79" s="101"/>
      <c r="L79" s="101"/>
      <c r="M79" s="102"/>
      <c r="N79" s="102"/>
      <c r="O79" s="102"/>
      <c r="P79" s="102"/>
      <c r="Q79" s="132"/>
      <c r="R79" s="129"/>
      <c r="S79" s="131"/>
      <c r="T79" s="131"/>
      <c r="U79" s="133"/>
      <c r="V79" s="133"/>
    </row>
    <row r="80" spans="1:22" x14ac:dyDescent="0.25">
      <c r="A80" s="101" t="s">
        <v>351</v>
      </c>
      <c r="B80" s="102"/>
      <c r="C80" s="129"/>
      <c r="D80" s="129"/>
      <c r="E80" s="130"/>
      <c r="F80" s="131"/>
      <c r="G80" s="131"/>
      <c r="H80" s="131"/>
      <c r="I80" s="131"/>
      <c r="J80" s="101"/>
      <c r="K80" s="101"/>
      <c r="L80" s="101"/>
      <c r="M80" s="102"/>
      <c r="N80" s="102"/>
      <c r="O80" s="102"/>
      <c r="P80" s="102"/>
      <c r="Q80" s="132"/>
      <c r="R80" s="129"/>
      <c r="S80" s="131"/>
      <c r="T80" s="131"/>
      <c r="U80" s="133"/>
      <c r="V80" s="133"/>
    </row>
    <row r="81" spans="1:25" x14ac:dyDescent="0.25">
      <c r="A81" s="101" t="s">
        <v>35</v>
      </c>
      <c r="B81" s="102">
        <v>100</v>
      </c>
      <c r="C81" s="129"/>
      <c r="D81" s="129"/>
      <c r="E81" s="130"/>
      <c r="F81" s="131"/>
      <c r="G81" s="131"/>
      <c r="H81" s="131"/>
      <c r="I81" s="131"/>
      <c r="J81" s="101"/>
      <c r="K81" s="101"/>
      <c r="L81" s="101"/>
      <c r="M81" s="102"/>
      <c r="N81" s="102"/>
      <c r="O81" s="102"/>
      <c r="P81" s="102"/>
      <c r="Q81" s="132"/>
      <c r="R81" s="129"/>
      <c r="S81" s="131"/>
      <c r="T81" s="131"/>
      <c r="U81" s="133"/>
      <c r="V81" s="133"/>
    </row>
    <row r="82" spans="1:25" x14ac:dyDescent="0.25">
      <c r="A82" s="101" t="s">
        <v>36</v>
      </c>
      <c r="B82" s="102">
        <f>100000+($B$47-X82)*9.80665*B48</f>
        <v>164728.34243878466</v>
      </c>
      <c r="C82" s="129">
        <f>273.15+$B$46</f>
        <v>298.14999999999998</v>
      </c>
      <c r="D82" s="129"/>
      <c r="E82" s="130"/>
      <c r="F82" s="131"/>
      <c r="G82" s="131"/>
      <c r="H82" s="131"/>
      <c r="I82" s="131"/>
      <c r="J82" s="101"/>
      <c r="K82" s="101"/>
      <c r="L82" s="101"/>
      <c r="M82" s="102"/>
      <c r="N82" s="102"/>
      <c r="O82" s="102"/>
      <c r="P82" s="102"/>
      <c r="Q82" s="132"/>
      <c r="R82" s="129"/>
      <c r="S82" s="131"/>
      <c r="T82" s="131"/>
      <c r="U82" s="133"/>
      <c r="V82" s="133"/>
      <c r="X82" s="15">
        <v>113.38</v>
      </c>
    </row>
    <row r="83" spans="1:25" x14ac:dyDescent="0.25">
      <c r="A83" s="101" t="s">
        <v>37</v>
      </c>
      <c r="B83" s="102" t="str">
        <f>CONCATENATE("TMDV_",ROW())</f>
        <v>TMDV_83</v>
      </c>
      <c r="C83" s="129">
        <v>1</v>
      </c>
      <c r="D83" s="129" t="s">
        <v>38</v>
      </c>
      <c r="E83" s="130">
        <v>1</v>
      </c>
      <c r="F83" s="131">
        <v>0</v>
      </c>
      <c r="G83" s="131">
        <v>0</v>
      </c>
      <c r="H83" s="131" t="s">
        <v>38</v>
      </c>
      <c r="I83" s="131" t="s">
        <v>38</v>
      </c>
      <c r="J83" s="101" t="s">
        <v>352</v>
      </c>
      <c r="K83" s="101" t="s">
        <v>38</v>
      </c>
      <c r="L83" s="101" t="s">
        <v>38</v>
      </c>
      <c r="M83" s="102" t="s">
        <v>38</v>
      </c>
      <c r="N83" s="102" t="s">
        <v>38</v>
      </c>
      <c r="O83" s="102" t="s">
        <v>38</v>
      </c>
      <c r="P83" s="102" t="s">
        <v>38</v>
      </c>
      <c r="Q83" s="132">
        <f>100000+($B$47-X82)*9.80665*B48</f>
        <v>164728.34243878466</v>
      </c>
      <c r="R83" s="129">
        <f>273.15+$B$46</f>
        <v>298.14999999999998</v>
      </c>
      <c r="S83" s="131" t="s">
        <v>38</v>
      </c>
      <c r="T83" s="131" t="s">
        <v>38</v>
      </c>
      <c r="U83" s="133" t="s">
        <v>38</v>
      </c>
      <c r="V83" s="133" t="s">
        <v>38</v>
      </c>
      <c r="X83" s="15">
        <f>IF(F83="-",X82,X82+C83*SIN(F83*PI()/180))</f>
        <v>113.38</v>
      </c>
    </row>
    <row r="84" spans="1:25" x14ac:dyDescent="0.25">
      <c r="A84" s="101"/>
      <c r="B84" s="102"/>
      <c r="C84" s="129"/>
      <c r="D84" s="129"/>
      <c r="E84" s="130"/>
      <c r="F84" s="131"/>
      <c r="G84" s="131"/>
      <c r="H84" s="131"/>
      <c r="I84" s="131"/>
      <c r="J84" s="101"/>
      <c r="K84" s="101"/>
      <c r="L84" s="101"/>
      <c r="M84" s="102"/>
      <c r="N84" s="102"/>
      <c r="O84" s="102"/>
      <c r="P84" s="102"/>
      <c r="Q84" s="132"/>
      <c r="R84" s="129"/>
      <c r="S84" s="131"/>
      <c r="T84" s="131"/>
      <c r="U84" s="133"/>
      <c r="V84" s="133"/>
      <c r="X84" s="15">
        <f t="shared" ref="X84:X142" si="1">IF(F84="-",X83,X83+C84*SIN(F84*PI()/180))</f>
        <v>113.38</v>
      </c>
    </row>
    <row r="85" spans="1:25" x14ac:dyDescent="0.25">
      <c r="A85" s="101" t="s">
        <v>39</v>
      </c>
      <c r="B85" s="102" t="s">
        <v>38</v>
      </c>
      <c r="C85" s="129" t="s">
        <v>38</v>
      </c>
      <c r="D85" s="129" t="s">
        <v>38</v>
      </c>
      <c r="E85" s="130">
        <v>0</v>
      </c>
      <c r="F85" s="131" t="s">
        <v>38</v>
      </c>
      <c r="G85" s="131" t="s">
        <v>38</v>
      </c>
      <c r="H85" s="131">
        <v>0</v>
      </c>
      <c r="I85" s="131">
        <v>0</v>
      </c>
      <c r="J85" s="101" t="s">
        <v>40</v>
      </c>
      <c r="K85" s="101" t="s">
        <v>38</v>
      </c>
      <c r="L85" s="101" t="s">
        <v>38</v>
      </c>
      <c r="M85" s="102" t="str">
        <f ca="1">OFFSET($A$1,ROW()-3,1)</f>
        <v>TMDV_83</v>
      </c>
      <c r="N85" s="102" t="str">
        <f ca="1">OFFSET($A$1,ROW()+1,1)</f>
        <v>PIPE_87</v>
      </c>
      <c r="O85" s="102">
        <v>2</v>
      </c>
      <c r="P85" s="102">
        <v>1</v>
      </c>
      <c r="Q85" s="132" t="s">
        <v>38</v>
      </c>
      <c r="R85" s="129" t="s">
        <v>38</v>
      </c>
      <c r="S85" s="131" t="s">
        <v>38</v>
      </c>
      <c r="T85" s="131" t="s">
        <v>38</v>
      </c>
      <c r="U85" s="133" t="s">
        <v>38</v>
      </c>
      <c r="V85" s="133" t="s">
        <v>38</v>
      </c>
      <c r="X85" s="15">
        <f t="shared" si="1"/>
        <v>113.38</v>
      </c>
    </row>
    <row r="86" spans="1:25" x14ac:dyDescent="0.25">
      <c r="A86" s="101"/>
      <c r="B86" s="102"/>
      <c r="C86" s="129"/>
      <c r="D86" s="129"/>
      <c r="E86" s="130"/>
      <c r="F86" s="131"/>
      <c r="G86" s="131"/>
      <c r="H86" s="131"/>
      <c r="I86" s="131"/>
      <c r="J86" s="101"/>
      <c r="K86" s="101"/>
      <c r="L86" s="101"/>
      <c r="M86" s="102"/>
      <c r="N86" s="102"/>
      <c r="O86" s="102"/>
      <c r="P86" s="102"/>
      <c r="Q86" s="132"/>
      <c r="R86" s="129"/>
      <c r="S86" s="131"/>
      <c r="T86" s="131"/>
      <c r="U86" s="133"/>
      <c r="V86" s="133"/>
      <c r="X86" s="15">
        <f t="shared" si="1"/>
        <v>113.38</v>
      </c>
    </row>
    <row r="87" spans="1:25" x14ac:dyDescent="0.25">
      <c r="A87" s="101" t="s">
        <v>41</v>
      </c>
      <c r="B87" s="102" t="str">
        <f>CONCATENATE("PIPE_",ROW())</f>
        <v>PIPE_87</v>
      </c>
      <c r="C87" s="129">
        <v>0.83</v>
      </c>
      <c r="D87" s="129">
        <f>dx</f>
        <v>0.2</v>
      </c>
      <c r="E87" s="130">
        <f>(0.27305-2*0.00419)^2*PI()/4</f>
        <v>5.5017305415667593E-2</v>
      </c>
      <c r="F87" s="131">
        <v>0</v>
      </c>
      <c r="G87" s="131">
        <v>0</v>
      </c>
      <c r="H87" s="131">
        <v>0</v>
      </c>
      <c r="I87" s="131">
        <v>0</v>
      </c>
      <c r="J87" s="101" t="s">
        <v>41</v>
      </c>
      <c r="K87" s="101" t="s">
        <v>353</v>
      </c>
      <c r="L87" s="101">
        <v>1</v>
      </c>
      <c r="M87" s="102" t="s">
        <v>38</v>
      </c>
      <c r="N87" s="102" t="s">
        <v>38</v>
      </c>
      <c r="O87" s="102" t="s">
        <v>38</v>
      </c>
      <c r="P87" s="102" t="s">
        <v>38</v>
      </c>
      <c r="Q87" s="132">
        <v>4.5000000000000003E-5</v>
      </c>
      <c r="R87" s="129" t="s">
        <v>38</v>
      </c>
      <c r="S87" s="131" t="s">
        <v>38</v>
      </c>
      <c r="T87" s="131" t="s">
        <v>38</v>
      </c>
      <c r="U87" s="133" t="s">
        <v>38</v>
      </c>
      <c r="V87" s="133" t="s">
        <v>38</v>
      </c>
      <c r="X87" s="15">
        <f t="shared" si="1"/>
        <v>113.38</v>
      </c>
    </row>
    <row r="88" spans="1:25" x14ac:dyDescent="0.25">
      <c r="A88" s="101" t="s">
        <v>41</v>
      </c>
      <c r="B88" s="102" t="str">
        <f>CONCATENATE("PIPE_",ROW())</f>
        <v>PIPE_88</v>
      </c>
      <c r="C88" s="129">
        <f>0.381+0.458+0.15+0.66/2</f>
        <v>1.319</v>
      </c>
      <c r="D88" s="129">
        <f>dx</f>
        <v>0.2</v>
      </c>
      <c r="E88" s="130">
        <f>(0.27305-2*0.00419)^2*PI()/4</f>
        <v>5.5017305415667593E-2</v>
      </c>
      <c r="F88" s="131">
        <v>-90</v>
      </c>
      <c r="G88" s="131">
        <v>0</v>
      </c>
      <c r="H88" s="131">
        <v>0</v>
      </c>
      <c r="I88" s="131">
        <v>0</v>
      </c>
      <c r="J88" s="101" t="s">
        <v>41</v>
      </c>
      <c r="K88" s="101" t="s">
        <v>353</v>
      </c>
      <c r="L88" s="101">
        <f>L87+1</f>
        <v>2</v>
      </c>
      <c r="M88" s="102" t="s">
        <v>38</v>
      </c>
      <c r="N88" s="102" t="s">
        <v>38</v>
      </c>
      <c r="O88" s="102" t="s">
        <v>38</v>
      </c>
      <c r="P88" s="102" t="s">
        <v>38</v>
      </c>
      <c r="Q88" s="132">
        <v>4.5000000000000003E-5</v>
      </c>
      <c r="R88" s="129" t="s">
        <v>38</v>
      </c>
      <c r="S88" s="131" t="s">
        <v>38</v>
      </c>
      <c r="T88" s="131" t="s">
        <v>38</v>
      </c>
      <c r="U88" s="133" t="s">
        <v>38</v>
      </c>
      <c r="V88" s="133" t="s">
        <v>38</v>
      </c>
      <c r="X88" s="15">
        <f t="shared" si="1"/>
        <v>112.06099999999999</v>
      </c>
    </row>
    <row r="89" spans="1:25" x14ac:dyDescent="0.25">
      <c r="A89" s="101"/>
      <c r="B89" s="102"/>
      <c r="C89" s="129"/>
      <c r="D89" s="129"/>
      <c r="E89" s="130"/>
      <c r="F89" s="131"/>
      <c r="G89" s="131"/>
      <c r="H89" s="131"/>
      <c r="I89" s="131"/>
      <c r="J89" s="101"/>
      <c r="K89" s="101"/>
      <c r="L89" s="101"/>
      <c r="M89" s="102"/>
      <c r="N89" s="102"/>
      <c r="O89" s="102"/>
      <c r="P89" s="102"/>
      <c r="Q89" s="132"/>
      <c r="R89" s="129"/>
      <c r="S89" s="131"/>
      <c r="T89" s="131"/>
      <c r="U89" s="133"/>
      <c r="V89" s="133"/>
      <c r="X89" s="15">
        <f t="shared" si="1"/>
        <v>112.06099999999999</v>
      </c>
    </row>
    <row r="90" spans="1:25" x14ac:dyDescent="0.25">
      <c r="A90" s="101" t="s">
        <v>56</v>
      </c>
      <c r="B90" s="102" t="s">
        <v>38</v>
      </c>
      <c r="C90" s="129" t="s">
        <v>38</v>
      </c>
      <c r="D90" s="129" t="s">
        <v>38</v>
      </c>
      <c r="E90" s="130">
        <f>(0.27305-2*0.00419)^2*PI()/4</f>
        <v>5.5017305415667593E-2</v>
      </c>
      <c r="F90" s="131" t="s">
        <v>38</v>
      </c>
      <c r="G90" s="131" t="s">
        <v>38</v>
      </c>
      <c r="H90" s="131">
        <v>0</v>
      </c>
      <c r="I90" s="131">
        <v>0</v>
      </c>
      <c r="J90" s="101" t="s">
        <v>354</v>
      </c>
      <c r="K90" s="101" t="s">
        <v>353</v>
      </c>
      <c r="L90" s="101" t="s">
        <v>38</v>
      </c>
      <c r="M90" s="102" t="str">
        <f ca="1">OFFSET($A$1,ROW()-3,1)</f>
        <v>PIPE_88</v>
      </c>
      <c r="N90" s="102" t="str">
        <f ca="1">OFFSET($A$1,ROW()+1,1)</f>
        <v>PIPE_92</v>
      </c>
      <c r="O90" s="102">
        <v>2</v>
      </c>
      <c r="P90" s="102">
        <v>1</v>
      </c>
      <c r="Q90" s="132" t="s">
        <v>38</v>
      </c>
      <c r="R90" s="129" t="s">
        <v>38</v>
      </c>
      <c r="S90" s="131" t="s">
        <v>38</v>
      </c>
      <c r="T90" s="131">
        <v>0</v>
      </c>
      <c r="U90" s="133" t="s">
        <v>38</v>
      </c>
      <c r="V90" s="133" t="s">
        <v>38</v>
      </c>
      <c r="X90" s="15">
        <f t="shared" si="1"/>
        <v>112.06099999999999</v>
      </c>
    </row>
    <row r="91" spans="1:25" x14ac:dyDescent="0.25">
      <c r="A91" s="101"/>
      <c r="B91" s="102"/>
      <c r="C91" s="129"/>
      <c r="D91" s="129"/>
      <c r="E91" s="130"/>
      <c r="F91" s="131"/>
      <c r="G91" s="131"/>
      <c r="H91" s="131"/>
      <c r="I91" s="131"/>
      <c r="J91" s="101"/>
      <c r="K91" s="101"/>
      <c r="L91" s="101"/>
      <c r="M91" s="102"/>
      <c r="N91" s="102"/>
      <c r="O91" s="102"/>
      <c r="P91" s="102"/>
      <c r="Q91" s="132"/>
      <c r="R91" s="129"/>
      <c r="S91" s="131"/>
      <c r="T91" s="131"/>
      <c r="U91" s="133"/>
      <c r="V91" s="133"/>
      <c r="X91" s="15">
        <f t="shared" si="1"/>
        <v>112.06099999999999</v>
      </c>
    </row>
    <row r="92" spans="1:25" x14ac:dyDescent="0.25">
      <c r="A92" s="101" t="s">
        <v>41</v>
      </c>
      <c r="B92" s="102" t="str">
        <f>CONCATENATE("PIPE_",ROW())</f>
        <v>PIPE_92</v>
      </c>
      <c r="C92" s="129">
        <f>0.66/2+0.15+0.381</f>
        <v>0.86099999999999999</v>
      </c>
      <c r="D92" s="129">
        <f>dx</f>
        <v>0.2</v>
      </c>
      <c r="E92" s="130">
        <f>(0.27305-2*0.00419)^2*PI()/4</f>
        <v>5.5017305415667593E-2</v>
      </c>
      <c r="F92" s="131">
        <v>-90</v>
      </c>
      <c r="G92" s="131">
        <v>0</v>
      </c>
      <c r="H92" s="131">
        <v>0</v>
      </c>
      <c r="I92" s="131">
        <v>0</v>
      </c>
      <c r="J92" s="101" t="s">
        <v>355</v>
      </c>
      <c r="K92" s="101" t="s">
        <v>353</v>
      </c>
      <c r="L92" s="101">
        <f>L88</f>
        <v>2</v>
      </c>
      <c r="M92" s="102" t="s">
        <v>38</v>
      </c>
      <c r="N92" s="102" t="s">
        <v>38</v>
      </c>
      <c r="O92" s="102" t="s">
        <v>38</v>
      </c>
      <c r="P92" s="102" t="s">
        <v>38</v>
      </c>
      <c r="Q92" s="132">
        <v>4.5000000000000003E-5</v>
      </c>
      <c r="R92" s="129" t="s">
        <v>38</v>
      </c>
      <c r="S92" s="131" t="s">
        <v>38</v>
      </c>
      <c r="T92" s="131" t="s">
        <v>38</v>
      </c>
      <c r="U92" s="133" t="s">
        <v>38</v>
      </c>
      <c r="V92" s="133" t="s">
        <v>38</v>
      </c>
      <c r="X92" s="15">
        <f t="shared" si="1"/>
        <v>111.19999999999999</v>
      </c>
    </row>
    <row r="93" spans="1:25" x14ac:dyDescent="0.25">
      <c r="A93" s="101" t="s">
        <v>41</v>
      </c>
      <c r="B93" s="102" t="str">
        <f>CONCATENATE("PIPE_",ROW())</f>
        <v>PIPE_93</v>
      </c>
      <c r="C93" s="129">
        <f>0.381+0.381+0.216</f>
        <v>0.97799999999999998</v>
      </c>
      <c r="D93" s="129">
        <f>dx</f>
        <v>0.2</v>
      </c>
      <c r="E93" s="130">
        <f>(0.27305-2*0.00419)^2*PI()/4</f>
        <v>5.5017305415667593E-2</v>
      </c>
      <c r="F93" s="131">
        <v>0</v>
      </c>
      <c r="G93" s="131">
        <v>0</v>
      </c>
      <c r="H93" s="131">
        <v>0</v>
      </c>
      <c r="I93" s="131">
        <v>0</v>
      </c>
      <c r="J93" s="101" t="s">
        <v>355</v>
      </c>
      <c r="K93" s="101" t="s">
        <v>353</v>
      </c>
      <c r="L93" s="101">
        <f>L92+1</f>
        <v>3</v>
      </c>
      <c r="M93" s="102" t="s">
        <v>38</v>
      </c>
      <c r="N93" s="102" t="s">
        <v>38</v>
      </c>
      <c r="O93" s="102" t="s">
        <v>38</v>
      </c>
      <c r="P93" s="102" t="s">
        <v>38</v>
      </c>
      <c r="Q93" s="132">
        <v>4.5000000000000003E-5</v>
      </c>
      <c r="R93" s="129" t="s">
        <v>38</v>
      </c>
      <c r="S93" s="131" t="s">
        <v>38</v>
      </c>
      <c r="T93" s="131" t="s">
        <v>38</v>
      </c>
      <c r="U93" s="133" t="s">
        <v>38</v>
      </c>
      <c r="V93" s="133" t="s">
        <v>38</v>
      </c>
      <c r="W93" s="11" t="s">
        <v>356</v>
      </c>
      <c r="X93" s="15">
        <f t="shared" si="1"/>
        <v>111.19999999999999</v>
      </c>
    </row>
    <row r="94" spans="1:25" x14ac:dyDescent="0.25">
      <c r="A94" s="101" t="s">
        <v>41</v>
      </c>
      <c r="B94" s="102" t="str">
        <f>CONCATENATE("PIPE_",ROW())</f>
        <v>PIPE_94</v>
      </c>
      <c r="C94" s="129">
        <f>0.216+0.33+0.381</f>
        <v>0.92700000000000005</v>
      </c>
      <c r="D94" s="129">
        <f>dx</f>
        <v>0.2</v>
      </c>
      <c r="E94" s="130">
        <f>(0.27305-2*0.00419)^2*PI()/4</f>
        <v>5.5017305415667593E-2</v>
      </c>
      <c r="F94" s="131">
        <v>0</v>
      </c>
      <c r="G94" s="131">
        <v>0</v>
      </c>
      <c r="H94" s="131">
        <v>0</v>
      </c>
      <c r="I94" s="131">
        <v>0</v>
      </c>
      <c r="J94" s="101" t="s">
        <v>355</v>
      </c>
      <c r="K94" s="101" t="s">
        <v>353</v>
      </c>
      <c r="L94" s="101">
        <f>L93</f>
        <v>3</v>
      </c>
      <c r="M94" s="102" t="s">
        <v>38</v>
      </c>
      <c r="N94" s="102" t="s">
        <v>38</v>
      </c>
      <c r="O94" s="102" t="s">
        <v>38</v>
      </c>
      <c r="P94" s="102" t="s">
        <v>38</v>
      </c>
      <c r="Q94" s="132">
        <v>4.5000000000000003E-5</v>
      </c>
      <c r="R94" s="129" t="s">
        <v>38</v>
      </c>
      <c r="S94" s="131" t="s">
        <v>38</v>
      </c>
      <c r="T94" s="131" t="s">
        <v>38</v>
      </c>
      <c r="U94" s="133" t="s">
        <v>38</v>
      </c>
      <c r="V94" s="133" t="s">
        <v>38</v>
      </c>
      <c r="X94" s="15">
        <f t="shared" si="1"/>
        <v>111.19999999999999</v>
      </c>
    </row>
    <row r="95" spans="1:25" x14ac:dyDescent="0.25">
      <c r="A95" s="101" t="s">
        <v>41</v>
      </c>
      <c r="B95" s="102" t="str">
        <f>CONCATENATE("PIPE_",ROW())</f>
        <v>PIPE_95</v>
      </c>
      <c r="C95" s="129">
        <v>4.3600000000000003</v>
      </c>
      <c r="D95" s="129">
        <f>dx</f>
        <v>0.2</v>
      </c>
      <c r="E95" s="130">
        <f>(0.27305-2*0.00419)^2*PI()/4</f>
        <v>5.5017305415667593E-2</v>
      </c>
      <c r="F95" s="131">
        <v>-90</v>
      </c>
      <c r="G95" s="131">
        <v>0</v>
      </c>
      <c r="H95" s="131">
        <v>0</v>
      </c>
      <c r="I95" s="131">
        <v>0</v>
      </c>
      <c r="J95" s="101" t="s">
        <v>355</v>
      </c>
      <c r="K95" s="101" t="s">
        <v>353</v>
      </c>
      <c r="L95" s="101">
        <f>L94+1</f>
        <v>4</v>
      </c>
      <c r="M95" s="102" t="s">
        <v>38</v>
      </c>
      <c r="N95" s="102" t="s">
        <v>38</v>
      </c>
      <c r="O95" s="102" t="s">
        <v>38</v>
      </c>
      <c r="P95" s="102" t="s">
        <v>38</v>
      </c>
      <c r="Q95" s="132">
        <v>4.5000000000000003E-5</v>
      </c>
      <c r="R95" s="129" t="s">
        <v>38</v>
      </c>
      <c r="S95" s="131" t="s">
        <v>38</v>
      </c>
      <c r="T95" s="131" t="s">
        <v>38</v>
      </c>
      <c r="U95" s="133" t="s">
        <v>38</v>
      </c>
      <c r="V95" s="133" t="s">
        <v>38</v>
      </c>
      <c r="X95" s="15">
        <f t="shared" si="1"/>
        <v>106.83999999999999</v>
      </c>
      <c r="Y95" s="115"/>
    </row>
    <row r="96" spans="1:25" x14ac:dyDescent="0.25">
      <c r="A96" s="101" t="s">
        <v>41</v>
      </c>
      <c r="B96" s="129" t="str">
        <f>CONCATENATE("PIPE_",ROW())</f>
        <v>PIPE_96</v>
      </c>
      <c r="C96" s="129">
        <v>1.385</v>
      </c>
      <c r="D96" s="129">
        <f>dx</f>
        <v>0.2</v>
      </c>
      <c r="E96" s="130">
        <f>(0.27305-2*0.00419)^2*PI()/4</f>
        <v>5.5017305415667593E-2</v>
      </c>
      <c r="F96" s="131">
        <v>0</v>
      </c>
      <c r="G96" s="131">
        <v>0</v>
      </c>
      <c r="H96" s="131">
        <v>0</v>
      </c>
      <c r="I96" s="131">
        <v>0</v>
      </c>
      <c r="J96" s="101" t="s">
        <v>355</v>
      </c>
      <c r="K96" s="101" t="s">
        <v>357</v>
      </c>
      <c r="L96" s="101">
        <f>L95+1</f>
        <v>5</v>
      </c>
      <c r="M96" s="102" t="s">
        <v>38</v>
      </c>
      <c r="N96" s="102" t="s">
        <v>38</v>
      </c>
      <c r="O96" s="102" t="s">
        <v>38</v>
      </c>
      <c r="P96" s="102" t="s">
        <v>38</v>
      </c>
      <c r="Q96" s="132">
        <v>4.5000000000000003E-5</v>
      </c>
      <c r="R96" s="129" t="s">
        <v>38</v>
      </c>
      <c r="S96" s="131" t="s">
        <v>38</v>
      </c>
      <c r="T96" s="131" t="s">
        <v>38</v>
      </c>
      <c r="U96" s="133" t="s">
        <v>38</v>
      </c>
      <c r="V96" s="133" t="s">
        <v>38</v>
      </c>
      <c r="X96" s="15">
        <f t="shared" si="1"/>
        <v>106.83999999999999</v>
      </c>
    </row>
    <row r="97" spans="1:24" x14ac:dyDescent="0.25">
      <c r="A97" s="101"/>
      <c r="B97" s="129"/>
      <c r="C97" s="129"/>
      <c r="D97" s="129"/>
      <c r="E97" s="130"/>
      <c r="F97" s="131"/>
      <c r="G97" s="131"/>
      <c r="H97" s="131"/>
      <c r="I97" s="131"/>
      <c r="J97" s="101"/>
      <c r="K97" s="101"/>
      <c r="L97" s="101"/>
      <c r="M97" s="102"/>
      <c r="N97" s="102"/>
      <c r="O97" s="102"/>
      <c r="P97" s="102"/>
      <c r="Q97" s="132"/>
      <c r="R97" s="129"/>
      <c r="S97" s="131"/>
      <c r="T97" s="131"/>
      <c r="U97" s="133"/>
      <c r="V97" s="133"/>
      <c r="X97" s="15">
        <f t="shared" si="1"/>
        <v>106.83999999999999</v>
      </c>
    </row>
    <row r="98" spans="1:24" x14ac:dyDescent="0.25">
      <c r="A98" s="101" t="s">
        <v>39</v>
      </c>
      <c r="B98" s="129" t="s">
        <v>38</v>
      </c>
      <c r="C98" s="129" t="s">
        <v>38</v>
      </c>
      <c r="D98" s="129" t="s">
        <v>38</v>
      </c>
      <c r="E98" s="130">
        <v>0</v>
      </c>
      <c r="F98" s="131" t="s">
        <v>38</v>
      </c>
      <c r="G98" s="131" t="s">
        <v>38</v>
      </c>
      <c r="H98" s="131">
        <v>0</v>
      </c>
      <c r="I98" s="131">
        <v>0</v>
      </c>
      <c r="J98" s="101" t="s">
        <v>358</v>
      </c>
      <c r="K98" s="101" t="s">
        <v>357</v>
      </c>
      <c r="L98" s="101" t="s">
        <v>38</v>
      </c>
      <c r="M98" s="102" t="str">
        <f ca="1">OFFSET($A$1,ROW()-3,1)</f>
        <v>PIPE_96</v>
      </c>
      <c r="N98" s="102" t="str">
        <f ca="1">OFFSET($A$1,ROW()+1,1)</f>
        <v>PIPE_100</v>
      </c>
      <c r="O98" s="102">
        <v>2</v>
      </c>
      <c r="P98" s="102">
        <v>1</v>
      </c>
      <c r="Q98" s="132" t="s">
        <v>38</v>
      </c>
      <c r="R98" s="129" t="s">
        <v>38</v>
      </c>
      <c r="S98" s="131" t="s">
        <v>38</v>
      </c>
      <c r="T98" s="131" t="s">
        <v>38</v>
      </c>
      <c r="U98" s="133" t="s">
        <v>38</v>
      </c>
      <c r="V98" s="133" t="s">
        <v>38</v>
      </c>
      <c r="X98" s="15">
        <f t="shared" si="1"/>
        <v>106.83999999999999</v>
      </c>
    </row>
    <row r="99" spans="1:24" x14ac:dyDescent="0.25">
      <c r="A99" s="101"/>
      <c r="B99" s="102"/>
      <c r="C99" s="129"/>
      <c r="D99" s="129"/>
      <c r="E99" s="130"/>
      <c r="F99" s="131"/>
      <c r="G99" s="131"/>
      <c r="H99" s="131"/>
      <c r="I99" s="131"/>
      <c r="J99" s="101"/>
      <c r="K99" s="101"/>
      <c r="L99" s="101"/>
      <c r="M99" s="102"/>
      <c r="N99" s="102"/>
      <c r="O99" s="102"/>
      <c r="P99" s="102"/>
      <c r="Q99" s="132"/>
      <c r="R99" s="129"/>
      <c r="S99" s="131"/>
      <c r="T99" s="131"/>
      <c r="U99" s="133"/>
      <c r="V99" s="133"/>
      <c r="X99" s="15">
        <f t="shared" si="1"/>
        <v>106.83999999999999</v>
      </c>
    </row>
    <row r="100" spans="1:24" x14ac:dyDescent="0.25">
      <c r="A100" s="101" t="s">
        <v>41</v>
      </c>
      <c r="B100" s="102" t="str">
        <f>CONCATENATE("PIPE_",ROW())</f>
        <v>PIPE_100</v>
      </c>
      <c r="C100" s="129">
        <v>1.575</v>
      </c>
      <c r="D100" s="129">
        <f>dx</f>
        <v>0.2</v>
      </c>
      <c r="E100" s="130">
        <f>(0.27305-2*0.00419)^2*PI()/4</f>
        <v>5.5017305415667593E-2</v>
      </c>
      <c r="F100" s="131">
        <v>0</v>
      </c>
      <c r="G100" s="131">
        <v>0</v>
      </c>
      <c r="H100" s="131">
        <v>0</v>
      </c>
      <c r="I100" s="131">
        <v>0</v>
      </c>
      <c r="J100" s="101" t="s">
        <v>355</v>
      </c>
      <c r="K100" s="101" t="s">
        <v>359</v>
      </c>
      <c r="L100" s="101">
        <f>L96</f>
        <v>5</v>
      </c>
      <c r="M100" s="102" t="s">
        <v>38</v>
      </c>
      <c r="N100" s="102" t="s">
        <v>38</v>
      </c>
      <c r="O100" s="102" t="s">
        <v>38</v>
      </c>
      <c r="P100" s="102" t="s">
        <v>38</v>
      </c>
      <c r="Q100" s="132">
        <v>4.5000000000000003E-5</v>
      </c>
      <c r="R100" s="129" t="s">
        <v>38</v>
      </c>
      <c r="S100" s="131" t="s">
        <v>38</v>
      </c>
      <c r="T100" s="131" t="s">
        <v>38</v>
      </c>
      <c r="U100" s="133" t="s">
        <v>38</v>
      </c>
      <c r="V100" s="133" t="s">
        <v>38</v>
      </c>
      <c r="X100" s="15">
        <f t="shared" si="1"/>
        <v>106.83999999999999</v>
      </c>
    </row>
    <row r="101" spans="1:24" x14ac:dyDescent="0.25">
      <c r="A101" s="101" t="s">
        <v>41</v>
      </c>
      <c r="B101" s="102" t="str">
        <f>CONCATENATE("PIPE_",ROW())</f>
        <v>PIPE_101</v>
      </c>
      <c r="C101" s="129">
        <f>0.381+1.116+0.15+0.66/2</f>
        <v>1.9770000000000001</v>
      </c>
      <c r="D101" s="129">
        <f>dx</f>
        <v>0.2</v>
      </c>
      <c r="E101" s="130">
        <f>(0.27305-2*0.00419)^2*PI()/4</f>
        <v>5.5017305415667593E-2</v>
      </c>
      <c r="F101" s="131">
        <v>-90</v>
      </c>
      <c r="G101" s="131">
        <v>0</v>
      </c>
      <c r="H101" s="131">
        <v>0</v>
      </c>
      <c r="I101" s="131">
        <v>0</v>
      </c>
      <c r="J101" s="101" t="s">
        <v>355</v>
      </c>
      <c r="K101" s="101" t="s">
        <v>359</v>
      </c>
      <c r="L101" s="101">
        <f>L100+1</f>
        <v>6</v>
      </c>
      <c r="M101" s="102" t="s">
        <v>38</v>
      </c>
      <c r="N101" s="102" t="s">
        <v>38</v>
      </c>
      <c r="O101" s="102" t="s">
        <v>38</v>
      </c>
      <c r="P101" s="102" t="s">
        <v>38</v>
      </c>
      <c r="Q101" s="132">
        <v>4.5000000000000003E-5</v>
      </c>
      <c r="R101" s="129" t="s">
        <v>38</v>
      </c>
      <c r="S101" s="131" t="s">
        <v>38</v>
      </c>
      <c r="T101" s="131" t="s">
        <v>38</v>
      </c>
      <c r="U101" s="133" t="s">
        <v>38</v>
      </c>
      <c r="V101" s="133" t="s">
        <v>38</v>
      </c>
      <c r="X101" s="15">
        <f t="shared" si="1"/>
        <v>104.86299999999999</v>
      </c>
    </row>
    <row r="102" spans="1:24" x14ac:dyDescent="0.25">
      <c r="A102" s="101"/>
      <c r="B102" s="102"/>
      <c r="C102" s="129"/>
      <c r="D102" s="129"/>
      <c r="E102" s="130"/>
      <c r="F102" s="131"/>
      <c r="G102" s="131"/>
      <c r="H102" s="131"/>
      <c r="I102" s="131"/>
      <c r="J102" s="101"/>
      <c r="K102" s="101"/>
      <c r="L102" s="101"/>
      <c r="M102" s="102"/>
      <c r="N102" s="102"/>
      <c r="O102" s="102"/>
      <c r="P102" s="102"/>
      <c r="Q102" s="132"/>
      <c r="R102" s="129"/>
      <c r="S102" s="131"/>
      <c r="T102" s="131"/>
      <c r="U102" s="133"/>
      <c r="V102" s="133"/>
      <c r="X102" s="15">
        <f t="shared" si="1"/>
        <v>104.86299999999999</v>
      </c>
    </row>
    <row r="103" spans="1:24" x14ac:dyDescent="0.25">
      <c r="A103" s="101" t="s">
        <v>56</v>
      </c>
      <c r="B103" s="102" t="s">
        <v>38</v>
      </c>
      <c r="C103" s="129" t="s">
        <v>38</v>
      </c>
      <c r="D103" s="129" t="s">
        <v>38</v>
      </c>
      <c r="E103" s="130">
        <f>(0.27305-2*0.00419)^2*PI()/4</f>
        <v>5.5017305415667593E-2</v>
      </c>
      <c r="F103" s="131" t="s">
        <v>38</v>
      </c>
      <c r="G103" s="131" t="s">
        <v>38</v>
      </c>
      <c r="H103" s="131">
        <v>0</v>
      </c>
      <c r="I103" s="131">
        <v>0</v>
      </c>
      <c r="J103" s="101" t="s">
        <v>360</v>
      </c>
      <c r="K103" s="101" t="s">
        <v>359</v>
      </c>
      <c r="L103" s="101" t="s">
        <v>38</v>
      </c>
      <c r="M103" s="102" t="str">
        <f ca="1">OFFSET($A$1,ROW()-3,1)</f>
        <v>PIPE_101</v>
      </c>
      <c r="N103" s="102" t="str">
        <f ca="1">OFFSET($A$1,ROW()+1,1)</f>
        <v>PIPE_105</v>
      </c>
      <c r="O103" s="102">
        <v>2</v>
      </c>
      <c r="P103" s="102">
        <v>1</v>
      </c>
      <c r="Q103" s="132" t="s">
        <v>38</v>
      </c>
      <c r="R103" s="129" t="s">
        <v>38</v>
      </c>
      <c r="S103" s="131" t="s">
        <v>38</v>
      </c>
      <c r="T103" s="131">
        <v>1</v>
      </c>
      <c r="U103" s="133" t="s">
        <v>38</v>
      </c>
      <c r="V103" s="133" t="s">
        <v>38</v>
      </c>
      <c r="W103" s="15"/>
      <c r="X103" s="15">
        <f t="shared" si="1"/>
        <v>104.86299999999999</v>
      </c>
    </row>
    <row r="104" spans="1:24" x14ac:dyDescent="0.25">
      <c r="A104" s="101"/>
      <c r="B104" s="134"/>
      <c r="C104" s="129"/>
      <c r="D104" s="129"/>
      <c r="E104" s="130"/>
      <c r="F104" s="131"/>
      <c r="G104" s="131"/>
      <c r="H104" s="131"/>
      <c r="I104" s="131"/>
      <c r="J104" s="101"/>
      <c r="K104" s="101"/>
      <c r="L104" s="101"/>
      <c r="M104" s="102"/>
      <c r="N104" s="102"/>
      <c r="O104" s="102"/>
      <c r="P104" s="102"/>
      <c r="Q104" s="132"/>
      <c r="R104" s="129"/>
      <c r="S104" s="131"/>
      <c r="T104" s="131"/>
      <c r="U104" s="133"/>
      <c r="V104" s="133"/>
      <c r="X104" s="15">
        <f t="shared" si="1"/>
        <v>104.86299999999999</v>
      </c>
    </row>
    <row r="105" spans="1:24" x14ac:dyDescent="0.25">
      <c r="A105" s="101" t="s">
        <v>41</v>
      </c>
      <c r="B105" s="102" t="str">
        <f>CONCATENATE("PIPE_",ROW())</f>
        <v>PIPE_105</v>
      </c>
      <c r="C105" s="129">
        <f>0.66/2+0.15+0.101+0.101+0.381</f>
        <v>1.0629999999999999</v>
      </c>
      <c r="D105" s="129">
        <f>dx</f>
        <v>0.2</v>
      </c>
      <c r="E105" s="130">
        <f>(0.27305-2*0.00419)^2*PI()/4</f>
        <v>5.5017305415667593E-2</v>
      </c>
      <c r="F105" s="131">
        <v>-90</v>
      </c>
      <c r="G105" s="131">
        <v>0</v>
      </c>
      <c r="H105" s="131">
        <v>0</v>
      </c>
      <c r="I105" s="131">
        <v>0</v>
      </c>
      <c r="J105" s="101" t="s">
        <v>355</v>
      </c>
      <c r="K105" s="101" t="s">
        <v>359</v>
      </c>
      <c r="L105" s="101">
        <f>L101</f>
        <v>6</v>
      </c>
      <c r="M105" s="102" t="s">
        <v>38</v>
      </c>
      <c r="N105" s="102" t="s">
        <v>38</v>
      </c>
      <c r="O105" s="102" t="s">
        <v>38</v>
      </c>
      <c r="P105" s="102" t="s">
        <v>38</v>
      </c>
      <c r="Q105" s="132">
        <v>4.5000000000000003E-5</v>
      </c>
      <c r="R105" s="129" t="s">
        <v>38</v>
      </c>
      <c r="S105" s="131" t="s">
        <v>38</v>
      </c>
      <c r="T105" s="131" t="s">
        <v>38</v>
      </c>
      <c r="U105" s="133" t="s">
        <v>38</v>
      </c>
      <c r="V105" s="133" t="s">
        <v>38</v>
      </c>
      <c r="X105" s="15">
        <f t="shared" si="1"/>
        <v>103.79999999999998</v>
      </c>
    </row>
    <row r="106" spans="1:24" x14ac:dyDescent="0.25">
      <c r="A106" s="101" t="s">
        <v>41</v>
      </c>
      <c r="B106" s="102" t="str">
        <f>CONCATENATE("PIPE_",ROW())</f>
        <v>PIPE_106</v>
      </c>
      <c r="C106" s="129">
        <v>0.66</v>
      </c>
      <c r="D106" s="129">
        <f>dx</f>
        <v>0.2</v>
      </c>
      <c r="E106" s="130">
        <f>(0.27305-2*0.00419)^2*PI()/4</f>
        <v>5.5017305415667593E-2</v>
      </c>
      <c r="F106" s="131">
        <v>0</v>
      </c>
      <c r="G106" s="131">
        <v>0</v>
      </c>
      <c r="H106" s="131">
        <v>0</v>
      </c>
      <c r="I106" s="131">
        <v>0</v>
      </c>
      <c r="J106" s="101" t="s">
        <v>355</v>
      </c>
      <c r="K106" s="101" t="s">
        <v>359</v>
      </c>
      <c r="L106" s="101">
        <f>L105+1</f>
        <v>7</v>
      </c>
      <c r="M106" s="102" t="s">
        <v>38</v>
      </c>
      <c r="N106" s="102" t="s">
        <v>38</v>
      </c>
      <c r="O106" s="102" t="s">
        <v>38</v>
      </c>
      <c r="P106" s="102" t="s">
        <v>38</v>
      </c>
      <c r="Q106" s="132">
        <v>4.5000000000000003E-5</v>
      </c>
      <c r="R106" s="129" t="s">
        <v>38</v>
      </c>
      <c r="S106" s="131" t="s">
        <v>38</v>
      </c>
      <c r="T106" s="131" t="s">
        <v>38</v>
      </c>
      <c r="U106" s="133" t="s">
        <v>38</v>
      </c>
      <c r="V106" s="133"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361</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362</v>
      </c>
      <c r="K110" s="11" t="s">
        <v>363</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364</v>
      </c>
      <c r="K112" s="11" t="s">
        <v>363</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362</v>
      </c>
      <c r="K114" s="11" t="s">
        <v>363</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365</v>
      </c>
      <c r="K116" s="11" t="s">
        <v>363</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363</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363</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366</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367</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368</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355</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355</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355</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355</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355</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355</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369</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355</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370</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371</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355</v>
      </c>
      <c r="K162" s="11" t="s">
        <v>357</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372</v>
      </c>
      <c r="K164" s="11" t="s">
        <v>357</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355</v>
      </c>
      <c r="K166" s="11" t="s">
        <v>357</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355</v>
      </c>
      <c r="K167" s="11" t="s">
        <v>357</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373</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362</v>
      </c>
      <c r="K171" s="11" t="s">
        <v>363</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5">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374</v>
      </c>
      <c r="K173" s="11" t="s">
        <v>363</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362</v>
      </c>
      <c r="K175" s="11" t="s">
        <v>363</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375</v>
      </c>
      <c r="K177" s="11" t="s">
        <v>363</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363</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363</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358</v>
      </c>
      <c r="K182" s="11" t="s">
        <v>363</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376</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376</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376</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377</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356</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377</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378</v>
      </c>
      <c r="K190" s="11" t="s">
        <v>377</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377</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377</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377</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377</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379</v>
      </c>
      <c r="K197" s="11" t="s">
        <v>377</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380</v>
      </c>
      <c r="K199" s="11" t="s">
        <v>377</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381</v>
      </c>
      <c r="K201" s="11" t="s">
        <v>377</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382</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382</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383</v>
      </c>
      <c r="K206" s="11" t="s">
        <v>382</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382</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384</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382</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385</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386</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385</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17"/>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387</v>
      </c>
      <c r="K213" s="11" t="s">
        <v>388</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388</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388</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3"/>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388</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388</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0" t="s">
        <v>41</v>
      </c>
      <c r="K219" s="11" t="s">
        <v>388</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0" t="s">
        <v>41</v>
      </c>
      <c r="K220" s="11" t="s">
        <v>388</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388</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388</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389</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388</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368</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390</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391</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376</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376</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392</v>
      </c>
      <c r="K240" s="11" t="s">
        <v>363</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376</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376</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393</v>
      </c>
      <c r="K245" s="11" t="s">
        <v>377</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394</v>
      </c>
      <c r="K247" s="11" t="s">
        <v>377</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395</v>
      </c>
      <c r="K249" s="11" t="s">
        <v>377</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396</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396</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396</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397</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396</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398</v>
      </c>
      <c r="K256" s="11" t="s">
        <v>396</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396</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399</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400</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401</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385</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402</v>
      </c>
      <c r="K272" s="11" t="s">
        <v>403</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403</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403</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403</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403</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368</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2" t="s">
        <v>309</v>
      </c>
      <c r="B1" s="51"/>
      <c r="C1" s="49"/>
    </row>
    <row r="2" spans="1:106" ht="15" x14ac:dyDescent="0.2">
      <c r="B2" s="50" t="s">
        <v>266</v>
      </c>
      <c r="C2" s="110">
        <v>1</v>
      </c>
    </row>
    <row r="3" spans="1:106" ht="15" x14ac:dyDescent="0.2">
      <c r="B3" s="50" t="s">
        <v>302</v>
      </c>
      <c r="C3" s="110" t="s">
        <v>313</v>
      </c>
    </row>
    <row r="4" spans="1:106" ht="15" x14ac:dyDescent="0.25">
      <c r="B4" s="50" t="s">
        <v>303</v>
      </c>
      <c r="C4" s="111" t="e">
        <f>INDEX(TestMatrixVariableValues,C2,MATCH(C3,TestMatrixVariableNames,0))</f>
        <v>#N/A</v>
      </c>
    </row>
    <row r="5" spans="1:106" x14ac:dyDescent="0.2">
      <c r="F5" s="44" t="s">
        <v>279</v>
      </c>
      <c r="G5" s="45"/>
    </row>
    <row r="6" spans="1:106" x14ac:dyDescent="0.2">
      <c r="A6" s="107" t="s">
        <v>282</v>
      </c>
      <c r="B6" s="91" t="s">
        <v>277</v>
      </c>
      <c r="C6" s="52" t="s">
        <v>24</v>
      </c>
      <c r="D6" s="52" t="s">
        <v>278</v>
      </c>
      <c r="E6" s="91" t="s">
        <v>281</v>
      </c>
      <c r="F6" s="48" t="s">
        <v>280</v>
      </c>
      <c r="G6" s="124" t="s">
        <v>323</v>
      </c>
      <c r="H6" s="122" t="s">
        <v>43</v>
      </c>
      <c r="I6" s="123" t="s">
        <v>324</v>
      </c>
      <c r="J6" s="124" t="s">
        <v>325</v>
      </c>
      <c r="K6" s="122" t="s">
        <v>44</v>
      </c>
      <c r="L6" s="123" t="s">
        <v>326</v>
      </c>
      <c r="M6" s="124" t="s">
        <v>327</v>
      </c>
      <c r="N6" s="122" t="s">
        <v>45</v>
      </c>
      <c r="O6" s="123" t="s">
        <v>328</v>
      </c>
      <c r="P6" s="124" t="s">
        <v>329</v>
      </c>
      <c r="Q6" s="122" t="s">
        <v>321</v>
      </c>
      <c r="R6" s="123" t="s">
        <v>330</v>
      </c>
      <c r="S6" s="124" t="s">
        <v>331</v>
      </c>
      <c r="T6" s="122" t="s">
        <v>322</v>
      </c>
      <c r="U6" s="123" t="s">
        <v>332</v>
      </c>
      <c r="V6" s="47"/>
      <c r="W6" s="48"/>
      <c r="X6" s="48"/>
      <c r="Y6" s="47" t="s">
        <v>409</v>
      </c>
      <c r="Z6" s="47" t="s">
        <v>410</v>
      </c>
      <c r="AA6" s="47"/>
      <c r="AB6" s="47"/>
      <c r="AC6" s="47" t="s">
        <v>411</v>
      </c>
      <c r="AD6" s="47" t="s">
        <v>412</v>
      </c>
      <c r="AE6" s="48" t="s">
        <v>413</v>
      </c>
      <c r="AF6" s="48" t="s">
        <v>414</v>
      </c>
      <c r="AG6" s="48"/>
      <c r="AH6" s="47" t="s">
        <v>365</v>
      </c>
      <c r="AI6" s="47" t="s">
        <v>375</v>
      </c>
      <c r="AJ6" s="47" t="s">
        <v>378</v>
      </c>
      <c r="AK6" s="47" t="s">
        <v>392</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08">
        <f>ROW()-ROW($A$6)</f>
        <v>1</v>
      </c>
      <c r="B7" s="92" t="s">
        <v>265</v>
      </c>
      <c r="C7" s="93" t="s">
        <v>406</v>
      </c>
      <c r="D7" s="106" t="str">
        <f>IF(B7="","",IF(ISERROR(FIND("\",B7)),CONCATENATE(B7,"\",B7,".i"),CONCATENATE(B7,".i")))</f>
        <v>Case1\Case1.i</v>
      </c>
      <c r="E7" s="106" t="str">
        <f>IF(B7="","",IF(ISERROR(FIND("\",B7)),B7,RIGHT(B7,LEN(B7)-FIND("\",B7))))</f>
        <v>Case1</v>
      </c>
      <c r="F7" s="104" t="s">
        <v>28</v>
      </c>
      <c r="G7" s="120">
        <v>20</v>
      </c>
      <c r="H7" s="121">
        <v>0.01</v>
      </c>
      <c r="I7" s="120">
        <v>10</v>
      </c>
      <c r="J7" s="120">
        <v>25</v>
      </c>
      <c r="K7" s="121">
        <v>1E-3</v>
      </c>
      <c r="L7" s="120">
        <v>10</v>
      </c>
      <c r="M7" s="120">
        <v>26</v>
      </c>
      <c r="N7" s="121">
        <v>1E-3</v>
      </c>
      <c r="O7" s="120">
        <v>10</v>
      </c>
      <c r="P7" s="120"/>
      <c r="Q7" s="121">
        <v>0.02</v>
      </c>
      <c r="R7" s="120">
        <v>50</v>
      </c>
      <c r="S7" s="120"/>
      <c r="T7" s="121">
        <v>0.02</v>
      </c>
      <c r="U7" s="120">
        <v>50</v>
      </c>
      <c r="V7" s="104"/>
      <c r="W7" s="104"/>
      <c r="X7" s="104"/>
      <c r="Y7" s="104">
        <v>1</v>
      </c>
      <c r="Z7" s="104">
        <v>1</v>
      </c>
      <c r="AA7" s="104"/>
      <c r="AB7" s="104"/>
      <c r="AC7" s="104">
        <v>10</v>
      </c>
      <c r="AD7" s="104">
        <v>10</v>
      </c>
      <c r="AE7" s="104">
        <v>20</v>
      </c>
      <c r="AF7" s="104">
        <v>9999</v>
      </c>
      <c r="AG7" s="104"/>
      <c r="AH7" s="104">
        <v>0.75</v>
      </c>
      <c r="AI7" s="104">
        <v>0.75</v>
      </c>
      <c r="AJ7" s="104">
        <v>0.26500000000000001</v>
      </c>
      <c r="AK7" s="104">
        <v>0.26500000000000001</v>
      </c>
      <c r="AL7" s="104"/>
      <c r="AM7" s="104"/>
      <c r="AN7" s="104"/>
      <c r="AO7" s="104"/>
      <c r="AP7" s="104"/>
      <c r="AQ7" s="104"/>
      <c r="AR7" s="104"/>
      <c r="AS7" s="104"/>
      <c r="AT7" s="104"/>
      <c r="AU7" s="104"/>
      <c r="AV7" s="104"/>
      <c r="AW7" s="104"/>
      <c r="AX7" s="104"/>
      <c r="AY7" s="104"/>
      <c r="AZ7" s="104"/>
      <c r="BA7" s="104"/>
      <c r="BB7" s="104"/>
      <c r="BC7" s="104"/>
      <c r="BD7" s="105"/>
      <c r="BE7" s="105"/>
      <c r="BF7" s="105"/>
      <c r="BG7" s="104"/>
      <c r="BH7" s="104"/>
      <c r="BI7" s="104"/>
      <c r="BJ7" s="104"/>
      <c r="BK7" s="104"/>
      <c r="BL7" s="104"/>
      <c r="BM7" s="104"/>
      <c r="BN7" s="104"/>
      <c r="BO7" s="104"/>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08">
        <f>ROW()-ROW($A$6)</f>
        <v>2</v>
      </c>
      <c r="B8" s="92" t="s">
        <v>275</v>
      </c>
      <c r="C8" s="93" t="s">
        <v>407</v>
      </c>
      <c r="D8" s="106" t="str">
        <f>IF(B8="","",IF(ISERROR(FIND("\",B8)),CONCATENATE(B8,"\",B8,".i"),CONCATENATE(B8,".i")))</f>
        <v>Case2\Case2.i</v>
      </c>
      <c r="E8" s="106" t="str">
        <f>IF(B8="","",IF(ISERROR(FIND("\",B8)),B8,RIGHT(B8,LEN(B8)-FIND("\",B8))))</f>
        <v>Case2</v>
      </c>
      <c r="F8" s="104" t="s">
        <v>28</v>
      </c>
      <c r="G8" s="120">
        <v>20</v>
      </c>
      <c r="H8" s="121">
        <v>0.01</v>
      </c>
      <c r="I8" s="120">
        <v>10</v>
      </c>
      <c r="J8" s="120">
        <v>25</v>
      </c>
      <c r="K8" s="121">
        <v>1E-3</v>
      </c>
      <c r="L8" s="120">
        <v>10</v>
      </c>
      <c r="M8" s="120">
        <v>26</v>
      </c>
      <c r="N8" s="121">
        <v>1E-3</v>
      </c>
      <c r="O8" s="120">
        <v>10</v>
      </c>
      <c r="P8" s="120"/>
      <c r="Q8" s="121">
        <v>0.02</v>
      </c>
      <c r="R8" s="120">
        <v>50</v>
      </c>
      <c r="S8" s="120"/>
      <c r="T8" s="121">
        <v>0.02</v>
      </c>
      <c r="U8" s="120">
        <v>50</v>
      </c>
      <c r="V8" s="104"/>
      <c r="W8" s="104"/>
      <c r="X8" s="104"/>
      <c r="Y8" s="104">
        <v>1</v>
      </c>
      <c r="Z8" s="104">
        <v>1</v>
      </c>
      <c r="AA8" s="104"/>
      <c r="AB8" s="104"/>
      <c r="AC8" s="104">
        <v>10</v>
      </c>
      <c r="AD8" s="104">
        <v>10</v>
      </c>
      <c r="AE8" s="104">
        <v>20</v>
      </c>
      <c r="AF8" s="104">
        <v>9999</v>
      </c>
      <c r="AG8" s="104"/>
      <c r="AH8" s="104">
        <v>0.26</v>
      </c>
      <c r="AI8" s="104">
        <v>0.26</v>
      </c>
      <c r="AJ8" s="104">
        <v>1</v>
      </c>
      <c r="AK8" s="104">
        <v>1</v>
      </c>
      <c r="AL8" s="104"/>
      <c r="AM8" s="104"/>
      <c r="AN8" s="104"/>
      <c r="AO8" s="104"/>
      <c r="AP8" s="104"/>
      <c r="AQ8" s="104"/>
      <c r="AR8" s="104"/>
      <c r="AS8" s="104"/>
      <c r="AT8" s="104"/>
      <c r="AU8" s="104"/>
      <c r="AV8" s="104"/>
      <c r="AW8" s="104"/>
      <c r="AX8" s="104"/>
      <c r="AY8" s="104"/>
      <c r="AZ8" s="104"/>
      <c r="BA8" s="104"/>
      <c r="BB8" s="104"/>
      <c r="BC8" s="104"/>
      <c r="BD8" s="105"/>
      <c r="BE8" s="105"/>
      <c r="BF8" s="105"/>
      <c r="BG8" s="104"/>
      <c r="BH8" s="104"/>
      <c r="BI8" s="104"/>
      <c r="BJ8" s="104"/>
      <c r="BK8" s="104"/>
      <c r="BL8" s="104"/>
      <c r="BM8" s="104"/>
      <c r="BN8" s="104"/>
      <c r="BO8" s="104"/>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08">
        <f>ROW()-ROW($A$6)</f>
        <v>3</v>
      </c>
      <c r="B9" s="92" t="s">
        <v>320</v>
      </c>
      <c r="C9" s="93" t="s">
        <v>408</v>
      </c>
      <c r="D9" s="106" t="str">
        <f>IF(B9="","",IF(ISERROR(FIND("\",B9)),CONCATENATE(B9,"\",B9,".i"),CONCATENATE(B9,".i")))</f>
        <v>Case3\Case3.i</v>
      </c>
      <c r="E9" s="106" t="str">
        <f>IF(B9="","",IF(ISERROR(FIND("\",B9)),B9,RIGHT(B9,LEN(B9)-FIND("\",B9))))</f>
        <v>Case3</v>
      </c>
      <c r="F9" s="104" t="s">
        <v>28</v>
      </c>
      <c r="G9" s="120">
        <v>20</v>
      </c>
      <c r="H9" s="121">
        <v>0.01</v>
      </c>
      <c r="I9" s="120">
        <v>10</v>
      </c>
      <c r="J9" s="120">
        <v>25</v>
      </c>
      <c r="K9" s="121">
        <v>1E-3</v>
      </c>
      <c r="L9" s="120">
        <v>10</v>
      </c>
      <c r="M9" s="120">
        <v>26</v>
      </c>
      <c r="N9" s="121">
        <v>1E-3</v>
      </c>
      <c r="O9" s="120">
        <v>10</v>
      </c>
      <c r="P9" s="120"/>
      <c r="Q9" s="121">
        <v>0.02</v>
      </c>
      <c r="R9" s="120">
        <v>50</v>
      </c>
      <c r="S9" s="120"/>
      <c r="T9" s="121">
        <v>0.02</v>
      </c>
      <c r="U9" s="120">
        <v>50</v>
      </c>
      <c r="V9" s="104"/>
      <c r="W9" s="104"/>
      <c r="X9" s="104"/>
      <c r="Y9" s="104">
        <v>1</v>
      </c>
      <c r="Z9" s="104">
        <v>1</v>
      </c>
      <c r="AA9" s="104"/>
      <c r="AB9" s="104"/>
      <c r="AC9" s="104">
        <v>10</v>
      </c>
      <c r="AD9" s="104">
        <v>10</v>
      </c>
      <c r="AE9" s="104">
        <v>20</v>
      </c>
      <c r="AF9" s="104">
        <v>9999</v>
      </c>
      <c r="AG9" s="104"/>
      <c r="AH9" s="104">
        <v>0.75</v>
      </c>
      <c r="AI9" s="104">
        <v>0.75</v>
      </c>
      <c r="AJ9" s="104">
        <v>7.4999999999999997E-2</v>
      </c>
      <c r="AK9" s="104">
        <v>7.4999999999999997E-2</v>
      </c>
      <c r="AL9" s="104"/>
      <c r="AM9" s="104"/>
      <c r="AN9" s="104"/>
      <c r="AO9" s="104"/>
      <c r="AP9" s="104"/>
      <c r="AQ9" s="104"/>
      <c r="AR9" s="104"/>
      <c r="AS9" s="104"/>
      <c r="AT9" s="104"/>
      <c r="AU9" s="104"/>
      <c r="AV9" s="104"/>
      <c r="AW9" s="104"/>
      <c r="AX9" s="104"/>
      <c r="AY9" s="104"/>
      <c r="AZ9" s="104"/>
      <c r="BA9" s="104"/>
      <c r="BB9" s="104"/>
      <c r="BC9" s="104"/>
      <c r="BD9" s="105"/>
      <c r="BE9" s="105"/>
      <c r="BF9" s="105"/>
      <c r="BG9" s="104"/>
      <c r="BH9" s="104"/>
      <c r="BI9" s="104"/>
      <c r="BJ9" s="104"/>
      <c r="BK9" s="104"/>
      <c r="BL9" s="104"/>
      <c r="BM9" s="104"/>
      <c r="BN9" s="104"/>
      <c r="BO9" s="104"/>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08">
        <f>ROW()-ROW($A$6)</f>
        <v>4</v>
      </c>
      <c r="B10" s="92" t="s">
        <v>416</v>
      </c>
      <c r="C10" s="93"/>
      <c r="D10" s="106" t="str">
        <f t="shared" ref="D10:D17" si="0">IF(B10="","",IF(ISERROR(FIND("\",B10)),CONCATENATE(B10,"\",B10,".i"),CONCATENATE(B10,".i")))</f>
        <v>Instrypn\Instrypn.i</v>
      </c>
      <c r="E10" s="106" t="str">
        <f t="shared" ref="E10:E15" si="1">IF(B10="","",IF(ISERROR(FIND("\",B10)),B10,RIGHT(B10,LEN(B10)-FIND("\",B10))))</f>
        <v>Instrypn</v>
      </c>
      <c r="F10" s="104" t="s">
        <v>28</v>
      </c>
      <c r="G10" s="120">
        <v>200</v>
      </c>
      <c r="H10" s="121">
        <v>0.01</v>
      </c>
      <c r="I10" s="120">
        <v>5</v>
      </c>
      <c r="J10" s="120"/>
      <c r="K10" s="121">
        <v>1E-3</v>
      </c>
      <c r="L10" s="120"/>
      <c r="M10" s="120"/>
      <c r="N10" s="121">
        <v>1E-3</v>
      </c>
      <c r="O10" s="120">
        <v>10</v>
      </c>
      <c r="P10" s="120"/>
      <c r="Q10" s="121">
        <v>0.02</v>
      </c>
      <c r="R10" s="120">
        <v>50</v>
      </c>
      <c r="S10" s="120"/>
      <c r="T10" s="121">
        <v>0.02</v>
      </c>
      <c r="U10" s="120">
        <v>50</v>
      </c>
      <c r="V10" s="104"/>
      <c r="W10" s="104"/>
      <c r="X10" s="104"/>
      <c r="Y10" s="104">
        <v>1</v>
      </c>
      <c r="Z10" s="104">
        <v>1</v>
      </c>
      <c r="AA10" s="104"/>
      <c r="AB10" s="104"/>
      <c r="AC10" s="104">
        <v>10</v>
      </c>
      <c r="AD10" s="104">
        <v>10</v>
      </c>
      <c r="AE10" s="104">
        <v>9999</v>
      </c>
      <c r="AF10" s="104">
        <v>9999</v>
      </c>
      <c r="AG10" s="104"/>
      <c r="AH10" s="104">
        <v>0.75</v>
      </c>
      <c r="AI10" s="104">
        <v>0.75</v>
      </c>
      <c r="AJ10" s="104">
        <v>0.2</v>
      </c>
      <c r="AK10" s="104">
        <v>0.2</v>
      </c>
      <c r="AL10" s="104"/>
      <c r="AM10" s="104"/>
      <c r="AN10" s="104"/>
      <c r="AO10" s="104"/>
      <c r="AP10" s="104"/>
      <c r="AQ10" s="104"/>
      <c r="AR10" s="104"/>
      <c r="AS10" s="104"/>
      <c r="AT10" s="104"/>
      <c r="AU10" s="104"/>
      <c r="AV10" s="104"/>
      <c r="AW10" s="104"/>
      <c r="AX10" s="104"/>
      <c r="AY10" s="104"/>
      <c r="AZ10" s="104"/>
      <c r="BA10" s="104"/>
      <c r="BB10" s="104"/>
      <c r="BC10" s="104"/>
      <c r="BD10" s="105"/>
      <c r="BE10" s="105"/>
      <c r="BF10" s="105"/>
      <c r="BG10" s="104"/>
      <c r="BH10" s="104"/>
      <c r="BI10" s="104"/>
      <c r="BJ10" s="104"/>
      <c r="BK10" s="104"/>
      <c r="BL10" s="104"/>
      <c r="BM10" s="104"/>
      <c r="BN10" s="104"/>
      <c r="BO10" s="104"/>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08">
        <f t="shared" ref="A11:A18" si="2">ROW()-ROW($A$6)</f>
        <v>5</v>
      </c>
      <c r="B11" s="92"/>
      <c r="C11" s="93"/>
      <c r="D11" s="106" t="str">
        <f t="shared" si="0"/>
        <v/>
      </c>
      <c r="E11" s="106" t="str">
        <f t="shared" si="1"/>
        <v/>
      </c>
      <c r="F11" s="104"/>
      <c r="G11" s="120"/>
      <c r="H11" s="119"/>
      <c r="I11" s="104"/>
      <c r="J11" s="120"/>
      <c r="K11" s="119"/>
      <c r="L11" s="104"/>
      <c r="M11" s="104"/>
      <c r="N11" s="119"/>
      <c r="O11" s="104"/>
      <c r="P11" s="104"/>
      <c r="Q11" s="119"/>
      <c r="R11" s="104"/>
      <c r="S11" s="104"/>
      <c r="T11" s="119"/>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5"/>
      <c r="BE11" s="105"/>
      <c r="BF11" s="105"/>
      <c r="BG11" s="104"/>
      <c r="BH11" s="104"/>
      <c r="BI11" s="104"/>
      <c r="BJ11" s="104"/>
      <c r="BK11" s="104"/>
      <c r="BL11" s="104"/>
      <c r="BM11" s="104"/>
      <c r="BN11" s="104"/>
      <c r="BO11" s="104"/>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08">
        <f t="shared" si="2"/>
        <v>6</v>
      </c>
      <c r="B12" s="92"/>
      <c r="C12" s="93"/>
      <c r="D12" s="106" t="str">
        <f t="shared" si="0"/>
        <v/>
      </c>
      <c r="E12" s="106" t="str">
        <f t="shared" si="1"/>
        <v/>
      </c>
      <c r="F12" s="104"/>
      <c r="G12" s="120"/>
      <c r="H12" s="119"/>
      <c r="I12" s="104"/>
      <c r="J12" s="120"/>
      <c r="K12" s="119"/>
      <c r="L12" s="104"/>
      <c r="M12" s="104"/>
      <c r="N12" s="119"/>
      <c r="O12" s="104"/>
      <c r="P12" s="104"/>
      <c r="Q12" s="119"/>
      <c r="R12" s="104"/>
      <c r="S12" s="104"/>
      <c r="T12" s="119"/>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5"/>
      <c r="BE12" s="105"/>
      <c r="BF12" s="105"/>
      <c r="BG12" s="104"/>
      <c r="BH12" s="104"/>
      <c r="BI12" s="104"/>
      <c r="BJ12" s="104"/>
      <c r="BK12" s="104"/>
      <c r="BL12" s="104"/>
      <c r="BM12" s="104"/>
      <c r="BN12" s="104"/>
      <c r="BO12" s="104"/>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08">
        <f t="shared" si="2"/>
        <v>7</v>
      </c>
      <c r="B13" s="92"/>
      <c r="C13" s="93"/>
      <c r="D13" s="106" t="str">
        <f t="shared" si="0"/>
        <v/>
      </c>
      <c r="E13" s="106" t="str">
        <f t="shared" si="1"/>
        <v/>
      </c>
      <c r="F13" s="104"/>
      <c r="G13" s="120"/>
      <c r="H13" s="119"/>
      <c r="I13" s="104"/>
      <c r="J13" s="120"/>
      <c r="K13" s="119"/>
      <c r="L13" s="104"/>
      <c r="M13" s="104"/>
      <c r="N13" s="119"/>
      <c r="O13" s="104"/>
      <c r="P13" s="104"/>
      <c r="Q13" s="119"/>
      <c r="R13" s="104"/>
      <c r="S13" s="104"/>
      <c r="T13" s="119"/>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5"/>
      <c r="BE13" s="105"/>
      <c r="BF13" s="105"/>
      <c r="BG13" s="104"/>
      <c r="BH13" s="104"/>
      <c r="BI13" s="104"/>
      <c r="BJ13" s="104"/>
      <c r="BK13" s="104"/>
      <c r="BL13" s="104"/>
      <c r="BM13" s="104"/>
      <c r="BN13" s="104"/>
      <c r="BO13" s="104"/>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08">
        <f t="shared" si="2"/>
        <v>8</v>
      </c>
      <c r="B14" s="92"/>
      <c r="C14" s="93"/>
      <c r="D14" s="106" t="str">
        <f t="shared" si="0"/>
        <v/>
      </c>
      <c r="E14" s="106" t="str">
        <f t="shared" si="1"/>
        <v/>
      </c>
      <c r="F14" s="104"/>
      <c r="G14" s="104"/>
      <c r="H14" s="104"/>
      <c r="I14" s="104"/>
      <c r="J14" s="105"/>
      <c r="K14" s="105"/>
      <c r="L14" s="105"/>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5"/>
      <c r="BE14" s="105"/>
      <c r="BF14" s="105"/>
      <c r="BG14" s="104"/>
      <c r="BH14" s="104"/>
      <c r="BI14" s="104"/>
      <c r="BJ14" s="104"/>
      <c r="BK14" s="104"/>
      <c r="BL14" s="104"/>
      <c r="BM14" s="104"/>
      <c r="BN14" s="104"/>
      <c r="BO14" s="104"/>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08">
        <f t="shared" si="2"/>
        <v>9</v>
      </c>
      <c r="B15" s="92"/>
      <c r="C15" s="93"/>
      <c r="D15" s="106" t="str">
        <f t="shared" si="0"/>
        <v/>
      </c>
      <c r="E15" s="106" t="str">
        <f t="shared" si="1"/>
        <v/>
      </c>
      <c r="F15" s="104"/>
      <c r="G15" s="104"/>
      <c r="H15" s="104"/>
      <c r="I15" s="104"/>
      <c r="J15" s="105"/>
      <c r="K15" s="105"/>
      <c r="L15" s="105"/>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5"/>
      <c r="BE15" s="105"/>
      <c r="BF15" s="105"/>
      <c r="BG15" s="104"/>
      <c r="BH15" s="104"/>
      <c r="BI15" s="104"/>
      <c r="BJ15" s="104"/>
      <c r="BK15" s="104"/>
      <c r="BL15" s="104"/>
      <c r="BM15" s="104"/>
      <c r="BN15" s="104"/>
      <c r="BO15" s="104"/>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08">
        <f t="shared" si="2"/>
        <v>10</v>
      </c>
      <c r="B16" s="92"/>
      <c r="C16" s="93"/>
      <c r="D16" s="106" t="str">
        <f t="shared" si="0"/>
        <v/>
      </c>
      <c r="E16" s="106" t="str">
        <f>IF(B16="","",IF(ISERROR(FIND("\",B16)),B16,RIGHT(B16,LEN(B16)-FIND("\",B16))))</f>
        <v/>
      </c>
      <c r="F16" s="104"/>
      <c r="G16" s="104"/>
      <c r="H16" s="104"/>
      <c r="I16" s="104"/>
      <c r="J16" s="105"/>
      <c r="K16" s="105"/>
      <c r="L16" s="105"/>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5"/>
      <c r="BE16" s="105"/>
      <c r="BF16" s="105"/>
      <c r="BG16" s="104"/>
      <c r="BH16" s="104"/>
      <c r="BI16" s="104"/>
      <c r="BJ16" s="104"/>
      <c r="BK16" s="104"/>
      <c r="BL16" s="104"/>
      <c r="BM16" s="104"/>
      <c r="BN16" s="104"/>
      <c r="BO16" s="104"/>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08">
        <f t="shared" si="2"/>
        <v>11</v>
      </c>
      <c r="B17" s="92"/>
      <c r="C17" s="93"/>
      <c r="D17" s="106" t="str">
        <f t="shared" si="0"/>
        <v/>
      </c>
      <c r="E17" s="106" t="str">
        <f>IF(B17="","",IF(ISERROR(FIND("\",B17)),B17,RIGHT(B17,LEN(B17)-FIND("\",B17))))</f>
        <v/>
      </c>
      <c r="F17" s="104"/>
      <c r="G17" s="104"/>
      <c r="H17" s="104"/>
      <c r="I17" s="104"/>
      <c r="J17" s="105"/>
      <c r="K17" s="105"/>
      <c r="L17" s="105"/>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5"/>
      <c r="BE17" s="105"/>
      <c r="BF17" s="105"/>
      <c r="BG17" s="104"/>
      <c r="BH17" s="104"/>
      <c r="BI17" s="104"/>
      <c r="BJ17" s="104"/>
      <c r="BK17" s="104"/>
      <c r="BL17" s="104"/>
      <c r="BM17" s="104"/>
      <c r="BN17" s="104"/>
      <c r="BO17" s="104"/>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08">
        <f t="shared" si="2"/>
        <v>12</v>
      </c>
      <c r="B18" s="92"/>
      <c r="C18" s="93"/>
      <c r="D18" s="106" t="str">
        <f>IF(B18="","",IF(ISERROR(FIND("\",B18)),CONCATENATE(B18,"\",B18,".i"),CONCATENATE(B18,".i")))</f>
        <v/>
      </c>
      <c r="E18" s="106" t="str">
        <f>IF(B18="","",IF(ISERROR(FIND("\",B18)),B18,RIGHT(B18,LEN(B18)-FIND("\",B18))))</f>
        <v/>
      </c>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18"/>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6"/>
  </cols>
  <sheetData>
    <row r="2" spans="2:2" x14ac:dyDescent="0.2">
      <c r="B2" s="137"/>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276</v>
      </c>
      <c r="B50" s="53" t="s">
        <v>316</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317</v>
      </c>
    </row>
    <row r="156" spans="1:2" x14ac:dyDescent="0.2">
      <c r="A156" s="53" t="s">
        <v>190</v>
      </c>
    </row>
    <row r="158" spans="1:2" x14ac:dyDescent="0.2">
      <c r="A158" s="53" t="s">
        <v>191</v>
      </c>
    </row>
    <row r="159" spans="1:2" ht="13.5" x14ac:dyDescent="0.25">
      <c r="A159" s="58" t="s">
        <v>276</v>
      </c>
      <c r="B159" s="58" t="s">
        <v>192</v>
      </c>
    </row>
    <row r="161" spans="1:22" x14ac:dyDescent="0.2">
      <c r="A161" s="53" t="s">
        <v>194</v>
      </c>
    </row>
    <row r="162" spans="1:22" ht="13.5" x14ac:dyDescent="0.25">
      <c r="A162" s="58" t="s">
        <v>276</v>
      </c>
      <c r="B162" s="58" t="s">
        <v>193</v>
      </c>
    </row>
    <row r="164" spans="1:22" x14ac:dyDescent="0.2">
      <c r="A164" s="53" t="s">
        <v>195</v>
      </c>
    </row>
    <row r="165" spans="1:22" ht="13.5" x14ac:dyDescent="0.25">
      <c r="A165" s="58" t="s">
        <v>276</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C43"/>
  <sheetViews>
    <sheetView workbookViewId="0">
      <selection activeCell="B24" sqref="B24"/>
    </sheetView>
  </sheetViews>
  <sheetFormatPr defaultRowHeight="12.75" x14ac:dyDescent="0.2"/>
  <cols>
    <col min="1" max="1" width="11.42578125" customWidth="1"/>
    <col min="2" max="2" width="15.85546875" customWidth="1"/>
    <col min="3" max="3" width="13.28515625" customWidth="1"/>
    <col min="4" max="4" width="13" customWidth="1"/>
    <col min="6" max="6" width="12.28515625" bestFit="1" customWidth="1"/>
  </cols>
  <sheetData>
    <row r="1" spans="1:3" ht="22.5" x14ac:dyDescent="0.3">
      <c r="A1" s="97" t="s">
        <v>269</v>
      </c>
    </row>
    <row r="2" spans="1:3" ht="15" x14ac:dyDescent="0.25">
      <c r="A2" s="98" t="s">
        <v>270</v>
      </c>
    </row>
    <row r="5" spans="1:3" x14ac:dyDescent="0.2">
      <c r="A5" s="125"/>
    </row>
    <row r="6" spans="1:3" x14ac:dyDescent="0.2">
      <c r="A6" s="125"/>
      <c r="B6" s="125"/>
    </row>
    <row r="7" spans="1:3" x14ac:dyDescent="0.2">
      <c r="A7" s="125" t="s">
        <v>422</v>
      </c>
      <c r="B7" s="125" t="s">
        <v>420</v>
      </c>
      <c r="C7" s="125" t="s">
        <v>421</v>
      </c>
    </row>
    <row r="8" spans="1:3" x14ac:dyDescent="0.2">
      <c r="A8" s="125" t="s">
        <v>422</v>
      </c>
      <c r="B8" s="125" t="s">
        <v>423</v>
      </c>
      <c r="C8" s="125" t="s">
        <v>424</v>
      </c>
    </row>
    <row r="9" spans="1:3" x14ac:dyDescent="0.2">
      <c r="A9" s="125" t="s">
        <v>422</v>
      </c>
      <c r="B9" s="125" t="s">
        <v>425</v>
      </c>
      <c r="C9" s="125" t="s">
        <v>426</v>
      </c>
    </row>
    <row r="10" spans="1:3" x14ac:dyDescent="0.2">
      <c r="A10" s="125" t="s">
        <v>422</v>
      </c>
      <c r="B10" s="125" t="s">
        <v>427</v>
      </c>
      <c r="C10" s="125" t="s">
        <v>428</v>
      </c>
    </row>
    <row r="11" spans="1:3" x14ac:dyDescent="0.2">
      <c r="A11" s="125" t="s">
        <v>422</v>
      </c>
      <c r="B11" s="125" t="s">
        <v>429</v>
      </c>
      <c r="C11" s="125" t="s">
        <v>430</v>
      </c>
    </row>
    <row r="13" spans="1:3" x14ac:dyDescent="0.2">
      <c r="A13" s="125" t="s">
        <v>417</v>
      </c>
    </row>
    <row r="14" spans="1:3" x14ac:dyDescent="0.2">
      <c r="A14" s="125" t="s">
        <v>24</v>
      </c>
      <c r="B14" s="125" t="s">
        <v>419</v>
      </c>
    </row>
    <row r="15" spans="1:3" x14ac:dyDescent="0.2">
      <c r="A15" s="125" t="s">
        <v>418</v>
      </c>
      <c r="B15" s="125" t="s">
        <v>271</v>
      </c>
      <c r="C15">
        <v>-1</v>
      </c>
    </row>
    <row r="18" spans="1:3" x14ac:dyDescent="0.2">
      <c r="A18" s="125" t="s">
        <v>417</v>
      </c>
    </row>
    <row r="19" spans="1:3" x14ac:dyDescent="0.2">
      <c r="A19" s="125" t="s">
        <v>418</v>
      </c>
      <c r="B19" s="125" t="s">
        <v>272</v>
      </c>
      <c r="C19">
        <v>-2</v>
      </c>
    </row>
    <row r="23" spans="1:3" x14ac:dyDescent="0.2">
      <c r="A23" s="125" t="s">
        <v>417</v>
      </c>
    </row>
    <row r="24" spans="1:3" x14ac:dyDescent="0.2">
      <c r="A24" s="125" t="s">
        <v>418</v>
      </c>
      <c r="B24" s="125" t="s">
        <v>273</v>
      </c>
      <c r="C24">
        <v>-1</v>
      </c>
    </row>
    <row r="27" spans="1:3" x14ac:dyDescent="0.2">
      <c r="A27" s="125" t="s">
        <v>417</v>
      </c>
    </row>
    <row r="28" spans="1:3" x14ac:dyDescent="0.2">
      <c r="A28" s="125" t="s">
        <v>418</v>
      </c>
      <c r="B28" s="125" t="s">
        <v>274</v>
      </c>
      <c r="C28">
        <v>-1</v>
      </c>
    </row>
    <row r="40" spans="2:2" x14ac:dyDescent="0.2">
      <c r="B40" s="125"/>
    </row>
    <row r="41" spans="2:2" x14ac:dyDescent="0.2">
      <c r="B41" s="125"/>
    </row>
    <row r="42" spans="2:2" x14ac:dyDescent="0.2">
      <c r="B42" s="125"/>
    </row>
    <row r="43" spans="2:2" x14ac:dyDescent="0.2">
      <c r="B43"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2019-10-01T21:09:07Z</dcterms:modified>
</cp:coreProperties>
</file>