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ThisWorkbook"/>
  <bookViews>
    <workbookView xWindow="0" yWindow="0" windowWidth="21570" windowHeight="9090"/>
  </bookViews>
  <sheets>
    <sheet name="324" sheetId="12" r:id="rId1"/>
    <sheet name="runMatrix" sheetId="2" r:id="rId2"/>
    <sheet name="Modellöversikt" sheetId="13" r:id="rId3"/>
    <sheet name="Info" sheetId="4" r:id="rId4"/>
    <sheet name="Tools" sheetId="5" r:id="rId5"/>
  </sheets>
  <functionGroups builtInGroupCount="17"/>
  <externalReferences>
    <externalReference r:id="rId6"/>
  </externalReferences>
  <definedNames>
    <definedName name="CurrentFilename" localSheetId="0">'324'!$B$4</definedName>
    <definedName name="CurrentFilename">#REF!</definedName>
    <definedName name="CurrentIndex" localSheetId="0">'324'!$B$2</definedName>
    <definedName name="CurrentIndex">#REF!</definedName>
    <definedName name="dx" localSheetId="0">'324'!$B$10</definedName>
    <definedName name="H_1">#REF!</definedName>
    <definedName name="H_2">#REF!</definedName>
    <definedName name="H_pump">#REF!</definedName>
    <definedName name="ListSheets" localSheetId="0">Lista()</definedName>
    <definedName name="ListSheets">Lista()</definedName>
    <definedName name="Namn">[1]Indata!$B$11</definedName>
    <definedName name="P_1">#REF!</definedName>
    <definedName name="P_2">#REF!</definedName>
    <definedName name="roughness" localSheetId="0">'324'!$B$9</definedName>
    <definedName name="roughness">#REF!</definedName>
    <definedName name="TestMatrix">runMatrix!$B$7:$DB$18</definedName>
    <definedName name="TestMatrixFilenames">INDEX(TestMatrix,,3)</definedName>
    <definedName name="TestMatrixNames">INDEX(TestMatrix,,1)</definedName>
    <definedName name="TestMatrixTitles">INDEX(TestMatrix,,2)</definedName>
    <definedName name="TestMatrixVariableNames">runMatrix!$F$6:$DB$6</definedName>
    <definedName name="TestMatrixVariableValues">runMatrix!$F$7:$DB$18</definedName>
  </definedNames>
  <calcPr calcId="1456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R280" i="12" l="1"/>
  <c r="C266" i="12"/>
  <c r="C233" i="12"/>
  <c r="R227" i="12"/>
  <c r="C158" i="12"/>
  <c r="R127" i="12"/>
  <c r="C126" i="12"/>
  <c r="C82" i="12"/>
  <c r="R83" i="12"/>
  <c r="B31" i="12"/>
  <c r="B58" i="12"/>
  <c r="B53" i="12" l="1"/>
  <c r="B52" i="12"/>
  <c r="B51" i="12"/>
  <c r="B50" i="12"/>
  <c r="B42" i="12"/>
  <c r="B39" i="12"/>
  <c r="B36" i="12"/>
  <c r="B35" i="12"/>
  <c r="B32" i="12"/>
  <c r="B280" i="12" l="1"/>
  <c r="N278" i="12" s="1"/>
  <c r="E276" i="12"/>
  <c r="D276" i="12"/>
  <c r="B276" i="12"/>
  <c r="M278" i="12" s="1"/>
  <c r="E275" i="12"/>
  <c r="D275" i="12"/>
  <c r="B275" i="12"/>
  <c r="L274" i="12"/>
  <c r="L275" i="12" s="1"/>
  <c r="L276" i="12" s="1"/>
  <c r="E274" i="12"/>
  <c r="D274" i="12"/>
  <c r="C274" i="12"/>
  <c r="B274" i="12"/>
  <c r="N272" i="12" s="1"/>
  <c r="E272" i="12"/>
  <c r="E270" i="12"/>
  <c r="D270" i="12"/>
  <c r="C270" i="12"/>
  <c r="B270" i="12"/>
  <c r="M272" i="12" s="1"/>
  <c r="E258" i="12"/>
  <c r="D258" i="12"/>
  <c r="C258" i="12"/>
  <c r="B258" i="12"/>
  <c r="M260" i="12" s="1"/>
  <c r="E256" i="12"/>
  <c r="E254" i="12"/>
  <c r="D254" i="12"/>
  <c r="C254" i="12"/>
  <c r="B254" i="12"/>
  <c r="M256" i="12" s="1"/>
  <c r="E253" i="12"/>
  <c r="D253" i="12"/>
  <c r="B253" i="12"/>
  <c r="E252" i="12"/>
  <c r="D252" i="12"/>
  <c r="C252" i="12"/>
  <c r="B252" i="12"/>
  <c r="E251" i="12"/>
  <c r="D251" i="12"/>
  <c r="B251" i="12"/>
  <c r="N249" i="12" s="1"/>
  <c r="E249" i="12"/>
  <c r="D247" i="12"/>
  <c r="C247" i="12"/>
  <c r="E247" i="12" s="1"/>
  <c r="B247" i="12"/>
  <c r="N245" i="12" s="1"/>
  <c r="E245" i="12"/>
  <c r="E243" i="12"/>
  <c r="D243" i="12"/>
  <c r="B243" i="12"/>
  <c r="M245" i="12" s="1"/>
  <c r="E242" i="12"/>
  <c r="D242" i="12"/>
  <c r="C242" i="12"/>
  <c r="B242" i="12"/>
  <c r="N240" i="12" s="1"/>
  <c r="E240" i="12"/>
  <c r="L238" i="12"/>
  <c r="L242" i="12" s="1"/>
  <c r="L243" i="12" s="1"/>
  <c r="L251" i="12" s="1"/>
  <c r="L252" i="12" s="1"/>
  <c r="L253" i="12" s="1"/>
  <c r="L254" i="12" s="1"/>
  <c r="L258" i="12" s="1"/>
  <c r="E238" i="12"/>
  <c r="D238" i="12"/>
  <c r="C238" i="12"/>
  <c r="B238" i="12"/>
  <c r="M240" i="12" s="1"/>
  <c r="E237" i="12"/>
  <c r="D237" i="12"/>
  <c r="B237" i="12"/>
  <c r="N235" i="12" s="1"/>
  <c r="B227" i="12"/>
  <c r="N225" i="12" s="1"/>
  <c r="E223" i="12"/>
  <c r="D223" i="12"/>
  <c r="B223" i="12"/>
  <c r="M225" i="12" s="1"/>
  <c r="E222" i="12"/>
  <c r="D222" i="12"/>
  <c r="B222" i="12"/>
  <c r="E221" i="12"/>
  <c r="D221" i="12"/>
  <c r="B221" i="12"/>
  <c r="E220" i="12"/>
  <c r="D220" i="12"/>
  <c r="B220" i="12"/>
  <c r="E219" i="12"/>
  <c r="D219" i="12"/>
  <c r="B219" i="12"/>
  <c r="E218" i="12"/>
  <c r="D218" i="12"/>
  <c r="B218" i="12"/>
  <c r="E217" i="12"/>
  <c r="D217" i="12"/>
  <c r="B217" i="12"/>
  <c r="E216" i="12"/>
  <c r="D216" i="12"/>
  <c r="B216" i="12"/>
  <c r="E215" i="12"/>
  <c r="D215" i="12"/>
  <c r="B215" i="12"/>
  <c r="N213" i="12" s="1"/>
  <c r="E213" i="12"/>
  <c r="E211" i="12"/>
  <c r="D211" i="12"/>
  <c r="C211" i="12"/>
  <c r="B211" i="12"/>
  <c r="M213" i="12" s="1"/>
  <c r="E210" i="12"/>
  <c r="D210" i="12"/>
  <c r="C210" i="12"/>
  <c r="B210" i="12"/>
  <c r="M268" i="12" s="1"/>
  <c r="E209" i="12"/>
  <c r="D209" i="12"/>
  <c r="B209" i="12"/>
  <c r="N260" i="12" s="1"/>
  <c r="E208" i="12"/>
  <c r="D208" i="12"/>
  <c r="B208" i="12"/>
  <c r="N206" i="12" s="1"/>
  <c r="E206" i="12"/>
  <c r="E204" i="12"/>
  <c r="D204" i="12"/>
  <c r="C204" i="12"/>
  <c r="C208" i="12" s="1"/>
  <c r="B204" i="12"/>
  <c r="M206" i="12" s="1"/>
  <c r="E203" i="12"/>
  <c r="D203" i="12"/>
  <c r="B203" i="12"/>
  <c r="N201" i="12" s="1"/>
  <c r="E201" i="12"/>
  <c r="D199" i="12"/>
  <c r="C199" i="12"/>
  <c r="E199" i="12" s="1"/>
  <c r="B199" i="12"/>
  <c r="M201" i="12" s="1"/>
  <c r="E197" i="12"/>
  <c r="E195" i="12"/>
  <c r="D195" i="12"/>
  <c r="B195" i="12"/>
  <c r="M197" i="12" s="1"/>
  <c r="E194" i="12"/>
  <c r="D194" i="12"/>
  <c r="B194" i="12"/>
  <c r="E193" i="12"/>
  <c r="D193" i="12"/>
  <c r="B193" i="12"/>
  <c r="E192" i="12"/>
  <c r="D192" i="12"/>
  <c r="C192" i="12"/>
  <c r="B192" i="12"/>
  <c r="N190" i="12" s="1"/>
  <c r="E190" i="12"/>
  <c r="E188" i="12"/>
  <c r="D188" i="12"/>
  <c r="C188" i="12"/>
  <c r="B188" i="12"/>
  <c r="M190" i="12" s="1"/>
  <c r="E187" i="12"/>
  <c r="D187" i="12"/>
  <c r="C187" i="12"/>
  <c r="B187" i="12"/>
  <c r="M235" i="12" s="1"/>
  <c r="E186" i="12"/>
  <c r="D186" i="12"/>
  <c r="B186" i="12"/>
  <c r="E185" i="12"/>
  <c r="D185" i="12"/>
  <c r="B185" i="12"/>
  <c r="E184" i="12"/>
  <c r="D184" i="12"/>
  <c r="C184" i="12"/>
  <c r="B184" i="12"/>
  <c r="N182" i="12" s="1"/>
  <c r="E180" i="12"/>
  <c r="D180" i="12"/>
  <c r="C180" i="12"/>
  <c r="B180" i="12"/>
  <c r="M182" i="12" s="1"/>
  <c r="E179" i="12"/>
  <c r="D179" i="12"/>
  <c r="C179" i="12"/>
  <c r="B179" i="12"/>
  <c r="N177" i="12" s="1"/>
  <c r="E177" i="12"/>
  <c r="E175" i="12"/>
  <c r="D175" i="12"/>
  <c r="C175" i="12"/>
  <c r="B175" i="12"/>
  <c r="E173" i="12"/>
  <c r="E171" i="12"/>
  <c r="D171" i="12"/>
  <c r="C171" i="12"/>
  <c r="B171" i="12"/>
  <c r="R169" i="12"/>
  <c r="E169" i="12"/>
  <c r="E167" i="12"/>
  <c r="D167" i="12"/>
  <c r="B167" i="12"/>
  <c r="M169" i="12" s="1"/>
  <c r="L166" i="12"/>
  <c r="L167" i="12" s="1"/>
  <c r="L171" i="12" s="1"/>
  <c r="L175" i="12" s="1"/>
  <c r="L179" i="12" s="1"/>
  <c r="L180" i="12" s="1"/>
  <c r="L184" i="12" s="1"/>
  <c r="L185" i="12" s="1"/>
  <c r="L186" i="12" s="1"/>
  <c r="L187" i="12" s="1"/>
  <c r="L188" i="12" s="1"/>
  <c r="L192" i="12" s="1"/>
  <c r="L193" i="12" s="1"/>
  <c r="L194" i="12" s="1"/>
  <c r="L195" i="12" s="1"/>
  <c r="L203" i="12" s="1"/>
  <c r="L204" i="12" s="1"/>
  <c r="L208" i="12" s="1"/>
  <c r="L209" i="12" s="1"/>
  <c r="L210" i="12" s="1"/>
  <c r="L211" i="12" s="1"/>
  <c r="L215" i="12" s="1"/>
  <c r="L216" i="12" s="1"/>
  <c r="L217" i="12" s="1"/>
  <c r="L218" i="12" s="1"/>
  <c r="L219" i="12" s="1"/>
  <c r="L220" i="12" s="1"/>
  <c r="L221" i="12" s="1"/>
  <c r="L222" i="12" s="1"/>
  <c r="L223" i="12" s="1"/>
  <c r="E166" i="12"/>
  <c r="D166" i="12"/>
  <c r="C166" i="12"/>
  <c r="B166" i="12"/>
  <c r="N164" i="12" s="1"/>
  <c r="E164" i="12"/>
  <c r="E162" i="12"/>
  <c r="D162" i="12"/>
  <c r="C162" i="12"/>
  <c r="B162" i="12"/>
  <c r="M164" i="12" s="1"/>
  <c r="E140" i="12"/>
  <c r="D140" i="12"/>
  <c r="C140" i="12"/>
  <c r="B140" i="12"/>
  <c r="M142" i="12" s="1"/>
  <c r="E138" i="12"/>
  <c r="E136" i="12"/>
  <c r="D136" i="12"/>
  <c r="C136" i="12"/>
  <c r="B136" i="12"/>
  <c r="M138" i="12" s="1"/>
  <c r="F135" i="12"/>
  <c r="E135" i="12"/>
  <c r="D135" i="12"/>
  <c r="C135" i="12"/>
  <c r="B135" i="12"/>
  <c r="E134" i="12"/>
  <c r="D134" i="12"/>
  <c r="C134" i="12"/>
  <c r="B134" i="12"/>
  <c r="E133" i="12"/>
  <c r="D133" i="12"/>
  <c r="B133" i="12"/>
  <c r="L132" i="12"/>
  <c r="L133" i="12" s="1"/>
  <c r="L134" i="12" s="1"/>
  <c r="L135" i="12" s="1"/>
  <c r="L136" i="12" s="1"/>
  <c r="L140" i="12" s="1"/>
  <c r="E132" i="12"/>
  <c r="D132" i="12"/>
  <c r="B132" i="12"/>
  <c r="E131" i="12"/>
  <c r="D131" i="12"/>
  <c r="C131" i="12"/>
  <c r="B131" i="12"/>
  <c r="N129" i="12" s="1"/>
  <c r="X129" i="12"/>
  <c r="X130" i="12" s="1"/>
  <c r="X127" i="12"/>
  <c r="X128" i="12" s="1"/>
  <c r="B127" i="12"/>
  <c r="M129" i="12" s="1"/>
  <c r="E118" i="12"/>
  <c r="D118" i="12"/>
  <c r="C118" i="12"/>
  <c r="B118" i="12"/>
  <c r="M120" i="12" s="1"/>
  <c r="T116" i="12"/>
  <c r="E116" i="12"/>
  <c r="E114" i="12"/>
  <c r="D114" i="12"/>
  <c r="C114" i="12"/>
  <c r="B114" i="12"/>
  <c r="M116" i="12" s="1"/>
  <c r="E112" i="12"/>
  <c r="E110" i="12"/>
  <c r="E122" i="12" s="1"/>
  <c r="D110" i="12"/>
  <c r="C110" i="12"/>
  <c r="B110" i="12"/>
  <c r="M112" i="12" s="1"/>
  <c r="R108" i="12"/>
  <c r="E108" i="12"/>
  <c r="E106" i="12"/>
  <c r="D106" i="12"/>
  <c r="B106" i="12"/>
  <c r="M108" i="12" s="1"/>
  <c r="E105" i="12"/>
  <c r="D105" i="12"/>
  <c r="C105" i="12"/>
  <c r="B105" i="12"/>
  <c r="N103" i="12" s="1"/>
  <c r="E103" i="12"/>
  <c r="E101" i="12"/>
  <c r="D101" i="12"/>
  <c r="C101" i="12"/>
  <c r="B101" i="12"/>
  <c r="M103" i="12" s="1"/>
  <c r="E100" i="12"/>
  <c r="D100" i="12"/>
  <c r="B100" i="12"/>
  <c r="N98" i="12" s="1"/>
  <c r="E96" i="12"/>
  <c r="D96" i="12"/>
  <c r="B96" i="12"/>
  <c r="M160" i="12" s="1"/>
  <c r="E95" i="12"/>
  <c r="D95" i="12"/>
  <c r="B95" i="12"/>
  <c r="E94" i="12"/>
  <c r="D94" i="12"/>
  <c r="C94" i="12"/>
  <c r="B94" i="12"/>
  <c r="N142" i="12" s="1"/>
  <c r="E93" i="12"/>
  <c r="D93" i="12"/>
  <c r="C93" i="12"/>
  <c r="B93" i="12"/>
  <c r="E92" i="12"/>
  <c r="D92" i="12"/>
  <c r="C92" i="12"/>
  <c r="B92" i="12"/>
  <c r="N90" i="12" s="1"/>
  <c r="E90" i="12"/>
  <c r="L88" i="12"/>
  <c r="L92" i="12" s="1"/>
  <c r="L93" i="12" s="1"/>
  <c r="L94" i="12" s="1"/>
  <c r="L95" i="12" s="1"/>
  <c r="L96" i="12" s="1"/>
  <c r="L100" i="12" s="1"/>
  <c r="L101" i="12" s="1"/>
  <c r="L105" i="12" s="1"/>
  <c r="L106" i="12" s="1"/>
  <c r="L110" i="12" s="1"/>
  <c r="L114" i="12" s="1"/>
  <c r="L118" i="12" s="1"/>
  <c r="E88" i="12"/>
  <c r="D88" i="12"/>
  <c r="C88" i="12"/>
  <c r="B88" i="12"/>
  <c r="M90" i="12" s="1"/>
  <c r="E87" i="12"/>
  <c r="D87" i="12"/>
  <c r="B87" i="12"/>
  <c r="N85" i="12" s="1"/>
  <c r="X83" i="12"/>
  <c r="X84" i="12" s="1"/>
  <c r="X85" i="12" s="1"/>
  <c r="X86" i="12" s="1"/>
  <c r="X87" i="12" s="1"/>
  <c r="B83" i="12"/>
  <c r="M85" i="12" s="1"/>
  <c r="T240" i="12"/>
  <c r="T190" i="12"/>
  <c r="T177" i="12"/>
  <c r="T256" i="12"/>
  <c r="T206" i="12"/>
  <c r="D22" i="12"/>
  <c r="C22" i="12"/>
  <c r="B22" i="12"/>
  <c r="A22" i="12" s="1"/>
  <c r="D21" i="12"/>
  <c r="C21" i="12"/>
  <c r="B21" i="12"/>
  <c r="A21" i="12" s="1"/>
  <c r="D20" i="12"/>
  <c r="C20" i="12"/>
  <c r="B20" i="12"/>
  <c r="A20" i="12" s="1"/>
  <c r="D19" i="12"/>
  <c r="C19" i="12"/>
  <c r="B19" i="12"/>
  <c r="A19" i="12" s="1"/>
  <c r="D18" i="12"/>
  <c r="C18" i="12"/>
  <c r="B18" i="12"/>
  <c r="A18" i="12" s="1"/>
  <c r="F8" i="12"/>
  <c r="B6" i="12"/>
  <c r="B5" i="12"/>
  <c r="G2" i="12"/>
  <c r="E2" i="12"/>
  <c r="B48" i="12"/>
  <c r="N138" i="12" l="1"/>
  <c r="N112" i="12"/>
  <c r="X131" i="12"/>
  <c r="X132" i="12" s="1"/>
  <c r="X133" i="12" s="1"/>
  <c r="X134" i="12" s="1"/>
  <c r="X135" i="12" s="1"/>
  <c r="X136" i="12" s="1"/>
  <c r="X137" i="12" s="1"/>
  <c r="X138" i="12" s="1"/>
  <c r="X139" i="12" s="1"/>
  <c r="X140" i="12" s="1"/>
  <c r="X141" i="12" s="1"/>
  <c r="X142" i="12" s="1"/>
  <c r="N120" i="12"/>
  <c r="N108" i="12"/>
  <c r="M249" i="12"/>
  <c r="N256" i="12"/>
  <c r="X88" i="12"/>
  <c r="X89" i="12" s="1"/>
  <c r="X90" i="12" s="1"/>
  <c r="X91" i="12" s="1"/>
  <c r="X92" i="12" s="1"/>
  <c r="X93" i="12" s="1"/>
  <c r="X94" i="12" s="1"/>
  <c r="X95" i="12" s="1"/>
  <c r="X96" i="12" s="1"/>
  <c r="X97" i="12" s="1"/>
  <c r="X98" i="12" s="1"/>
  <c r="M98" i="12"/>
  <c r="H245" i="12"/>
  <c r="I197" i="12"/>
  <c r="H197" i="12"/>
  <c r="I245" i="12"/>
  <c r="N268" i="12"/>
  <c r="N116" i="12"/>
  <c r="N197" i="12"/>
  <c r="N160" i="12"/>
  <c r="B126" i="12"/>
  <c r="Q127" i="12"/>
  <c r="Q83" i="12"/>
  <c r="B82" i="12"/>
  <c r="N173" i="12"/>
  <c r="M177" i="12"/>
  <c r="M173" i="12"/>
  <c r="N169" i="12"/>
  <c r="E9" i="2"/>
  <c r="D9" i="2"/>
  <c r="A9" i="2"/>
  <c r="W142" i="12" l="1"/>
  <c r="X99" i="12"/>
  <c r="X100" i="12" s="1"/>
  <c r="X101" i="12" s="1"/>
  <c r="X102" i="12" s="1"/>
  <c r="X103" i="12" s="1"/>
  <c r="X104" i="12" s="1"/>
  <c r="X105" i="12" s="1"/>
  <c r="X106" i="12" s="1"/>
  <c r="X107" i="12" s="1"/>
  <c r="X108" i="12" s="1"/>
  <c r="X109" i="12" s="1"/>
  <c r="X110" i="12" s="1"/>
  <c r="X111" i="12" s="1"/>
  <c r="X112" i="12" s="1"/>
  <c r="X113" i="12" s="1"/>
  <c r="X114" i="12" s="1"/>
  <c r="X115" i="12" s="1"/>
  <c r="X116" i="12" s="1"/>
  <c r="X117" i="12" s="1"/>
  <c r="X118" i="12" s="1"/>
  <c r="X119" i="12" s="1"/>
  <c r="X120" i="12" s="1"/>
  <c r="X160" i="12"/>
  <c r="B158" i="12" s="1"/>
  <c r="X161" i="12" l="1"/>
  <c r="X162" i="12" s="1"/>
  <c r="X163" i="12" s="1"/>
  <c r="X164" i="12" s="1"/>
  <c r="X165" i="12" s="1"/>
  <c r="X166" i="12" s="1"/>
  <c r="X167" i="12" s="1"/>
  <c r="X168" i="12" s="1"/>
  <c r="X169" i="12" s="1"/>
  <c r="X170" i="12" s="1"/>
  <c r="X171" i="12" s="1"/>
  <c r="X172" i="12" l="1"/>
  <c r="X173" i="12" s="1"/>
  <c r="X174" i="12" s="1"/>
  <c r="X175" i="12" s="1"/>
  <c r="X176" i="12" s="1"/>
  <c r="X177" i="12" s="1"/>
  <c r="X178" i="12" s="1"/>
  <c r="X179" i="12" s="1"/>
  <c r="X180" i="12" s="1"/>
  <c r="X181" i="12" s="1"/>
  <c r="X182" i="12" s="1"/>
  <c r="Y171" i="12"/>
  <c r="X183" i="12" l="1"/>
  <c r="X184" i="12" s="1"/>
  <c r="X185" i="12" s="1"/>
  <c r="X186" i="12" s="1"/>
  <c r="X187" i="12" s="1"/>
  <c r="W120" i="12"/>
  <c r="H22" i="2"/>
  <c r="X235" i="12" l="1"/>
  <c r="B233" i="12" s="1"/>
  <c r="X188" i="12"/>
  <c r="X189" i="12" s="1"/>
  <c r="X190" i="12" s="1"/>
  <c r="X191" i="12" s="1"/>
  <c r="X192" i="12" s="1"/>
  <c r="X193" i="12" s="1"/>
  <c r="X194" i="12" s="1"/>
  <c r="X195" i="12" s="1"/>
  <c r="X196" i="12" s="1"/>
  <c r="X197" i="12" s="1"/>
  <c r="X198" i="12" s="1"/>
  <c r="X199" i="12" s="1"/>
  <c r="X200" i="12" s="1"/>
  <c r="X201" i="12" s="1"/>
  <c r="X202" i="12" s="1"/>
  <c r="X203" i="12" s="1"/>
  <c r="X208" i="12" s="1"/>
  <c r="W260" i="12" l="1"/>
  <c r="X209" i="12"/>
  <c r="X210" i="12" s="1"/>
  <c r="X236" i="12"/>
  <c r="X237" i="12" s="1"/>
  <c r="X238" i="12" s="1"/>
  <c r="X239" i="12" s="1"/>
  <c r="X240" i="12" s="1"/>
  <c r="X241" i="12" s="1"/>
  <c r="X242" i="12" s="1"/>
  <c r="X243" i="12" s="1"/>
  <c r="X244" i="12" s="1"/>
  <c r="X245" i="12" s="1"/>
  <c r="X246" i="12" s="1"/>
  <c r="X247" i="12" s="1"/>
  <c r="X248" i="12" s="1"/>
  <c r="X249" i="12" s="1"/>
  <c r="X250" i="12" s="1"/>
  <c r="X251" i="12" s="1"/>
  <c r="X252" i="12" s="1"/>
  <c r="X253" i="12" s="1"/>
  <c r="X254" i="12" s="1"/>
  <c r="X255" i="12" s="1"/>
  <c r="X256" i="12" s="1"/>
  <c r="X257" i="12" s="1"/>
  <c r="X258" i="12" s="1"/>
  <c r="X259" i="12" s="1"/>
  <c r="X260" i="12" s="1"/>
  <c r="X211" i="12" l="1"/>
  <c r="X212" i="12" s="1"/>
  <c r="X213" i="12" s="1"/>
  <c r="X214" i="12" s="1"/>
  <c r="X215" i="12" s="1"/>
  <c r="X216" i="12" s="1"/>
  <c r="X217" i="12" s="1"/>
  <c r="X218" i="12" s="1"/>
  <c r="X219" i="12" s="1"/>
  <c r="X220" i="12" s="1"/>
  <c r="X221" i="12" s="1"/>
  <c r="X222" i="12" s="1"/>
  <c r="X223" i="12" s="1"/>
  <c r="X224" i="12" s="1"/>
  <c r="X225" i="12" s="1"/>
  <c r="X226" i="12" s="1"/>
  <c r="Q227" i="12" s="1"/>
  <c r="X268" i="12"/>
  <c r="B266" i="12" s="1"/>
  <c r="X269" i="12" l="1"/>
  <c r="X270" i="12" s="1"/>
  <c r="X271" i="12" s="1"/>
  <c r="X272" i="12" s="1"/>
  <c r="X273" i="12" s="1"/>
  <c r="X274" i="12" s="1"/>
  <c r="X275" i="12" s="1"/>
  <c r="X276" i="12" s="1"/>
  <c r="X277" i="12" s="1"/>
  <c r="X278" i="12" s="1"/>
  <c r="X279" i="12" s="1"/>
  <c r="Q280" i="12" s="1"/>
  <c r="X227" i="12"/>
  <c r="X280" i="12" l="1"/>
  <c r="E8" i="2" l="1"/>
  <c r="D8" i="2"/>
  <c r="A8" i="2"/>
  <c r="E7" i="2"/>
  <c r="D7" i="2"/>
  <c r="A7" i="2"/>
  <c r="C4" i="2" l="1"/>
  <c r="A28" i="5" l="1"/>
  <c r="A27" i="5"/>
  <c r="A26" i="5"/>
  <c r="A25" i="5"/>
  <c r="A24" i="5"/>
  <c r="A23" i="5"/>
  <c r="A22" i="5"/>
  <c r="A21" i="5"/>
  <c r="A20" i="5"/>
  <c r="A19" i="5"/>
  <c r="A18" i="5"/>
  <c r="A17" i="5"/>
  <c r="A16" i="5" l="1"/>
  <c r="A15" i="5"/>
  <c r="A14" i="5"/>
  <c r="A13" i="5"/>
  <c r="A12" i="5"/>
  <c r="A11" i="5"/>
  <c r="A10" i="5"/>
  <c r="A9" i="5"/>
  <c r="A8" i="5"/>
  <c r="A7" i="5"/>
  <c r="A6" i="5"/>
  <c r="A5" i="5"/>
  <c r="B310" i="4"/>
  <c r="N308" i="4" s="1"/>
  <c r="E308" i="4"/>
  <c r="E306" i="4"/>
  <c r="D306" i="4"/>
  <c r="B306" i="4"/>
  <c r="M308" i="4" s="1"/>
  <c r="E304" i="4"/>
  <c r="E302" i="4"/>
  <c r="D302" i="4"/>
  <c r="B302" i="4"/>
  <c r="M304" i="4" s="1"/>
  <c r="E301" i="4"/>
  <c r="D301" i="4"/>
  <c r="B301" i="4"/>
  <c r="N299" i="4" s="1"/>
  <c r="E299" i="4"/>
  <c r="E297" i="4"/>
  <c r="D297" i="4"/>
  <c r="B297" i="4"/>
  <c r="M299" i="4" s="1"/>
  <c r="T295" i="4"/>
  <c r="E295" i="4"/>
  <c r="E293" i="4"/>
  <c r="D293" i="4"/>
  <c r="B293" i="4"/>
  <c r="M295" i="4" s="1"/>
  <c r="E292" i="4"/>
  <c r="D292" i="4"/>
  <c r="B292" i="4"/>
  <c r="N290" i="4" s="1"/>
  <c r="B288" i="4"/>
  <c r="M290" i="4" s="1"/>
  <c r="E18" i="2"/>
  <c r="D18" i="2"/>
  <c r="A18" i="2"/>
  <c r="E17" i="2"/>
  <c r="D17" i="2"/>
  <c r="A17" i="2"/>
  <c r="E16" i="2"/>
  <c r="D16" i="2"/>
  <c r="A16" i="2"/>
  <c r="E15" i="2"/>
  <c r="D15" i="2"/>
  <c r="A15" i="2"/>
  <c r="E14" i="2"/>
  <c r="D14" i="2"/>
  <c r="A14" i="2"/>
  <c r="E13" i="2"/>
  <c r="D13" i="2"/>
  <c r="A13" i="2"/>
  <c r="E12" i="2"/>
  <c r="D12" i="2"/>
  <c r="A12" i="2"/>
  <c r="E11" i="2"/>
  <c r="D11" i="2"/>
  <c r="A11" i="2"/>
  <c r="E10" i="2"/>
  <c r="D10" i="2"/>
  <c r="B4" i="12" s="1"/>
  <c r="E4" i="12" s="1"/>
  <c r="A10" i="2"/>
  <c r="N295" i="4" l="1"/>
  <c r="N304" i="4"/>
</calcChain>
</file>

<file path=xl/comments1.xml><?xml version="1.0" encoding="utf-8"?>
<comments xmlns="http://schemas.openxmlformats.org/spreadsheetml/2006/main">
  <authors>
    <author>n/a</author>
  </authors>
  <commentList>
    <comment ref="A1" authorId="0">
      <text>
        <r>
          <rPr>
            <b/>
            <sz val="9"/>
            <color indexed="81"/>
            <rFont val="Tahoma"/>
            <family val="2"/>
          </rPr>
          <t>QUICK HELP
Ctrl+Shift+i = Prope output</t>
        </r>
      </text>
    </comment>
  </commentList>
</comments>
</file>

<file path=xl/comments2.xml><?xml version="1.0" encoding="utf-8"?>
<comments xmlns="http://schemas.openxmlformats.org/spreadsheetml/2006/main">
  <authors>
    <author>Edebro Daniel (GR-TPS)</author>
  </authors>
  <commentList>
    <comment ref="B6" authorId="0">
      <text>
        <r>
          <rPr>
            <sz val="12"/>
            <color indexed="81"/>
            <rFont val="Tahoma"/>
            <family val="2"/>
          </rPr>
          <t>The label controls the where file is put
If label is: 
"Case1a"  the path becomes "Case1\Case1.i"
But if label is written like:
"Case1\Case1b"  the path becomes "Case1\Case1b.i" (same folder)</t>
        </r>
      </text>
    </comment>
  </commentList>
</comments>
</file>

<file path=xl/sharedStrings.xml><?xml version="1.0" encoding="utf-8"?>
<sst xmlns="http://schemas.openxmlformats.org/spreadsheetml/2006/main" count="2159" uniqueCount="423">
  <si>
    <t>Typ</t>
  </si>
  <si>
    <t>Unikt ID</t>
  </si>
  <si>
    <t>Längd</t>
  </si>
  <si>
    <t>dx</t>
  </si>
  <si>
    <t>Area</t>
  </si>
  <si>
    <t>Vert.vinkel</t>
  </si>
  <si>
    <t>Azi.vinkel</t>
  </si>
  <si>
    <t>K+</t>
  </si>
  <si>
    <t>K-</t>
  </si>
  <si>
    <t>Namn</t>
  </si>
  <si>
    <t>Ritning</t>
  </si>
  <si>
    <t>Kraftnr
(1-9999)</t>
  </si>
  <si>
    <t>från ID</t>
  </si>
  <si>
    <t>till ID</t>
  </si>
  <si>
    <t>fr 
sida</t>
  </si>
  <si>
    <t>t 
sida</t>
  </si>
  <si>
    <t>Tryck/
Ytråhet</t>
  </si>
  <si>
    <t>Temp/
Q_norm</t>
  </si>
  <si>
    <t xml:space="preserve">
H_norm</t>
  </si>
  <si>
    <t>On/Off
N_norm</t>
  </si>
  <si>
    <t>V-flags
tlpvbfe
'-'=dflt</t>
  </si>
  <si>
    <t>J-flags
jefvcahs
'-'=dflt</t>
  </si>
  <si>
    <t>z-pos</t>
  </si>
  <si>
    <t>(opt)
z-diff</t>
  </si>
  <si>
    <t>Title</t>
  </si>
  <si>
    <t>Include</t>
  </si>
  <si>
    <t>Timestep</t>
  </si>
  <si>
    <t>Refvol</t>
  </si>
  <si>
    <t>h2o</t>
  </si>
  <si>
    <t>global dx</t>
  </si>
  <si>
    <t>CntrlvarNr</t>
  </si>
  <si>
    <t>Cvformat</t>
  </si>
  <si>
    <t>Tripformat</t>
  </si>
  <si>
    <t>ForceCalc</t>
  </si>
  <si>
    <t>Custom</t>
  </si>
  <si>
    <t>Relapnr</t>
  </si>
  <si>
    <t>Init</t>
  </si>
  <si>
    <t>Tmdpvol</t>
  </si>
  <si>
    <t>-</t>
  </si>
  <si>
    <t>Junction</t>
  </si>
  <si>
    <t>junc</t>
  </si>
  <si>
    <t>Pipe</t>
  </si>
  <si>
    <t>Triggerwords</t>
  </si>
  <si>
    <t>dt1</t>
  </si>
  <si>
    <t>dt2</t>
  </si>
  <si>
    <t>dt3</t>
  </si>
  <si>
    <t>Srvvlv</t>
  </si>
  <si>
    <t>Kond</t>
  </si>
  <si>
    <t>A200</t>
  </si>
  <si>
    <t>Pump</t>
  </si>
  <si>
    <t>A100</t>
  </si>
  <si>
    <t>Chkvlv</t>
  </si>
  <si>
    <t>V1</t>
  </si>
  <si>
    <t>Chamb1</t>
  </si>
  <si>
    <t>* Flödesväg 1: Från kondensor via P1 till reaktortank</t>
  </si>
  <si>
    <t>V2</t>
  </si>
  <si>
    <t>Mtrvlv</t>
  </si>
  <si>
    <t>P1</t>
  </si>
  <si>
    <t>Översikt - indatablad till text2relap</t>
  </si>
  <si>
    <t>Bakgrund</t>
  </si>
  <si>
    <t>text2relap är ett program/script för att generera indatafiler till RELAP5 (mod3.3 pX) givet indata på en enklare form.</t>
  </si>
  <si>
    <t>Detta excelark är ett indatablad för detta script. Själva huvudscriptet är skrivet i MATLAB vilket kan läsa detta excelark.</t>
  </si>
  <si>
    <t>Övergripande</t>
  </si>
  <si>
    <t>För att scriptet ska veta vilken indata den läser indikeras varje typ av indata med ett ord i första raden. Ord som känns igen är följande:</t>
  </si>
  <si>
    <t>Ord</t>
  </si>
  <si>
    <t>Typ av indata</t>
  </si>
  <si>
    <t>Inrvlv</t>
  </si>
  <si>
    <t>Snglvol</t>
  </si>
  <si>
    <t>Tmdpjun</t>
  </si>
  <si>
    <t>Trpvlv</t>
  </si>
  <si>
    <t>InitGas</t>
  </si>
  <si>
    <t>*</t>
  </si>
  <si>
    <t xml:space="preserve">** </t>
  </si>
  <si>
    <t>Enkel kommentar. Bör användas vid kortare kommentarer som man vill ska synas i indatafilen (ex: "Stängd ventil V1" om flödesvägen slutar vid en stängd ventil som inte modelleras)</t>
  </si>
  <si>
    <t>Rubrik-kommentar. Lägger in större mellanrum för att förtydliga att något nytt kommer. Bör användas för att indikera var flödesvägar börjar.</t>
  </si>
  <si>
    <t>Sätter startpunkt för ny numerering</t>
  </si>
  <si>
    <t>Sätter initialtillståndet från detta kort till angivet värde</t>
  </si>
  <si>
    <t>Sätter initialtillståndet från detta kort till angivet värde samt anger ebt = 104</t>
  </si>
  <si>
    <t>Pipe-komponent</t>
  </si>
  <si>
    <t>Sngljun-komponent</t>
  </si>
  <si>
    <t>Inertial swing check valve-komponent</t>
  </si>
  <si>
    <t>Servo valve-komponent</t>
  </si>
  <si>
    <t>Motor valve komponent</t>
  </si>
  <si>
    <t>Check valve (Ideal backventil)</t>
  </si>
  <si>
    <t>Trip valve</t>
  </si>
  <si>
    <t>Time dependent volume</t>
  </si>
  <si>
    <t>Single volume</t>
  </si>
  <si>
    <t>Time dependent junction</t>
  </si>
  <si>
    <t>Anger titel för indatafilen</t>
  </si>
  <si>
    <r>
      <t xml:space="preserve">Anger i vilken mapp includefiler finns. Bör alltid sättas till </t>
    </r>
    <r>
      <rPr>
        <b/>
        <i/>
        <sz val="10"/>
        <rFont val="Arial"/>
        <family val="2"/>
      </rPr>
      <t>include\</t>
    </r>
    <r>
      <rPr>
        <sz val="10"/>
        <rFont val="Arial"/>
        <family val="2"/>
      </rPr>
      <t xml:space="preserve"> så att includefilerna ligger i en undermapp </t>
    </r>
  </si>
  <si>
    <t xml:space="preserve">Lägger till ett tidsstegskort i indatafilen </t>
  </si>
  <si>
    <r>
      <t xml:space="preserve">Anger referensvolym </t>
    </r>
    <r>
      <rPr>
        <b/>
        <i/>
        <sz val="10"/>
        <rFont val="Arial"/>
        <family val="2"/>
      </rPr>
      <t>och ångtabell</t>
    </r>
  </si>
  <si>
    <t>Anger på vilket nummer cntrlvariabel-numreringen ska starta</t>
  </si>
  <si>
    <t>Anger om normal eller det utökade formatet för cntrlvariabler ska anges (999 eller 9999 st)</t>
  </si>
  <si>
    <t>Anger vilket format trippar ska has. 0 = default (variabeltrippar mellan nr 401-599 och logiska trippar mellan nr 601-799)</t>
  </si>
  <si>
    <t>Anger hur krafter ska beräknas.</t>
  </si>
  <si>
    <t>Lägger in includefilen</t>
  </si>
  <si>
    <t>Kopplingar</t>
  </si>
  <si>
    <t>Hur modellen ska kopplas ihop anges på ord 13-16 i "junction"-komponenter (Junction, Ventiler, pumpar). Från-ID:t säger från vilket rörsegment volymen ska koppla</t>
  </si>
  <si>
    <t>men eftersom rörsegmentet kan ha flera volymer måste även det specificeras. Eftersom komponentnumreringen görs när själva scriptet körs och inte då excelarket skrivs</t>
  </si>
  <si>
    <t>finns inte denna informationen tillgänglig. Lösningen på det är att, baserat på vilken sida som anges, ha en standardkonvention. Därför måste även från-sida anges.</t>
  </si>
  <si>
    <t>Kopplingskonventionen är följande</t>
  </si>
  <si>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2</t>
    </r>
    <r>
      <rPr>
        <sz val="10"/>
        <rFont val="Arial"/>
        <family val="2"/>
      </rPr>
      <t xml:space="preserve"> väljs </t>
    </r>
    <r>
      <rPr>
        <b/>
        <sz val="10"/>
        <rFont val="Arial"/>
        <family val="2"/>
      </rPr>
      <t>sista volymen</t>
    </r>
    <r>
      <rPr>
        <sz val="10"/>
        <rFont val="Arial"/>
        <family val="2"/>
      </rPr>
      <t xml:space="preserve"> i PIPE_83</t>
    </r>
  </si>
  <si>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3</t>
    </r>
    <r>
      <rPr>
        <sz val="10"/>
        <rFont val="Arial"/>
        <family val="2"/>
      </rPr>
      <t xml:space="preserve"> (eller 4,5,6) väljs </t>
    </r>
    <r>
      <rPr>
        <b/>
        <sz val="10"/>
        <rFont val="Arial"/>
        <family val="2"/>
      </rPr>
      <t>sista volymen</t>
    </r>
    <r>
      <rPr>
        <sz val="10"/>
        <rFont val="Arial"/>
        <family val="2"/>
      </rPr>
      <t xml:space="preserve"> i PIPE_83</t>
    </r>
  </si>
  <si>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1</t>
    </r>
    <r>
      <rPr>
        <sz val="10"/>
        <rFont val="Arial"/>
        <family val="2"/>
      </rPr>
      <t xml:space="preserve"> väljs </t>
    </r>
    <r>
      <rPr>
        <b/>
        <sz val="10"/>
        <rFont val="Arial"/>
        <family val="2"/>
      </rPr>
      <t>första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</si>
  <si>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3</t>
    </r>
    <r>
      <rPr>
        <sz val="10"/>
        <rFont val="Arial"/>
        <family val="2"/>
      </rPr>
      <t xml:space="preserve"> (eller 4,5,6) väljs </t>
    </r>
    <r>
      <rPr>
        <b/>
        <sz val="12"/>
        <rFont val="Arial"/>
        <family val="2"/>
      </rPr>
      <t>första</t>
    </r>
    <r>
      <rPr>
        <b/>
        <sz val="10"/>
        <rFont val="Arial"/>
        <family val="2"/>
      </rPr>
      <t xml:space="preserve">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</si>
  <si>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2</t>
    </r>
    <r>
      <rPr>
        <sz val="10"/>
        <rFont val="Arial"/>
        <family val="2"/>
      </rPr>
      <t xml:space="preserve"> väljs </t>
    </r>
    <r>
      <rPr>
        <b/>
        <sz val="12"/>
        <rFont val="Arial"/>
        <family val="2"/>
      </rPr>
      <t>sista</t>
    </r>
    <r>
      <rPr>
        <b/>
        <sz val="10"/>
        <rFont val="Arial"/>
        <family val="2"/>
      </rPr>
      <t xml:space="preserve">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</si>
  <si>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1</t>
    </r>
    <r>
      <rPr>
        <sz val="10"/>
        <rFont val="Arial"/>
        <family val="2"/>
      </rPr>
      <t xml:space="preserve"> väljs </t>
    </r>
    <r>
      <rPr>
        <b/>
        <sz val="12"/>
        <rFont val="Arial"/>
        <family val="2"/>
      </rPr>
      <t>första</t>
    </r>
    <r>
      <rPr>
        <b/>
        <sz val="10"/>
        <rFont val="Arial"/>
        <family val="2"/>
      </rPr>
      <t xml:space="preserve"> volymen</t>
    </r>
    <r>
      <rPr>
        <sz val="10"/>
        <rFont val="Arial"/>
        <family val="2"/>
      </rPr>
      <t xml:space="preserve"> i PIPE_83</t>
    </r>
  </si>
  <si>
    <r>
      <t>Viktigt:</t>
    </r>
    <r>
      <rPr>
        <sz val="10"/>
        <rFont val="Arial"/>
        <family val="2"/>
      </rPr>
      <t xml:space="preserve"> För att undvika problem med kopplingar som kopplar fel bör aldrig direktreferenser (när man skriver =B3) användas för "interna junctions" (de junctions inom en flödesväg). </t>
    </r>
  </si>
  <si>
    <t>Ex)</t>
  </si>
  <si>
    <r>
      <t xml:space="preserve">Relativ referens:    </t>
    </r>
    <r>
      <rPr>
        <sz val="10"/>
        <rFont val="Courier New"/>
        <family val="3"/>
      </rPr>
      <t>=FÖRSKJUTNING($A$1;RAD()-3;1)</t>
    </r>
    <r>
      <rPr>
        <sz val="10"/>
        <rFont val="Arial"/>
        <family val="2"/>
      </rPr>
      <t xml:space="preserve"> </t>
    </r>
  </si>
  <si>
    <r>
      <t xml:space="preserve">Direktreferens:      </t>
    </r>
    <r>
      <rPr>
        <sz val="10"/>
        <rFont val="Courier New"/>
        <family val="3"/>
      </rPr>
      <t>=B2</t>
    </r>
  </si>
  <si>
    <t xml:space="preserve">            Om dessa börjar koppla fel kan det vara mycket svårt att upptäcka. Istället bör relativa referenser användas. (För kopplingar mellan flödesvägar måste dock dessa användas)</t>
  </si>
  <si>
    <r>
      <t xml:space="preserve">Ersätter vissa specifika ord i samtliga includekomponenter. Indata på formen </t>
    </r>
    <r>
      <rPr>
        <sz val="10"/>
        <rFont val="Courier New"/>
        <family val="3"/>
      </rPr>
      <t>[Word1;Replacement1;Word2;Replace2]</t>
    </r>
  </si>
  <si>
    <t>Includefiler</t>
  </si>
  <si>
    <t>Det finns två sätt att få in egendefinierad indata</t>
  </si>
  <si>
    <t>Egendefinierad indata kan också ges via sk. Include-filer. Dessa läggs i "include"-mappen.</t>
  </si>
  <si>
    <t>2) Via Custom-kort.</t>
  </si>
  <si>
    <t xml:space="preserve">1) Via komponent-kort. </t>
  </si>
  <si>
    <t>För samtliga komponenter utom PIPE kan include-komponent specificeras om namnet ges ändelsen .inc. Fördelen med detta sätt är att även denna komponent kommer angesponent även kommer</t>
  </si>
  <si>
    <t>PIPE_83</t>
  </si>
  <si>
    <t>PIPE_87</t>
  </si>
  <si>
    <t>P1.inc</t>
  </si>
  <si>
    <t>Logik_V1.inc</t>
  </si>
  <si>
    <t>Ex 1) Pump som anges som includekort</t>
  </si>
  <si>
    <t>Ex 1) Logik för att styra ventil V1</t>
  </si>
  <si>
    <t>PIPE_43</t>
  </si>
  <si>
    <t>PIPE_96</t>
  </si>
  <si>
    <t>Pipe3"</t>
  </si>
  <si>
    <t>XRH-18</t>
  </si>
  <si>
    <t>PIPE_97</t>
  </si>
  <si>
    <t>VVX1.inc</t>
  </si>
  <si>
    <t>PIPE_101</t>
  </si>
  <si>
    <t>Pipe4"</t>
  </si>
  <si>
    <t>XRC-37-2</t>
  </si>
  <si>
    <t>PIPE_102</t>
  </si>
  <si>
    <t>Ex 2) Komplex modellering av värmeväxlare som ges som ett includekort. Eftersom den kräver flera komponentnr måste komponentnumret "låsas" och hårdkodas i includefilen</t>
  </si>
  <si>
    <t>Komponent-include-filer</t>
  </si>
  <si>
    <t>CCC</t>
  </si>
  <si>
    <t>Komponentnr</t>
  </si>
  <si>
    <t>NNNVV000F</t>
  </si>
  <si>
    <t>MMMVV000F</t>
  </si>
  <si>
    <t>Till-kopplingskod där NNN är komponentnr, VV volymnr och F vilken sida denna junction kopplar</t>
  </si>
  <si>
    <t>Från-kopplingskod där NNN är komponentnr, VV volymnr och F vilken sida  (Att det står NNN kommer för MMM är en historisk miss som har blivit för jobbig att ändra)</t>
  </si>
  <si>
    <t>AREA</t>
  </si>
  <si>
    <t>Area-cellen</t>
  </si>
  <si>
    <t>KPOS</t>
  </si>
  <si>
    <t>KNEG</t>
  </si>
  <si>
    <t>TLPVBFE</t>
  </si>
  <si>
    <t>JEFVCAHS</t>
  </si>
  <si>
    <t>INITPRESS</t>
  </si>
  <si>
    <t>INITTEMP</t>
  </si>
  <si>
    <t>EBTFLAG</t>
  </si>
  <si>
    <t>PUMPFLOW</t>
  </si>
  <si>
    <t>PUMPHEAD</t>
  </si>
  <si>
    <t>PUMPRPM</t>
  </si>
  <si>
    <t>PUMPTORQUE</t>
  </si>
  <si>
    <t>PRESSURE</t>
  </si>
  <si>
    <t>TEMPERATURE</t>
  </si>
  <si>
    <t>VALVESTEM</t>
  </si>
  <si>
    <t>ANGLE1</t>
  </si>
  <si>
    <t>ANGLE2</t>
  </si>
  <si>
    <t>VOLLENGTH</t>
  </si>
  <si>
    <t>ELEVCHANGE</t>
  </si>
  <si>
    <t>Förlustkoefficienten K+</t>
  </si>
  <si>
    <t>Förlustkoefficienten K-</t>
  </si>
  <si>
    <t>Volymflaggor</t>
  </si>
  <si>
    <t>Junctionflaggor</t>
  </si>
  <si>
    <t>Initialtryck</t>
  </si>
  <si>
    <t>Initialtemperatur</t>
  </si>
  <si>
    <t>ebt-flagga (ebt=104 om InitGas angetts annars 103)</t>
  </si>
  <si>
    <t>För pumpar: Flödet som ges i kolumn 18</t>
  </si>
  <si>
    <t>För pumpar: Varvtalet som ges kolumn 20</t>
  </si>
  <si>
    <t>För pumpar: Tryckuppfodran som ges i kolumn 19</t>
  </si>
  <si>
    <t>För pumpar: Pumpmomentet. Beräknas enligt schablon med Qrated*Hrated*rho*g/N</t>
  </si>
  <si>
    <t>För ventiler: Öppningsgraden som sätts i kolumn 20</t>
  </si>
  <si>
    <r>
      <t xml:space="preserve">För tmdpvol: Trycket som ges i kolumn 17. Om indata på formen </t>
    </r>
    <r>
      <rPr>
        <sz val="10"/>
        <rFont val="Courier New"/>
        <family val="3"/>
      </rPr>
      <t>[t1;P1;t2;P2;t3;P3]</t>
    </r>
    <r>
      <rPr>
        <sz val="10"/>
        <rFont val="Arial"/>
        <family val="2"/>
      </rPr>
      <t xml:space="preserve">  väljs P1</t>
    </r>
  </si>
  <si>
    <r>
      <t xml:space="preserve">För tmdpvol: Temperaturen som ges i kolumn 18. Om indata på formen </t>
    </r>
    <r>
      <rPr>
        <sz val="10"/>
        <rFont val="Courier New"/>
        <family val="3"/>
      </rPr>
      <t>[t1;T1;t2;T2;t3;T3]</t>
    </r>
    <r>
      <rPr>
        <sz val="10"/>
        <rFont val="Arial"/>
        <family val="2"/>
      </rPr>
      <t xml:space="preserve">  väljs T1</t>
    </r>
  </si>
  <si>
    <t>För tmdpvol och snglvol: Azimuthalvinkel</t>
  </si>
  <si>
    <t>För tmdpvol och snglvol: Vertikal vinkel</t>
  </si>
  <si>
    <t>För tmdpvol och snglvol: Längd</t>
  </si>
  <si>
    <t>För tmdpvol och snglvol: Nivåskillnad. Beräknas som L*sin(Angle2*pi/180)</t>
  </si>
  <si>
    <t>DRAWING</t>
  </si>
  <si>
    <t>Ritningsreferens</t>
  </si>
  <si>
    <t>Custom-include-filer</t>
  </si>
  <si>
    <t>[CCC]</t>
  </si>
  <si>
    <t>Komponentnr i format %03d för komponent som refereras till i ord 3</t>
  </si>
  <si>
    <t>Komponentnr i format %d för komponent som refereras till i ord 3</t>
  </si>
  <si>
    <t>[C]</t>
  </si>
  <si>
    <t>Ord som automatiskt känns igen i includefiler</t>
  </si>
  <si>
    <t>Man kan även ange s.k. Triggerwords. Dessa anger text som ska ersättas i (samtliga) includefiler och med vad. Dessa ges på formen:</t>
  </si>
  <si>
    <t>Ex ) Ersätter ORD1 med Replace1 och ORD2 med Replace 2</t>
  </si>
  <si>
    <t>[ORD1;Replace1;ORD2;Replace2]</t>
  </si>
  <si>
    <t>[P1_rpm1;0.000;P1_rpm2;157.00;P1_rpm3;157.00;P1_time1;10.00;P1_time2;11.00;P3_time1;15.00]</t>
  </si>
  <si>
    <t>Ex ) Specar upprullningsförloppet för en pump så att den vid t = 10 sek rampar upp på 1 sekund därefter ligger konstant till t = 15 s</t>
  </si>
  <si>
    <t>Ex ) Skriver in en text i lastbeskrivningen som beskriver fallet</t>
  </si>
  <si>
    <t>[LOADDESCRIPTION;Driftfall 1: Stopp av pump vid 10 bar a mottryck]</t>
  </si>
  <si>
    <t>IGNORE</t>
  </si>
  <si>
    <t>/IGNORE</t>
  </si>
  <si>
    <t>Anger slutpunkt för indata som inte ska läsas in</t>
  </si>
  <si>
    <r>
      <t xml:space="preserve">Anger startpunkt för indata som </t>
    </r>
    <r>
      <rPr>
        <b/>
        <sz val="10"/>
        <rFont val="Arial"/>
        <family val="2"/>
      </rPr>
      <t>inte</t>
    </r>
    <r>
      <rPr>
        <sz val="10"/>
        <rFont val="Arial"/>
        <family val="2"/>
      </rPr>
      <t xml:space="preserve"> ska läsas in. Ingen indata mellan IGNORE och /IGNORE läses in</t>
    </r>
  </si>
  <si>
    <t>Det är möjligt att göra "fasta" kopplingar genom att ange följande indata på formen "CCCVV000F" i kolumn 13 och 14. Sidan ignoreras då</t>
  </si>
  <si>
    <t xml:space="preserve">Ex ) Gör en fast referens för </t>
  </si>
  <si>
    <t>"103050001"</t>
  </si>
  <si>
    <t>Fasta kopplingsreferenser</t>
  </si>
  <si>
    <t>Initialisera modellen</t>
  </si>
  <si>
    <t>Genom att ange korten/orden Init eller Initgas går det att initialisera modellen med rätt tryck och temperatur.</t>
  </si>
  <si>
    <t>TMDV_78</t>
  </si>
  <si>
    <t>PIPE_103</t>
  </si>
  <si>
    <r>
      <t>Ex 1)</t>
    </r>
    <r>
      <rPr>
        <sz val="10"/>
        <rFont val="Arial"/>
        <family val="2"/>
      </rPr>
      <t xml:space="preserve"> Initialisera i trycket efter en ventil</t>
    </r>
  </si>
  <si>
    <r>
      <t>Ex 2)</t>
    </r>
    <r>
      <rPr>
        <sz val="10"/>
        <rFont val="Arial"/>
        <family val="2"/>
      </rPr>
      <t xml:space="preserve"> Initialisera som gas</t>
    </r>
  </si>
  <si>
    <r>
      <t>Ex 3)</t>
    </r>
    <r>
      <rPr>
        <sz val="10"/>
        <rFont val="Arial"/>
        <family val="2"/>
      </rPr>
      <t xml:space="preserve"> Initialisera rörsegmentet PIPE_102 med en hög temperatur</t>
    </r>
  </si>
  <si>
    <r>
      <t>Ex 4)</t>
    </r>
    <r>
      <rPr>
        <sz val="10"/>
        <rFont val="Arial"/>
        <family val="2"/>
      </rPr>
      <t xml:space="preserve"> Initialisera rörsegmentet PIPE_103  med P=1 bar och T=333.15 K och x = 5% (massfraktion) non-condensible (ebt=104)</t>
    </r>
  </si>
  <si>
    <t>Generera indatafil via Excelarket</t>
  </si>
  <si>
    <t>Genom att exekvera MATALB/text2relap via Shell-kommandot i VBA (Visual Basic for Applications, excels scriptsspråk). Det gör genom att skriva</t>
  </si>
  <si>
    <t>Shell("matlab -nodisplay -nosplash -nodesktop -r ""cd H:\Projekt\Projekt 1\Beräkning\Fall1\;addpath " + matlabPath + ";text2relap('input','Fall1.xls','output','Fall1.i');pause(15);exit""", 1)</t>
  </si>
  <si>
    <t>Definiera flera lastfall genom definitioner i fliken "runMatrix"</t>
  </si>
  <si>
    <t>Under fliken "runMatrix" kan man definiera olika lastfall. Varje lastfall betecknas med en siffra. Det går även att definiera olika sökvariabler som det går att söka efter. Exempelvis så kan man för ett</t>
  </si>
  <si>
    <t>visst fall definiera trycket i en tank som "T1_tryck". Detta värde är kanske olika i olika lastfall. För att hämta detta värde från huvudfliken skriver man en nästlade funktioner av PASSA och INDEX</t>
  </si>
  <si>
    <t xml:space="preserve">          (     Matris          ;       Rad     ;             Kolumn                     )</t>
  </si>
  <si>
    <t xml:space="preserve">    =INDEX(runMatrix!$E$7:$DA$56;text2relap!$B$2;PASSA("T1_tryck";runMatrix!$E$6:$DA$6;0))    - returnerar för aktuellt lastfall definierat i fliken "runMatrix"</t>
  </si>
  <si>
    <t>brackedExpression</t>
  </si>
  <si>
    <t>Syntax</t>
  </si>
  <si>
    <t>At2K</t>
  </si>
  <si>
    <t>output=brackedExpression(indata1,indata2,indata3,..,indataN)</t>
  </si>
  <si>
    <t>K = At2K(A1,A2,At,Adef)</t>
  </si>
  <si>
    <t>K2At</t>
  </si>
  <si>
    <t>At = K2At(K,Adef,A1,A2)</t>
  </si>
  <si>
    <t>Interpolation</t>
  </si>
  <si>
    <t>y = Interpolation(x, x-vektor, y-vektor)</t>
  </si>
  <si>
    <t>Cv2K</t>
  </si>
  <si>
    <t>K = Cv2K(Cv,Adef)</t>
  </si>
  <si>
    <t>K2Cv</t>
  </si>
  <si>
    <t>Cv = K2Cv(K,Adef)</t>
  </si>
  <si>
    <t>rho_PT</t>
  </si>
  <si>
    <t>rho = rho_PT(P,T)</t>
  </si>
  <si>
    <t>psat_T</t>
  </si>
  <si>
    <t>psat = psat_T(T)</t>
  </si>
  <si>
    <t>Returnerar vattenfasens densitet vid given temperatur</t>
  </si>
  <si>
    <t>rhoL_T</t>
  </si>
  <si>
    <t>psat = rhoL_T(T)</t>
  </si>
  <si>
    <t>Xsteam tabeller  (Tryck P i bara och T i degC)</t>
  </si>
  <si>
    <t>Densitet som funktion av tryck och temperatur</t>
  </si>
  <si>
    <t>Mättnadstryck som funktion av temperatur</t>
  </si>
  <si>
    <t>Skapar ett uttryck omringat av hakparanteser där indatat är separerad med semikolon. Lättare än att använda excelkommandot SAMMANFOGA</t>
  </si>
  <si>
    <t>Returnerar K-värde givet geometrisk area för abrupt area-modellen</t>
  </si>
  <si>
    <t>Returnerar geometrisk area givet K-värde abrupt area-modellen</t>
  </si>
  <si>
    <t>Interpolerar fram nytt värde y för x=x givet x- och y-vektorerna</t>
  </si>
  <si>
    <t>Returnerar Cv-värdet givet ett K-värde (och dess referensarea)</t>
  </si>
  <si>
    <t>Returnerar K-värdet givet ett Cv-värde och K-värdets referensarea</t>
  </si>
  <si>
    <t>Detta görs genom att trycka på knappen längst till vänster i fliken text2relap "Skapa XXXX.i".</t>
  </si>
  <si>
    <t>(Gäller för version 1.99)</t>
  </si>
  <si>
    <r>
      <t xml:space="preserve">där celler inte finns på samma sätt som i excel). </t>
    </r>
    <r>
      <rPr>
        <b/>
        <sz val="10"/>
        <rFont val="Arial"/>
        <family val="2"/>
      </rPr>
      <t>Undvik också mellanslag</t>
    </r>
    <r>
      <rPr>
        <sz val="10"/>
        <rFont val="Arial"/>
        <family val="2"/>
      </rPr>
      <t xml:space="preserve"> i exempelvis ritningsnummer.</t>
    </r>
  </si>
  <si>
    <r>
      <t>Utöver detta måste indatat för alla hydrauliska komponenter innehålla</t>
    </r>
    <r>
      <rPr>
        <b/>
        <sz val="10"/>
        <rFont val="Arial"/>
        <family val="2"/>
      </rPr>
      <t xml:space="preserve"> exakt 22 ord </t>
    </r>
    <r>
      <rPr>
        <sz val="10"/>
        <rFont val="Arial"/>
        <family val="2"/>
      </rPr>
      <t xml:space="preserve">vardera. Inga tomma fält är heller tillåtna och ersätts lämpligtvis med ett "-" (orsaken är att text2relap ursprungligen inte läste excelarket utan en utkopierad text </t>
    </r>
  </si>
  <si>
    <t>För att lättare kunna veta vad som ska matas in har excelarket en villkorsstyrd formatering som färgar dessa fält grå om indata inte behövs. Denna formatering kan lätt förstöras om man t.ex koperiar värden mellan kolumner. För att återställa välj en</t>
  </si>
  <si>
    <r>
      <t xml:space="preserve">rad med intakt formatering, markera den och välj att </t>
    </r>
    <r>
      <rPr>
        <b/>
        <sz val="10"/>
        <rFont val="Arial"/>
        <family val="2"/>
      </rPr>
      <t>klistra in special…format</t>
    </r>
    <r>
      <rPr>
        <sz val="10"/>
        <rFont val="Arial"/>
        <family val="2"/>
      </rPr>
      <t xml:space="preserve"> på övriga celler.</t>
    </r>
  </si>
  <si>
    <t>Exempel indata</t>
  </si>
  <si>
    <t>T1</t>
  </si>
  <si>
    <t>T2</t>
  </si>
  <si>
    <t>** Avluftning</t>
  </si>
  <si>
    <t>[CCC+1]</t>
  </si>
  <si>
    <t>[CCC+2]</t>
  </si>
  <si>
    <t>Ersätts med komponentnr plus 1 (eller 2,3,4,5,6,7,8,9,10). Detta för att kunna baka in flera komponenter i samma includefil</t>
  </si>
  <si>
    <t>Ex 2) Logik för att styra ventil V1 där information om V1 eller annans komponentnr krävs (texten [CCC] eller [C] i includefilen ersätts med PIPE_43:s komponentnr)</t>
  </si>
  <si>
    <t>Inbyggda funktioner i excelarket</t>
  </si>
  <si>
    <t>Case1</t>
  </si>
  <si>
    <t>Index =</t>
  </si>
  <si>
    <r>
      <t xml:space="preserve">global </t>
    </r>
    <r>
      <rPr>
        <b/>
        <sz val="10"/>
        <rFont val="Calibri"/>
        <family val="2"/>
      </rPr>
      <t>ε</t>
    </r>
  </si>
  <si>
    <t>m</t>
  </si>
  <si>
    <t>makeStripFile</t>
  </si>
  <si>
    <t>Generera strip-request-fil (*.strip) och parameterfil</t>
  </si>
  <si>
    <t>Rad</t>
  </si>
  <si>
    <t>Plotvar</t>
  </si>
  <si>
    <t>mflowj</t>
  </si>
  <si>
    <t>p</t>
  </si>
  <si>
    <t>vlvstem</t>
  </si>
  <si>
    <t>pmpvel</t>
  </si>
  <si>
    <t>force</t>
  </si>
  <si>
    <t>Case2</t>
  </si>
  <si>
    <t>Replacements</t>
  </si>
  <si>
    <t>Plotnum</t>
  </si>
  <si>
    <t>Plot group</t>
  </si>
  <si>
    <t>cntrlvar</t>
  </si>
  <si>
    <t>Label</t>
  </si>
  <si>
    <t>Filename</t>
  </si>
  <si>
    <t>Variables</t>
  </si>
  <si>
    <t>FluidType</t>
  </si>
  <si>
    <t>Name</t>
  </si>
  <si>
    <t>#</t>
  </si>
  <si>
    <t>Comments</t>
  </si>
  <si>
    <t>(1 = Verbose output files with comments)</t>
  </si>
  <si>
    <t>(Trip format 0 = default (401-599, 601-799). 1 = EXPANDED (20600010-20610000, 20610010-20620000), 2 = EXPBIG (20600001-20610000, 20610001-20620000))</t>
  </si>
  <si>
    <t>(Force calc method. 1 = cntrlvar w. diffrend, 2 = cntrlvar w. div, 10 = batchplot i aptplot)</t>
  </si>
  <si>
    <t>Filename =</t>
  </si>
  <si>
    <t>Force</t>
  </si>
  <si>
    <t>Type</t>
  </si>
  <si>
    <t>Length</t>
  </si>
  <si>
    <t>Vert.angle</t>
  </si>
  <si>
    <t>Azi.angle</t>
  </si>
  <si>
    <t>Drawing</t>
  </si>
  <si>
    <t>fr ID</t>
  </si>
  <si>
    <t>to ID</t>
  </si>
  <si>
    <t>fr 
side</t>
  </si>
  <si>
    <t>to 
side</t>
  </si>
  <si>
    <t>Temp/
Q_rated</t>
  </si>
  <si>
    <t xml:space="preserve">
H_rated</t>
  </si>
  <si>
    <t>On/Off
N_rated</t>
  </si>
  <si>
    <t>z-pos
(ref)</t>
  </si>
  <si>
    <t>Variable name =</t>
  </si>
  <si>
    <t>Variable value =</t>
  </si>
  <si>
    <t>(Cntrlvar number start. Should be &gt; max force number AND &lt; 9999 (or 999 dep. on Cvformat)</t>
  </si>
  <si>
    <t>(Cntrlvar format. 999 = Default, 205NNN00 (cntrlvar 1-999). 9999 = Expanded 205NNNN0 (cntrlvar 1-9999))</t>
  </si>
  <si>
    <t>Unique ID</t>
  </si>
  <si>
    <t>Header</t>
  </si>
  <si>
    <t>(If Custom header file, write filename followed by .inc)</t>
  </si>
  <si>
    <t>Test Matrix</t>
  </si>
  <si>
    <t>Label =</t>
  </si>
  <si>
    <t>Title =</t>
  </si>
  <si>
    <t>Pressure/
Roughness</t>
  </si>
  <si>
    <t>ValveClose</t>
  </si>
  <si>
    <t>V-flags
tlpvbfe</t>
  </si>
  <si>
    <t>J-flags
jefvcahs</t>
  </si>
  <si>
    <t>Samma som ovan</t>
  </si>
  <si>
    <t>Triggerwords / Replacements</t>
  </si>
  <si>
    <t>°C</t>
  </si>
  <si>
    <t>Sys337</t>
  </si>
  <si>
    <t>Case3</t>
  </si>
  <si>
    <t>dt4</t>
  </si>
  <si>
    <t>dt5</t>
  </si>
  <si>
    <t>t1</t>
  </si>
  <si>
    <t>pf1</t>
  </si>
  <si>
    <t>t2</t>
  </si>
  <si>
    <t>pf2</t>
  </si>
  <si>
    <t>t3</t>
  </si>
  <si>
    <t>pf3</t>
  </si>
  <si>
    <t>t4</t>
  </si>
  <si>
    <t>pf4</t>
  </si>
  <si>
    <t>t5</t>
  </si>
  <si>
    <t>pf5</t>
  </si>
  <si>
    <t>SF Pump 1</t>
  </si>
  <si>
    <t>Fullt varvtal =</t>
  </si>
  <si>
    <t>sekunder</t>
  </si>
  <si>
    <t>Stoppar =</t>
  </si>
  <si>
    <t>SF Pump 2</t>
  </si>
  <si>
    <t>VVX-1</t>
  </si>
  <si>
    <t>V8794 =</t>
  </si>
  <si>
    <t>VVX-2</t>
  </si>
  <si>
    <t>V8793 =</t>
  </si>
  <si>
    <t>Tryck och temperatur</t>
  </si>
  <si>
    <t>Temp =</t>
  </si>
  <si>
    <t>Nivå =</t>
  </si>
  <si>
    <t>Instrypning</t>
  </si>
  <si>
    <t>V8754A =</t>
  </si>
  <si>
    <t>V8754B =</t>
  </si>
  <si>
    <t>V8751 =</t>
  </si>
  <si>
    <t>V8792 =</t>
  </si>
  <si>
    <t>Triplogic.inc</t>
  </si>
  <si>
    <t>* Flödesväg 1: Från bränslebassäng 2 via pump 1 (SFAPSF-01)</t>
  </si>
  <si>
    <t>Bass2</t>
  </si>
  <si>
    <t>SF-3-3</t>
  </si>
  <si>
    <t>V8757B</t>
  </si>
  <si>
    <t>Pipe10in</t>
  </si>
  <si>
    <t>T-stycke</t>
  </si>
  <si>
    <t>SF-3-2</t>
  </si>
  <si>
    <t>Tee</t>
  </si>
  <si>
    <t>SF-3-1</t>
  </si>
  <si>
    <t>V8756A</t>
  </si>
  <si>
    <t>SFAPSF-1.inc</t>
  </si>
  <si>
    <t>Pipe8in</t>
  </si>
  <si>
    <t>SF-2-2</t>
  </si>
  <si>
    <t>V8755A</t>
  </si>
  <si>
    <t>V8754A</t>
  </si>
  <si>
    <t>** Ansluter mot ledning efter pump 2</t>
  </si>
  <si>
    <t>* Flödesväg 2: Från bränslebassäng 1 till T-stycke från bränslebassäng 2</t>
  </si>
  <si>
    <t>Bass1</t>
  </si>
  <si>
    <t>V8757A</t>
  </si>
  <si>
    <t>* Flödesväg 3: Via SFAPSF-02 till VVX-1 (SFAHSF-01)</t>
  </si>
  <si>
    <t>** Ansluter uppströms SFAPSF-01</t>
  </si>
  <si>
    <t>V8756B</t>
  </si>
  <si>
    <t>SFAPSF-2.inc</t>
  </si>
  <si>
    <t>V8755B</t>
  </si>
  <si>
    <t>V8754B</t>
  </si>
  <si>
    <t>SF-2-1</t>
  </si>
  <si>
    <t>ritn1079928</t>
  </si>
  <si>
    <t>V8751</t>
  </si>
  <si>
    <t>VVX1_in</t>
  </si>
  <si>
    <t>SFAHSF-1</t>
  </si>
  <si>
    <t>VVX1_ut</t>
  </si>
  <si>
    <t>ritn1079927</t>
  </si>
  <si>
    <t>V8794</t>
  </si>
  <si>
    <t>T-stycke fr VVX2</t>
  </si>
  <si>
    <t>SF-1-1</t>
  </si>
  <si>
    <t>T-stycke mot 8750B</t>
  </si>
  <si>
    <t>V8750A</t>
  </si>
  <si>
    <t>SF-1-6</t>
  </si>
  <si>
    <t>SF-1-7</t>
  </si>
  <si>
    <t>* Flödesväg 4: Mot VVX-2 (SFAHSF-02)</t>
  </si>
  <si>
    <t>** Ansluter uppströms VVX-1</t>
  </si>
  <si>
    <t>V8792</t>
  </si>
  <si>
    <t>VVX2_in</t>
  </si>
  <si>
    <t>SFAHSF-2</t>
  </si>
  <si>
    <t>VVX2_ut</t>
  </si>
  <si>
    <t>ritn1081906</t>
  </si>
  <si>
    <t>justerad</t>
  </si>
  <si>
    <t>V8793</t>
  </si>
  <si>
    <t>ritn42-1079927</t>
  </si>
  <si>
    <t>* Flödesväg 5: Via 8750B till bränslebassäng 2</t>
  </si>
  <si>
    <t>** Ansluter uppströms V8750A</t>
  </si>
  <si>
    <t>V8750B</t>
  </si>
  <si>
    <t>SF-1-2</t>
  </si>
  <si>
    <t>rho =</t>
  </si>
  <si>
    <t>kg/m3</t>
  </si>
  <si>
    <t>Case1 (Pump1 och 2, VVX-1 och -2, P1 stoppar, instrypn vid VVX ca 2x145 kg/s)</t>
  </si>
  <si>
    <t>Case2 (Pump1 och 2, VVX-1 och -2, P1 stoppar, instrypn vid pump ca 2x145 kg/s)</t>
  </si>
  <si>
    <t>Case3 (Pump1 och 2, VVX-1 och -2, P1 stoppar, instrypn vid VVX ca 2x55 kg/s)</t>
  </si>
  <si>
    <t>VVX1</t>
  </si>
  <si>
    <t>VVX2</t>
  </si>
  <si>
    <t>P1_START</t>
  </si>
  <si>
    <t>P2_START</t>
  </si>
  <si>
    <t>P1_STOP</t>
  </si>
  <si>
    <t>P2_STOP</t>
  </si>
  <si>
    <t>Text2Relap (ver 2.0.X)</t>
  </si>
  <si>
    <t>Instrypn</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</si>
</sst>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0.000"/>
    <numFmt numFmtId="165" formatCode="0.000E+00"/>
    <numFmt numFmtId="166" formatCode="0.0000000"/>
    <numFmt numFmtId="167" formatCode="0.0E+00"/>
    <numFmt numFmtId="168" formatCode="0.0"/>
    <numFmt numFmtId="169" formatCode="0.00000"/>
    <numFmt numFmtId="170" formatCode="0.0000"/>
  </numFmts>
  <fonts count="51" x14ac:knownFonts="1">
    <font>
      <sz val="10"/>
      <name val="Arial"/>
    </font>
    <font>
      <sz val="11"/>
      <color indexed="8"/>
      <name val="Calibri"/>
      <family val="2"/>
    </font>
    <font>
      <sz val="11"/>
      <color indexed="9"/>
      <name val="Calibri"/>
      <family val="2"/>
    </font>
    <font>
      <b/>
      <sz val="11"/>
      <color indexed="52"/>
      <name val="Calibri"/>
      <family val="2"/>
    </font>
    <font>
      <sz val="11"/>
      <color indexed="17"/>
      <name val="Calibri"/>
      <family val="2"/>
    </font>
    <font>
      <sz val="11"/>
      <color indexed="20"/>
      <name val="Calibri"/>
      <family val="2"/>
    </font>
    <font>
      <i/>
      <sz val="11"/>
      <color indexed="23"/>
      <name val="Calibri"/>
      <family val="2"/>
    </font>
    <font>
      <u/>
      <sz val="10"/>
      <color indexed="12"/>
      <name val="Arial"/>
      <family val="2"/>
    </font>
    <font>
      <sz val="11"/>
      <color indexed="62"/>
      <name val="Calibri"/>
      <family val="2"/>
    </font>
    <font>
      <b/>
      <sz val="11"/>
      <color indexed="9"/>
      <name val="Calibri"/>
      <family val="2"/>
    </font>
    <font>
      <sz val="11"/>
      <color indexed="52"/>
      <name val="Calibri"/>
      <family val="2"/>
    </font>
    <font>
      <sz val="11"/>
      <color indexed="6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b/>
      <sz val="11"/>
      <color indexed="8"/>
      <name val="Calibri"/>
      <family val="2"/>
    </font>
    <font>
      <b/>
      <sz val="11"/>
      <color indexed="63"/>
      <name val="Calibri"/>
      <family val="2"/>
    </font>
    <font>
      <sz val="11"/>
      <color indexed="10"/>
      <name val="Calibri"/>
      <family val="2"/>
    </font>
    <font>
      <b/>
      <sz val="10"/>
      <name val="Courier New"/>
      <family val="3"/>
    </font>
    <font>
      <sz val="10"/>
      <name val="Courier New"/>
      <family val="3"/>
    </font>
    <font>
      <b/>
      <u/>
      <sz val="10"/>
      <name val="Courier New"/>
      <family val="3"/>
    </font>
    <font>
      <sz val="18"/>
      <name val="Courier New"/>
      <family val="3"/>
    </font>
    <font>
      <sz val="10"/>
      <name val="Wingdings"/>
      <charset val="2"/>
    </font>
    <font>
      <sz val="14"/>
      <name val="Courier New"/>
      <family val="3"/>
    </font>
    <font>
      <sz val="8"/>
      <name val="Arial"/>
      <family val="2"/>
    </font>
    <font>
      <sz val="10"/>
      <color indexed="22"/>
      <name val="Courier New"/>
      <family val="3"/>
    </font>
    <font>
      <b/>
      <sz val="10"/>
      <name val="Arial"/>
      <family val="2"/>
    </font>
    <font>
      <sz val="10"/>
      <name val="Arial"/>
      <family val="2"/>
    </font>
    <font>
      <b/>
      <sz val="10"/>
      <color indexed="8"/>
      <name val="Arial"/>
      <family val="2"/>
    </font>
    <font>
      <sz val="10"/>
      <color indexed="8"/>
      <name val="Arial"/>
      <family val="2"/>
    </font>
    <font>
      <sz val="9"/>
      <color indexed="8"/>
      <name val="Arial"/>
      <family val="2"/>
    </font>
    <font>
      <sz val="9"/>
      <name val="Arial"/>
      <family val="2"/>
    </font>
    <font>
      <sz val="8"/>
      <name val="Arial"/>
      <family val="2"/>
    </font>
    <font>
      <b/>
      <sz val="18"/>
      <name val="Arial"/>
      <family val="2"/>
    </font>
    <font>
      <b/>
      <i/>
      <sz val="10"/>
      <name val="Arial"/>
      <family val="2"/>
    </font>
    <font>
      <b/>
      <sz val="12"/>
      <name val="Arial"/>
      <family val="2"/>
    </font>
    <font>
      <sz val="12"/>
      <name val="Arial"/>
      <family val="2"/>
    </font>
    <font>
      <b/>
      <sz val="8"/>
      <name val="Courier New"/>
      <family val="3"/>
    </font>
    <font>
      <sz val="10"/>
      <color rgb="FF000000"/>
      <name val="Courier New"/>
      <family val="3"/>
    </font>
    <font>
      <sz val="12"/>
      <color indexed="81"/>
      <name val="Tahoma"/>
      <family val="2"/>
    </font>
    <font>
      <sz val="10"/>
      <color theme="0" tint="-0.499984740745262"/>
      <name val="Arial"/>
      <family val="2"/>
    </font>
    <font>
      <sz val="10"/>
      <color rgb="FF000000"/>
      <name val="Arial"/>
      <family val="2"/>
    </font>
    <font>
      <b/>
      <sz val="10"/>
      <name val="Calibri"/>
      <family val="2"/>
    </font>
    <font>
      <b/>
      <sz val="11"/>
      <name val="Calibri"/>
      <family val="2"/>
      <scheme val="minor"/>
    </font>
    <font>
      <sz val="11"/>
      <name val="Calibri"/>
      <family val="2"/>
      <scheme val="minor"/>
    </font>
    <font>
      <b/>
      <sz val="9"/>
      <color indexed="81"/>
      <name val="Tahoma"/>
      <family val="2"/>
    </font>
    <font>
      <u/>
      <sz val="14"/>
      <color indexed="12"/>
      <name val="Courier New"/>
      <family val="3"/>
    </font>
    <font>
      <sz val="10"/>
      <color theme="0"/>
      <name val="Courier New"/>
      <family val="3"/>
    </font>
    <font>
      <sz val="20"/>
      <name val="Courier New"/>
      <family val="3"/>
    </font>
    <font>
      <b/>
      <sz val="9"/>
      <name val="Arial"/>
      <family val="2"/>
    </font>
  </fonts>
  <fills count="3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6"/>
      </patternFill>
    </fill>
    <fill>
      <patternFill patternType="solid">
        <fgColor indexed="2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theme="0" tint="-4.9989318521683403E-2"/>
        <bgColor indexed="64"/>
      </patternFill>
    </fill>
  </fills>
  <borders count="19">
    <border>
      <left/>
      <right/>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top/>
      <bottom style="double">
        <color indexed="64"/>
      </bottom>
      <diagonal/>
    </border>
    <border>
      <left style="thin">
        <color indexed="23"/>
      </left>
      <right style="thin">
        <color indexed="23"/>
      </right>
      <top/>
      <bottom style="thin">
        <color indexed="23"/>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4">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 fillId="16" borderId="1" applyNumberFormat="0" applyFont="0" applyAlignment="0" applyProtection="0"/>
    <xf numFmtId="0" fontId="3" fillId="17" borderId="2" applyNumberFormat="0" applyAlignment="0" applyProtection="0"/>
    <xf numFmtId="0" fontId="4" fillId="4" borderId="0" applyNumberFormat="0" applyBorder="0" applyAlignment="0" applyProtection="0"/>
    <xf numFmtId="0" fontId="5" fillId="3"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6" fillId="0" borderId="0" applyNumberFormat="0" applyFill="0" applyBorder="0" applyAlignment="0" applyProtection="0"/>
    <xf numFmtId="0" fontId="7" fillId="0" borderId="0" applyNumberFormat="0" applyFill="0" applyBorder="0" applyAlignment="0" applyProtection="0">
      <alignment vertical="top"/>
      <protection locked="0"/>
    </xf>
    <xf numFmtId="0" fontId="8" fillId="7" borderId="2" applyNumberFormat="0" applyAlignment="0" applyProtection="0"/>
    <xf numFmtId="0" fontId="9" fillId="22" borderId="3" applyNumberFormat="0" applyAlignment="0" applyProtection="0"/>
    <xf numFmtId="0" fontId="10" fillId="0" borderId="4" applyNumberFormat="0" applyFill="0" applyAlignment="0" applyProtection="0"/>
    <xf numFmtId="0" fontId="11" fillId="23" borderId="0" applyNumberFormat="0" applyBorder="0" applyAlignment="0" applyProtection="0"/>
    <xf numFmtId="0" fontId="12" fillId="0" borderId="0" applyNumberFormat="0" applyFill="0" applyBorder="0" applyAlignment="0" applyProtection="0"/>
    <xf numFmtId="0" fontId="13" fillId="0" borderId="5" applyNumberFormat="0" applyFill="0" applyAlignment="0" applyProtection="0"/>
    <xf numFmtId="0" fontId="14" fillId="0" borderId="6" applyNumberFormat="0" applyFill="0" applyAlignment="0" applyProtection="0"/>
    <xf numFmtId="0" fontId="15" fillId="0" borderId="7" applyNumberFormat="0" applyFill="0" applyAlignment="0" applyProtection="0"/>
    <xf numFmtId="0" fontId="15" fillId="0" borderId="0" applyNumberFormat="0" applyFill="0" applyBorder="0" applyAlignment="0" applyProtection="0"/>
    <xf numFmtId="0" fontId="16" fillId="0" borderId="8" applyNumberFormat="0" applyFill="0" applyAlignment="0" applyProtection="0"/>
    <xf numFmtId="0" fontId="17" fillId="17" borderId="9" applyNumberFormat="0" applyAlignment="0" applyProtection="0"/>
    <xf numFmtId="0" fontId="18" fillId="0" borderId="0" applyNumberFormat="0" applyFill="0" applyBorder="0" applyAlignment="0" applyProtection="0"/>
    <xf numFmtId="0" fontId="28" fillId="0" borderId="0"/>
  </cellStyleXfs>
  <cellXfs count="141">
    <xf numFmtId="0" fontId="0" fillId="0" borderId="0" xfId="0"/>
    <xf numFmtId="0" fontId="19" fillId="24" borderId="0" xfId="0" applyFont="1" applyFill="1" applyAlignment="1">
      <alignment vertical="top"/>
    </xf>
    <xf numFmtId="1" fontId="19" fillId="24" borderId="0" xfId="0" applyNumberFormat="1" applyFont="1" applyFill="1" applyAlignment="1">
      <alignment vertical="top"/>
    </xf>
    <xf numFmtId="164" fontId="19" fillId="24" borderId="0" xfId="0" applyNumberFormat="1" applyFont="1" applyFill="1" applyAlignment="1">
      <alignment vertical="top"/>
    </xf>
    <xf numFmtId="166" fontId="19" fillId="24" borderId="0" xfId="0" applyNumberFormat="1" applyFont="1" applyFill="1" applyAlignment="1">
      <alignment vertical="top"/>
    </xf>
    <xf numFmtId="2" fontId="19" fillId="24" borderId="0" xfId="0" applyNumberFormat="1" applyFont="1" applyFill="1" applyAlignment="1">
      <alignment vertical="top"/>
    </xf>
    <xf numFmtId="0" fontId="19" fillId="24" borderId="0" xfId="0" applyFont="1" applyFill="1" applyAlignment="1">
      <alignment vertical="top" wrapText="1"/>
    </xf>
    <xf numFmtId="1" fontId="19" fillId="24" borderId="0" xfId="0" applyNumberFormat="1" applyFont="1" applyFill="1" applyAlignment="1">
      <alignment vertical="top" wrapText="1"/>
    </xf>
    <xf numFmtId="165" fontId="19" fillId="24" borderId="0" xfId="0" applyNumberFormat="1" applyFont="1" applyFill="1" applyAlignment="1">
      <alignment vertical="top" wrapText="1"/>
    </xf>
    <xf numFmtId="2" fontId="19" fillId="24" borderId="0" xfId="0" applyNumberFormat="1" applyFont="1" applyFill="1" applyAlignment="1">
      <alignment vertical="top" wrapText="1"/>
    </xf>
    <xf numFmtId="0" fontId="20" fillId="24" borderId="0" xfId="0" applyFont="1" applyFill="1" applyAlignment="1">
      <alignment vertical="top"/>
    </xf>
    <xf numFmtId="0" fontId="20" fillId="0" borderId="0" xfId="0" applyFont="1"/>
    <xf numFmtId="1" fontId="20" fillId="0" borderId="0" xfId="0" applyNumberFormat="1" applyFont="1"/>
    <xf numFmtId="164" fontId="20" fillId="0" borderId="0" xfId="0" applyNumberFormat="1" applyFont="1"/>
    <xf numFmtId="166" fontId="20" fillId="0" borderId="0" xfId="0" applyNumberFormat="1" applyFont="1"/>
    <xf numFmtId="2" fontId="20" fillId="0" borderId="0" xfId="0" applyNumberFormat="1" applyFont="1"/>
    <xf numFmtId="0" fontId="21" fillId="0" borderId="0" xfId="0" applyFont="1"/>
    <xf numFmtId="165" fontId="20" fillId="0" borderId="0" xfId="0" applyNumberFormat="1" applyFont="1"/>
    <xf numFmtId="0" fontId="22" fillId="0" borderId="0" xfId="0" applyFont="1"/>
    <xf numFmtId="0" fontId="23" fillId="0" borderId="0" xfId="0" applyFont="1" applyBorder="1" applyAlignment="1">
      <alignment textRotation="180"/>
    </xf>
    <xf numFmtId="1" fontId="20" fillId="0" borderId="0" xfId="0" applyNumberFormat="1" applyFont="1" applyBorder="1"/>
    <xf numFmtId="164" fontId="20" fillId="0" borderId="0" xfId="0" applyNumberFormat="1" applyFont="1" applyBorder="1"/>
    <xf numFmtId="166" fontId="20" fillId="0" borderId="0" xfId="0" applyNumberFormat="1" applyFont="1" applyBorder="1"/>
    <xf numFmtId="2" fontId="20" fillId="0" borderId="0" xfId="0" applyNumberFormat="1" applyFont="1" applyBorder="1"/>
    <xf numFmtId="0" fontId="20" fillId="0" borderId="0" xfId="0" applyFont="1" applyBorder="1"/>
    <xf numFmtId="165" fontId="20" fillId="0" borderId="0" xfId="0" applyNumberFormat="1" applyFont="1" applyBorder="1"/>
    <xf numFmtId="0" fontId="19" fillId="0" borderId="0" xfId="0" applyFont="1"/>
    <xf numFmtId="0" fontId="19" fillId="0" borderId="0" xfId="0" applyFont="1" applyFill="1"/>
    <xf numFmtId="0" fontId="19" fillId="0" borderId="0" xfId="0" applyFont="1" applyBorder="1"/>
    <xf numFmtId="0" fontId="19" fillId="0" borderId="10" xfId="0" applyFont="1" applyBorder="1"/>
    <xf numFmtId="1" fontId="20" fillId="0" borderId="10" xfId="0" applyNumberFormat="1" applyFont="1" applyBorder="1"/>
    <xf numFmtId="164" fontId="20" fillId="0" borderId="10" xfId="0" applyNumberFormat="1" applyFont="1" applyBorder="1"/>
    <xf numFmtId="166" fontId="20" fillId="0" borderId="10" xfId="0" applyNumberFormat="1" applyFont="1" applyBorder="1"/>
    <xf numFmtId="2" fontId="20" fillId="0" borderId="10" xfId="0" applyNumberFormat="1" applyFont="1" applyBorder="1"/>
    <xf numFmtId="0" fontId="20" fillId="0" borderId="10" xfId="0" applyFont="1" applyBorder="1"/>
    <xf numFmtId="165" fontId="20" fillId="0" borderId="10" xfId="0" applyNumberFormat="1" applyFont="1" applyBorder="1"/>
    <xf numFmtId="49" fontId="20" fillId="0" borderId="0" xfId="0" applyNumberFormat="1" applyFont="1"/>
    <xf numFmtId="0" fontId="19" fillId="0" borderId="0" xfId="0" applyFont="1" applyBorder="1" applyAlignment="1">
      <alignment horizontal="right"/>
    </xf>
    <xf numFmtId="0" fontId="26" fillId="0" borderId="0" xfId="0" applyFont="1" applyBorder="1" applyAlignment="1">
      <alignment horizontal="right"/>
    </xf>
    <xf numFmtId="0" fontId="0" fillId="0" borderId="0" xfId="0" applyAlignment="1">
      <alignment horizontal="center"/>
    </xf>
    <xf numFmtId="0" fontId="0" fillId="0" borderId="0" xfId="0" applyBorder="1" applyAlignment="1">
      <alignment horizontal="center"/>
    </xf>
    <xf numFmtId="0" fontId="0" fillId="0" borderId="0" xfId="0" applyAlignment="1">
      <alignment horizontal="left"/>
    </xf>
    <xf numFmtId="0" fontId="19" fillId="0" borderId="0" xfId="0" applyFont="1" applyBorder="1" applyAlignment="1">
      <alignment horizontal="left"/>
    </xf>
    <xf numFmtId="2" fontId="20" fillId="0" borderId="0" xfId="0" applyNumberFormat="1" applyFont="1" applyBorder="1" applyAlignment="1">
      <alignment horizontal="right"/>
    </xf>
    <xf numFmtId="0" fontId="29" fillId="25" borderId="11" xfId="0" applyFont="1" applyFill="1" applyBorder="1"/>
    <xf numFmtId="0" fontId="30" fillId="25" borderId="12" xfId="0" applyFont="1" applyFill="1" applyBorder="1"/>
    <xf numFmtId="0" fontId="0" fillId="0" borderId="0" xfId="0" applyBorder="1"/>
    <xf numFmtId="0" fontId="31" fillId="25" borderId="0" xfId="0" applyFont="1" applyFill="1" applyBorder="1" applyAlignment="1">
      <alignment horizontal="center"/>
    </xf>
    <xf numFmtId="0" fontId="32" fillId="25" borderId="0" xfId="0" applyFont="1" applyFill="1" applyBorder="1" applyAlignment="1">
      <alignment horizontal="center"/>
    </xf>
    <xf numFmtId="0" fontId="27" fillId="0" borderId="0" xfId="0" applyFont="1" applyAlignment="1">
      <alignment vertical="top" wrapText="1"/>
    </xf>
    <xf numFmtId="0" fontId="27" fillId="0" borderId="0" xfId="0" applyFont="1" applyAlignment="1">
      <alignment horizontal="right"/>
    </xf>
    <xf numFmtId="0" fontId="27" fillId="0" borderId="0" xfId="0" applyFont="1" applyAlignment="1">
      <alignment horizontal="left"/>
    </xf>
    <xf numFmtId="0" fontId="27" fillId="25" borderId="13" xfId="0" applyFont="1" applyFill="1" applyBorder="1"/>
    <xf numFmtId="0" fontId="0" fillId="26" borderId="0" xfId="0" applyFill="1"/>
    <xf numFmtId="2" fontId="20" fillId="0" borderId="0" xfId="0" applyNumberFormat="1" applyFont="1" applyBorder="1" applyAlignment="1">
      <alignment horizontal="left"/>
    </xf>
    <xf numFmtId="1" fontId="19" fillId="0" borderId="0" xfId="0" applyNumberFormat="1" applyFont="1"/>
    <xf numFmtId="164" fontId="19" fillId="0" borderId="0" xfId="0" applyNumberFormat="1" applyFont="1" applyBorder="1"/>
    <xf numFmtId="166" fontId="19" fillId="0" borderId="0" xfId="0" applyNumberFormat="1" applyFont="1" applyBorder="1"/>
    <xf numFmtId="0" fontId="20" fillId="24" borderId="0" xfId="0" applyFont="1" applyFill="1"/>
    <xf numFmtId="1" fontId="20" fillId="24" borderId="0" xfId="0" applyNumberFormat="1" applyFont="1" applyFill="1"/>
    <xf numFmtId="164" fontId="20" fillId="24" borderId="0" xfId="0" applyNumberFormat="1" applyFont="1" applyFill="1"/>
    <xf numFmtId="2" fontId="20" fillId="24" borderId="0" xfId="0" applyNumberFormat="1" applyFont="1" applyFill="1"/>
    <xf numFmtId="0" fontId="21" fillId="24" borderId="0" xfId="0" applyFont="1" applyFill="1"/>
    <xf numFmtId="165" fontId="20" fillId="24" borderId="0" xfId="0" applyNumberFormat="1" applyFont="1" applyFill="1"/>
    <xf numFmtId="0" fontId="20" fillId="24" borderId="0" xfId="0" applyFont="1" applyFill="1" applyAlignment="1">
      <alignment horizontal="right"/>
    </xf>
    <xf numFmtId="164" fontId="20" fillId="24" borderId="0" xfId="0" applyNumberFormat="1" applyFont="1" applyFill="1" applyAlignment="1">
      <alignment horizontal="right"/>
    </xf>
    <xf numFmtId="166" fontId="24" fillId="24" borderId="0" xfId="0" applyNumberFormat="1" applyFont="1" applyFill="1"/>
    <xf numFmtId="2" fontId="20" fillId="0" borderId="10" xfId="0" applyNumberFormat="1" applyFont="1" applyBorder="1" applyAlignment="1">
      <alignment horizontal="left"/>
    </xf>
    <xf numFmtId="2" fontId="20" fillId="0" borderId="10" xfId="0" applyNumberFormat="1" applyFont="1" applyBorder="1" applyAlignment="1">
      <alignment horizontal="right"/>
    </xf>
    <xf numFmtId="0" fontId="34" fillId="26" borderId="0" xfId="0" applyFont="1" applyFill="1"/>
    <xf numFmtId="0" fontId="27" fillId="26" borderId="0" xfId="0" applyFont="1" applyFill="1"/>
    <xf numFmtId="0" fontId="20" fillId="26" borderId="0" xfId="0" applyFont="1" applyFill="1"/>
    <xf numFmtId="0" fontId="36" fillId="26" borderId="0" xfId="0" applyFont="1" applyFill="1"/>
    <xf numFmtId="0" fontId="0" fillId="26" borderId="0" xfId="0" quotePrefix="1" applyFill="1"/>
    <xf numFmtId="0" fontId="20" fillId="27" borderId="0" xfId="0" applyFont="1" applyFill="1"/>
    <xf numFmtId="0" fontId="20" fillId="25" borderId="0" xfId="0" applyFont="1" applyFill="1"/>
    <xf numFmtId="0" fontId="20" fillId="28" borderId="0" xfId="0" applyFont="1" applyFill="1"/>
    <xf numFmtId="11" fontId="20" fillId="28" borderId="0" xfId="0" applyNumberFormat="1" applyFont="1" applyFill="1"/>
    <xf numFmtId="11" fontId="20" fillId="24" borderId="0" xfId="0" applyNumberFormat="1" applyFont="1" applyFill="1"/>
    <xf numFmtId="2" fontId="20" fillId="26" borderId="0" xfId="0" applyNumberFormat="1" applyFont="1" applyFill="1"/>
    <xf numFmtId="0" fontId="28" fillId="26" borderId="0" xfId="0" applyFont="1" applyFill="1"/>
    <xf numFmtId="0" fontId="38" fillId="24" borderId="0" xfId="0" applyFont="1" applyFill="1" applyAlignment="1">
      <alignment vertical="top"/>
    </xf>
    <xf numFmtId="1" fontId="38" fillId="24" borderId="0" xfId="0" applyNumberFormat="1" applyFont="1" applyFill="1" applyAlignment="1">
      <alignment vertical="top"/>
    </xf>
    <xf numFmtId="164" fontId="38" fillId="24" borderId="0" xfId="0" applyNumberFormat="1" applyFont="1" applyFill="1" applyAlignment="1">
      <alignment vertical="top"/>
    </xf>
    <xf numFmtId="166" fontId="38" fillId="24" borderId="0" xfId="0" applyNumberFormat="1" applyFont="1" applyFill="1" applyAlignment="1">
      <alignment vertical="top"/>
    </xf>
    <xf numFmtId="2" fontId="38" fillId="24" borderId="0" xfId="0" applyNumberFormat="1" applyFont="1" applyFill="1" applyAlignment="1">
      <alignment vertical="top"/>
    </xf>
    <xf numFmtId="0" fontId="38" fillId="24" borderId="0" xfId="0" applyFont="1" applyFill="1" applyAlignment="1">
      <alignment vertical="top" wrapText="1"/>
    </xf>
    <xf numFmtId="1" fontId="38" fillId="24" borderId="0" xfId="0" applyNumberFormat="1" applyFont="1" applyFill="1" applyAlignment="1">
      <alignment vertical="top" wrapText="1"/>
    </xf>
    <xf numFmtId="165" fontId="38" fillId="24" borderId="0" xfId="0" applyNumberFormat="1" applyFont="1" applyFill="1" applyAlignment="1">
      <alignment vertical="top" wrapText="1"/>
    </xf>
    <xf numFmtId="2" fontId="38" fillId="24" borderId="0" xfId="0" applyNumberFormat="1" applyFont="1" applyFill="1" applyAlignment="1">
      <alignment vertical="top" wrapText="1"/>
    </xf>
    <xf numFmtId="11" fontId="20" fillId="0" borderId="0" xfId="0" applyNumberFormat="1" applyFont="1"/>
    <xf numFmtId="0" fontId="27" fillId="25" borderId="13" xfId="0" applyFont="1" applyFill="1" applyBorder="1" applyAlignment="1">
      <alignment horizontal="left"/>
    </xf>
    <xf numFmtId="0" fontId="8" fillId="7" borderId="2" xfId="31" applyAlignment="1">
      <alignment horizontal="left"/>
    </xf>
    <xf numFmtId="0" fontId="8" fillId="7" borderId="2" xfId="31"/>
    <xf numFmtId="2" fontId="20" fillId="24" borderId="0" xfId="0" applyNumberFormat="1" applyFont="1" applyFill="1" applyAlignment="1">
      <alignment horizontal="right"/>
    </xf>
    <xf numFmtId="167" fontId="20" fillId="0" borderId="0" xfId="0" applyNumberFormat="1" applyFont="1"/>
    <xf numFmtId="168" fontId="20" fillId="0" borderId="0" xfId="0" applyNumberFormat="1" applyFont="1"/>
    <xf numFmtId="0" fontId="12" fillId="0" borderId="0" xfId="35"/>
    <xf numFmtId="0" fontId="6" fillId="0" borderId="0" xfId="29"/>
    <xf numFmtId="0" fontId="44" fillId="0" borderId="14" xfId="0" applyFont="1" applyBorder="1" applyAlignment="1">
      <alignment horizontal="center"/>
    </xf>
    <xf numFmtId="0" fontId="45" fillId="0" borderId="0" xfId="0" applyFont="1" applyAlignment="1">
      <alignment horizontal="center"/>
    </xf>
    <xf numFmtId="0" fontId="45" fillId="29" borderId="0" xfId="0" applyFont="1" applyFill="1" applyAlignment="1">
      <alignment horizontal="center"/>
    </xf>
    <xf numFmtId="0" fontId="7" fillId="0" borderId="0" xfId="30" applyAlignment="1" applyProtection="1"/>
    <xf numFmtId="0" fontId="20" fillId="0" borderId="0" xfId="0" applyFont="1" applyAlignment="1"/>
    <xf numFmtId="0" fontId="20" fillId="0" borderId="0" xfId="0" applyFont="1" applyFill="1"/>
    <xf numFmtId="1" fontId="20" fillId="0" borderId="0" xfId="0" applyNumberFormat="1" applyFont="1" applyFill="1"/>
    <xf numFmtId="1" fontId="47" fillId="0" borderId="0" xfId="30" applyNumberFormat="1" applyFont="1" applyAlignment="1" applyProtection="1"/>
    <xf numFmtId="0" fontId="8" fillId="7" borderId="2" xfId="31" applyAlignment="1">
      <alignment horizontal="center"/>
    </xf>
    <xf numFmtId="11" fontId="8" fillId="7" borderId="2" xfId="31" applyNumberFormat="1"/>
    <xf numFmtId="0" fontId="17" fillId="17" borderId="9" xfId="41"/>
    <xf numFmtId="0" fontId="27" fillId="25" borderId="11" xfId="0" applyFont="1" applyFill="1" applyBorder="1" applyAlignment="1">
      <alignment horizontal="center"/>
    </xf>
    <xf numFmtId="0" fontId="41" fillId="0" borderId="0" xfId="0" applyFont="1" applyAlignment="1">
      <alignment horizontal="center"/>
    </xf>
    <xf numFmtId="166" fontId="48" fillId="0" borderId="0" xfId="0" applyNumberFormat="1" applyFont="1"/>
    <xf numFmtId="0" fontId="8" fillId="7" borderId="2" xfId="31" applyAlignment="1">
      <alignment horizontal="left" vertical="top" wrapText="1"/>
    </xf>
    <xf numFmtId="0" fontId="17" fillId="17" borderId="9" xfId="41" applyAlignment="1">
      <alignment horizontal="left"/>
    </xf>
    <xf numFmtId="0" fontId="49" fillId="0" borderId="0" xfId="0" applyFont="1" applyAlignment="1">
      <alignment horizontal="left"/>
    </xf>
    <xf numFmtId="0" fontId="20" fillId="0" borderId="0" xfId="0" quotePrefix="1" applyFont="1"/>
    <xf numFmtId="0" fontId="20" fillId="0" borderId="0" xfId="0" applyFont="1" applyAlignment="1">
      <alignment horizontal="right"/>
    </xf>
    <xf numFmtId="169" fontId="20" fillId="0" borderId="0" xfId="0" applyNumberFormat="1" applyFont="1"/>
    <xf numFmtId="0" fontId="20" fillId="0" borderId="0" xfId="0" applyFont="1" applyAlignment="1">
      <alignment horizontal="left"/>
    </xf>
    <xf numFmtId="0" fontId="49" fillId="0" borderId="0" xfId="0" applyFont="1"/>
    <xf numFmtId="11" fontId="0" fillId="0" borderId="0" xfId="0" applyNumberFormat="1" applyBorder="1" applyAlignment="1">
      <alignment horizontal="center"/>
    </xf>
    <xf numFmtId="11" fontId="8" fillId="7" borderId="2" xfId="31" applyNumberFormat="1" applyAlignment="1">
      <alignment horizontal="center"/>
    </xf>
    <xf numFmtId="0" fontId="8" fillId="7" borderId="15" xfId="31" applyBorder="1" applyAlignment="1">
      <alignment horizontal="center"/>
    </xf>
    <xf numFmtId="11" fontId="8" fillId="7" borderId="15" xfId="31" applyNumberFormat="1" applyBorder="1" applyAlignment="1">
      <alignment horizontal="center"/>
    </xf>
    <xf numFmtId="0" fontId="32" fillId="25" borderId="17" xfId="0" applyFont="1" applyFill="1" applyBorder="1" applyAlignment="1">
      <alignment horizontal="center"/>
    </xf>
    <xf numFmtId="0" fontId="32" fillId="25" borderId="18" xfId="0" applyFont="1" applyFill="1" applyBorder="1" applyAlignment="1">
      <alignment horizontal="center"/>
    </xf>
    <xf numFmtId="0" fontId="50" fillId="25" borderId="16" xfId="0" applyFont="1" applyFill="1" applyBorder="1" applyAlignment="1">
      <alignment horizontal="center"/>
    </xf>
    <xf numFmtId="0" fontId="28" fillId="0" borderId="0" xfId="0" applyFont="1"/>
    <xf numFmtId="0" fontId="19" fillId="0" borderId="0" xfId="0" applyFont="1" applyAlignment="1">
      <alignment horizontal="left"/>
    </xf>
    <xf numFmtId="0" fontId="19" fillId="0" borderId="0" xfId="0" applyFont="1" applyAlignment="1">
      <alignment horizontal="right"/>
    </xf>
    <xf numFmtId="0" fontId="20" fillId="0" borderId="0" xfId="0" applyFont="1" applyFill="1" applyAlignment="1">
      <alignment horizontal="left"/>
    </xf>
    <xf numFmtId="164" fontId="20" fillId="0" borderId="0" xfId="0" applyNumberFormat="1" applyFont="1" applyFill="1"/>
    <xf numFmtId="166" fontId="20" fillId="0" borderId="0" xfId="0" applyNumberFormat="1" applyFont="1" applyFill="1"/>
    <xf numFmtId="2" fontId="20" fillId="0" borderId="0" xfId="0" applyNumberFormat="1" applyFont="1" applyFill="1"/>
    <xf numFmtId="165" fontId="20" fillId="0" borderId="0" xfId="0" applyNumberFormat="1" applyFont="1" applyFill="1"/>
    <xf numFmtId="49" fontId="20" fillId="0" borderId="0" xfId="0" applyNumberFormat="1" applyFont="1" applyFill="1"/>
    <xf numFmtId="1" fontId="20" fillId="0" borderId="0" xfId="0" applyNumberFormat="1" applyFont="1" applyFill="1" applyBorder="1"/>
    <xf numFmtId="170" fontId="20" fillId="0" borderId="0" xfId="0" applyNumberFormat="1" applyFont="1"/>
    <xf numFmtId="0" fontId="28" fillId="26" borderId="0" xfId="43" applyFill="1"/>
    <xf numFmtId="0" fontId="28" fillId="26" borderId="0" xfId="43" applyFill="1" applyAlignment="1">
      <alignment horizontal="right"/>
    </xf>
  </cellXfs>
  <cellStyles count="44">
    <cellStyle name="20% - Dekorfärg1" xfId="1" builtinId="30" customBuiltin="1"/>
    <cellStyle name="20% - Dekorfärg2" xfId="2" builtinId="34" customBuiltin="1"/>
    <cellStyle name="20% - Dekorfärg3" xfId="3" builtinId="38" customBuiltin="1"/>
    <cellStyle name="20% - Dekorfärg4" xfId="4" builtinId="42" customBuiltin="1"/>
    <cellStyle name="20% - Dekorfärg5" xfId="5" builtinId="46" customBuiltin="1"/>
    <cellStyle name="20% - Dekorfärg6" xfId="6" builtinId="50" customBuiltin="1"/>
    <cellStyle name="40% - Dekorfärg1" xfId="7" builtinId="31" customBuiltin="1"/>
    <cellStyle name="40% - Dekorfärg2" xfId="8" builtinId="35" customBuiltin="1"/>
    <cellStyle name="40% - Dekorfärg3" xfId="9" builtinId="39" customBuiltin="1"/>
    <cellStyle name="40% - Dekorfärg4" xfId="10" builtinId="43" customBuiltin="1"/>
    <cellStyle name="40% - Dekorfärg5" xfId="11" builtinId="47" customBuiltin="1"/>
    <cellStyle name="40% - Dekorfärg6" xfId="12" builtinId="51" customBuiltin="1"/>
    <cellStyle name="60% - Dekorfärg1" xfId="13" builtinId="32" customBuiltin="1"/>
    <cellStyle name="60% - Dekorfärg2" xfId="14" builtinId="36" customBuiltin="1"/>
    <cellStyle name="60% - Dekorfärg3" xfId="15" builtinId="40" customBuiltin="1"/>
    <cellStyle name="60% - Dekorfärg4" xfId="16" builtinId="44" customBuiltin="1"/>
    <cellStyle name="60% - Dekorfärg5" xfId="17" builtinId="48" customBuiltin="1"/>
    <cellStyle name="60% - Dekorfärg6" xfId="18" builtinId="52" customBuiltin="1"/>
    <cellStyle name="Anteckning" xfId="19" builtinId="10" customBuiltin="1"/>
    <cellStyle name="Beräkning" xfId="20" builtinId="22" customBuiltin="1"/>
    <cellStyle name="Bra" xfId="21" builtinId="26" customBuiltin="1"/>
    <cellStyle name="Dålig" xfId="22" builtinId="27" customBuiltin="1"/>
    <cellStyle name="Färg1" xfId="23" builtinId="29" customBuiltin="1"/>
    <cellStyle name="Färg2" xfId="24" builtinId="33" customBuiltin="1"/>
    <cellStyle name="Färg3" xfId="25" builtinId="37" customBuiltin="1"/>
    <cellStyle name="Färg4" xfId="26" builtinId="41" customBuiltin="1"/>
    <cellStyle name="Färg5" xfId="27" builtinId="45" customBuiltin="1"/>
    <cellStyle name="Färg6" xfId="28" builtinId="49" customBuiltin="1"/>
    <cellStyle name="Förklarande text" xfId="29" builtinId="53" customBuiltin="1"/>
    <cellStyle name="Hyperlänk" xfId="30" builtinId="8"/>
    <cellStyle name="Indata" xfId="31" builtinId="20" customBuiltin="1"/>
    <cellStyle name="Kontrollcell" xfId="32" builtinId="23" customBuiltin="1"/>
    <cellStyle name="Länkad cell" xfId="33" builtinId="24" customBuiltin="1"/>
    <cellStyle name="Neutral" xfId="34" builtinId="28" customBuiltin="1"/>
    <cellStyle name="Normal" xfId="0" builtinId="0"/>
    <cellStyle name="Normal 2" xfId="43"/>
    <cellStyle name="Rubrik" xfId="35" builtinId="15" customBuiltin="1"/>
    <cellStyle name="Rubrik 1" xfId="36" builtinId="16" customBuiltin="1"/>
    <cellStyle name="Rubrik 2" xfId="37" builtinId="17" customBuiltin="1"/>
    <cellStyle name="Rubrik 3" xfId="38" builtinId="18" customBuiltin="1"/>
    <cellStyle name="Rubrik 4" xfId="39" builtinId="19" customBuiltin="1"/>
    <cellStyle name="Summa" xfId="40" builtinId="25" customBuiltin="1"/>
    <cellStyle name="Utdata" xfId="41" builtinId="21" customBuiltin="1"/>
    <cellStyle name="Varningstext" xfId="42" builtinId="11" customBuiltin="1"/>
  </cellStyles>
  <dxfs count="770">
    <dxf>
      <fill>
        <patternFill>
          <bgColor indexed="22"/>
        </patternFill>
      </fill>
    </dxf>
    <dxf>
      <fill>
        <patternFill>
          <bgColor indexed="22"/>
        </patternFill>
      </fill>
    </dxf>
    <dxf>
      <fill>
        <patternFill>
          <bgColor indexed="41"/>
        </patternFill>
      </fill>
    </dxf>
    <dxf>
      <fill>
        <patternFill>
          <bgColor indexed="22"/>
        </patternFill>
      </fill>
    </dxf>
    <dxf>
      <fill>
        <patternFill>
          <bgColor indexed="22"/>
        </patternFill>
      </fill>
    </dxf>
    <dxf>
      <fill>
        <patternFill>
          <bgColor indexed="41"/>
        </patternFill>
      </fill>
    </dxf>
    <dxf>
      <fill>
        <patternFill>
          <bgColor indexed="43"/>
        </patternFill>
      </fill>
    </dxf>
    <dxf>
      <fill>
        <patternFill>
          <bgColor indexed="22"/>
        </patternFill>
      </fill>
    </dxf>
    <dxf>
      <fill>
        <patternFill>
          <bgColor indexed="41"/>
        </patternFill>
      </fill>
    </dxf>
    <dxf>
      <fill>
        <patternFill>
          <bgColor indexed="22"/>
        </patternFill>
      </fill>
    </dxf>
    <dxf>
      <fill>
        <patternFill>
          <bgColor indexed="41"/>
        </patternFill>
      </fill>
    </dxf>
    <dxf>
      <fill>
        <patternFill>
          <bgColor indexed="22"/>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41"/>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41"/>
        </patternFill>
      </fill>
    </dxf>
    <dxf>
      <fill>
        <patternFill>
          <bgColor indexed="42"/>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CC"/>
        </patternFill>
      </fill>
    </dxf>
    <dxf>
      <fill>
        <patternFill>
          <bgColor rgb="FFCCFFCC"/>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indexed="43"/>
        </patternFill>
      </fill>
    </dxf>
    <dxf>
      <fill>
        <patternFill>
          <bgColor indexed="41"/>
        </patternFill>
      </fill>
    </dxf>
    <dxf>
      <fill>
        <patternFill>
          <bgColor indexed="42"/>
        </patternFill>
      </fill>
    </dxf>
    <dxf>
      <fill>
        <patternFill>
          <bgColor rgb="FFC0C0C0"/>
        </patternFill>
      </fill>
    </dxf>
    <dxf>
      <fill>
        <patternFill>
          <bgColor rgb="FFFFFF99"/>
        </patternFill>
      </fill>
    </dxf>
    <dxf>
      <fill>
        <patternFill>
          <bgColor rgb="FFC0C0C0"/>
        </patternFill>
      </fill>
    </dxf>
    <dxf>
      <fill>
        <patternFill>
          <bgColor rgb="FFFFFF99"/>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CC"/>
        </patternFill>
      </fill>
    </dxf>
    <dxf>
      <fill>
        <patternFill>
          <bgColor indexed="43"/>
        </patternFill>
      </fill>
    </dxf>
    <dxf>
      <fill>
        <patternFill>
          <bgColor indexed="41"/>
        </patternFill>
      </fill>
    </dxf>
    <dxf>
      <fill>
        <patternFill>
          <bgColor indexed="42"/>
        </patternFill>
      </fill>
    </dxf>
  </dxfs>
  <tableStyles count="0" defaultTableStyle="TableStyleMedium2" defaultPivotStyle="PivotStyleLight16"/>
  <colors>
    <mruColors>
      <color rgb="FFFFFFCC"/>
      <color rgb="FFFFD9B3"/>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15</xdr:col>
          <xdr:colOff>57150</xdr:colOff>
          <xdr:row>0</xdr:row>
          <xdr:rowOff>438150</xdr:rowOff>
        </xdr:from>
        <xdr:to>
          <xdr:col>18</xdr:col>
          <xdr:colOff>419100</xdr:colOff>
          <xdr:row>1</xdr:row>
          <xdr:rowOff>171450</xdr:rowOff>
        </xdr:to>
        <xdr:sp macro="" textlink="">
          <xdr:nvSpPr>
            <xdr:cNvPr id="29697" name="Button 1" hidden="1">
              <a:extLst>
                <a:ext uri="{63B3BB69-23CF-44E3-9099-C40C66FF867C}">
                  <a14:compatExt spid="_x0000_s296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sv-SE" sz="1000" b="0" i="0" u="none" strike="noStrike" baseline="0">
                  <a:solidFill>
                    <a:srgbClr val="000000"/>
                  </a:solidFill>
                  <a:latin typeface="Courier New"/>
                  <a:cs typeface="Courier New"/>
                </a:rPr>
                <a:t>Create "Case3\Case3.i"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9525</xdr:colOff>
          <xdr:row>0</xdr:row>
          <xdr:rowOff>438150</xdr:rowOff>
        </xdr:from>
        <xdr:to>
          <xdr:col>21</xdr:col>
          <xdr:colOff>504825</xdr:colOff>
          <xdr:row>1</xdr:row>
          <xdr:rowOff>171450</xdr:rowOff>
        </xdr:to>
        <xdr:sp macro="" textlink="">
          <xdr:nvSpPr>
            <xdr:cNvPr id="29698" name="Button 2" hidden="1">
              <a:extLst>
                <a:ext uri="{63B3BB69-23CF-44E3-9099-C40C66FF867C}">
                  <a14:compatExt spid="_x0000_s296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sv-SE" sz="1000" b="0" i="0" u="none" strike="noStrike" baseline="0">
                  <a:solidFill>
                    <a:srgbClr val="000000"/>
                  </a:solidFill>
                  <a:latin typeface="Courier New"/>
                  <a:cs typeface="Courier New"/>
                </a:rPr>
                <a:t>Create case X to 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0</xdr:row>
          <xdr:rowOff>333375</xdr:rowOff>
        </xdr:from>
        <xdr:to>
          <xdr:col>0</xdr:col>
          <xdr:colOff>952500</xdr:colOff>
          <xdr:row>1</xdr:row>
          <xdr:rowOff>66675</xdr:rowOff>
        </xdr:to>
        <xdr:sp macro="" textlink="">
          <xdr:nvSpPr>
            <xdr:cNvPr id="29699" name="Button 3" hidden="1">
              <a:extLst>
                <a:ext uri="{63B3BB69-23CF-44E3-9099-C40C66FF867C}">
                  <a14:compatExt spid="_x0000_s296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+FLOWPATH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2</xdr:col>
          <xdr:colOff>85725</xdr:colOff>
          <xdr:row>1</xdr:row>
          <xdr:rowOff>66675</xdr:rowOff>
        </xdr:to>
        <xdr:sp macro="" textlink="">
          <xdr:nvSpPr>
            <xdr:cNvPr id="29700" name="Button 4" hidden="1">
              <a:extLst>
                <a:ext uri="{63B3BB69-23CF-44E3-9099-C40C66FF867C}">
                  <a14:compatExt spid="_x0000_s297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+PIPE(s)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200025</xdr:colOff>
          <xdr:row>0</xdr:row>
          <xdr:rowOff>333375</xdr:rowOff>
        </xdr:from>
        <xdr:to>
          <xdr:col>3</xdr:col>
          <xdr:colOff>466725</xdr:colOff>
          <xdr:row>1</xdr:row>
          <xdr:rowOff>66675</xdr:rowOff>
        </xdr:to>
        <xdr:sp macro="" textlink="">
          <xdr:nvSpPr>
            <xdr:cNvPr id="29701" name="Button 5" hidden="1">
              <a:extLst>
                <a:ext uri="{63B3BB69-23CF-44E3-9099-C40C66FF867C}">
                  <a14:compatExt spid="_x0000_s297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+JUNCTION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28575</xdr:colOff>
          <xdr:row>0</xdr:row>
          <xdr:rowOff>333375</xdr:rowOff>
        </xdr:from>
        <xdr:to>
          <xdr:col>5</xdr:col>
          <xdr:colOff>85725</xdr:colOff>
          <xdr:row>1</xdr:row>
          <xdr:rowOff>66675</xdr:rowOff>
        </xdr:to>
        <xdr:sp macro="" textlink="">
          <xdr:nvSpPr>
            <xdr:cNvPr id="29702" name="Button 6" hidden="1">
              <a:extLst>
                <a:ext uri="{63B3BB69-23CF-44E3-9099-C40C66FF867C}">
                  <a14:compatExt spid="_x0000_s2970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+TMDPVOL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200025</xdr:colOff>
          <xdr:row>0</xdr:row>
          <xdr:rowOff>333375</xdr:rowOff>
        </xdr:from>
        <xdr:to>
          <xdr:col>6</xdr:col>
          <xdr:colOff>238125</xdr:colOff>
          <xdr:row>1</xdr:row>
          <xdr:rowOff>66675</xdr:rowOff>
        </xdr:to>
        <xdr:sp macro="" textlink="">
          <xdr:nvSpPr>
            <xdr:cNvPr id="29703" name="Button 7" hidden="1">
              <a:extLst>
                <a:ext uri="{63B3BB69-23CF-44E3-9099-C40C66FF867C}">
                  <a14:compatExt spid="_x0000_s297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+VARIABLE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514350</xdr:colOff>
          <xdr:row>0</xdr:row>
          <xdr:rowOff>438150</xdr:rowOff>
        </xdr:from>
        <xdr:to>
          <xdr:col>14</xdr:col>
          <xdr:colOff>285750</xdr:colOff>
          <xdr:row>1</xdr:row>
          <xdr:rowOff>171450</xdr:rowOff>
        </xdr:to>
        <xdr:sp macro="" textlink="">
          <xdr:nvSpPr>
            <xdr:cNvPr id="29704" name="Button 8" hidden="1">
              <a:extLst>
                <a:ext uri="{63B3BB69-23CF-44E3-9099-C40C66FF867C}">
                  <a14:compatExt spid="_x0000_s297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Model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504825</xdr:colOff>
          <xdr:row>0</xdr:row>
          <xdr:rowOff>438150</xdr:rowOff>
        </xdr:from>
        <xdr:to>
          <xdr:col>12</xdr:col>
          <xdr:colOff>371475</xdr:colOff>
          <xdr:row>1</xdr:row>
          <xdr:rowOff>171450</xdr:rowOff>
        </xdr:to>
        <xdr:sp macro="" textlink="">
          <xdr:nvSpPr>
            <xdr:cNvPr id="29705" name="Button 9" hidden="1">
              <a:extLst>
                <a:ext uri="{63B3BB69-23CF-44E3-9099-C40C66FF867C}">
                  <a14:compatExt spid="_x0000_s2970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Probe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333375</xdr:rowOff>
        </xdr:from>
        <xdr:to>
          <xdr:col>7</xdr:col>
          <xdr:colOff>419100</xdr:colOff>
          <xdr:row>1</xdr:row>
          <xdr:rowOff>66675</xdr:rowOff>
        </xdr:to>
        <xdr:sp macro="" textlink="">
          <xdr:nvSpPr>
            <xdr:cNvPr id="29706" name="Button 10" hidden="1">
              <a:extLst>
                <a:ext uri="{63B3BB69-23CF-44E3-9099-C40C66FF867C}">
                  <a14:compatExt spid="_x0000_s2970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+TRIPVAR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9525</xdr:colOff>
          <xdr:row>0</xdr:row>
          <xdr:rowOff>333375</xdr:rowOff>
        </xdr:from>
        <xdr:to>
          <xdr:col>9</xdr:col>
          <xdr:colOff>495300</xdr:colOff>
          <xdr:row>1</xdr:row>
          <xdr:rowOff>66675</xdr:rowOff>
        </xdr:to>
        <xdr:sp macro="" textlink="">
          <xdr:nvSpPr>
            <xdr:cNvPr id="29707" name="Button 11" hidden="1">
              <a:extLst>
                <a:ext uri="{63B3BB69-23CF-44E3-9099-C40C66FF867C}">
                  <a14:compatExt spid="_x0000_s297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+TRIPLOG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219075</xdr:colOff>
          <xdr:row>1</xdr:row>
          <xdr:rowOff>85725</xdr:rowOff>
        </xdr:from>
        <xdr:to>
          <xdr:col>4</xdr:col>
          <xdr:colOff>542925</xdr:colOff>
          <xdr:row>3</xdr:row>
          <xdr:rowOff>161925</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Dublicate selected case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5279571" y="3869871"/>
    <xdr:ext cx="3845379" cy="364672"/>
    <xdr:cxnSp macro="">
      <xdr:nvCxnSpPr>
        <xdr:cNvPr id="2" name="AutoShape 25">
          <a:extLst>
            <a:ext uri="{FF2B5EF4-FFF2-40B4-BE49-F238E27FC236}">
              <a16:creationId xmlns:a16="http://schemas.microsoft.com/office/drawing/2014/main" xmlns="" id="{A74B1A45-0160-4F05-B55A-0C587A4F4177}"/>
            </a:ext>
          </a:extLst>
        </xdr:cNvPr>
        <xdr:cNvCxnSpPr>
          <a:cxnSpLocks noChangeShapeType="1"/>
          <a:stCxn id="44" idx="2"/>
          <a:endCxn id="40" idx="3"/>
        </xdr:cNvCxnSpPr>
      </xdr:nvCxnSpPr>
      <xdr:spPr bwMode="auto">
        <a:xfrm rot="5400000">
          <a:off x="7019925" y="2129517"/>
          <a:ext cx="364672" cy="3845379"/>
        </a:xfrm>
        <a:prstGeom prst="bentConnector2">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4476750" y="4215493"/>
    <xdr:ext cx="38100" cy="39461"/>
    <xdr:sp macro="" textlink="">
      <xdr:nvSpPr>
        <xdr:cNvPr id="3" name="Rectangle 37">
          <a:extLst>
            <a:ext uri="{FF2B5EF4-FFF2-40B4-BE49-F238E27FC236}">
              <a16:creationId xmlns:a16="http://schemas.microsoft.com/office/drawing/2014/main" xmlns="" id="{8EFC5B90-3B38-4B2D-838E-06377D5FA3CD}"/>
            </a:ext>
          </a:extLst>
        </xdr:cNvPr>
        <xdr:cNvSpPr>
          <a:spLocks noChangeArrowheads="1"/>
        </xdr:cNvSpPr>
      </xdr:nvSpPr>
      <xdr:spPr bwMode="auto">
        <a:xfrm>
          <a:off x="4476750" y="4215493"/>
          <a:ext cx="38100" cy="39461"/>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0054318" y="2669721"/>
    <xdr:ext cx="123825" cy="125186"/>
    <xdr:sp macro="" textlink="">
      <xdr:nvSpPr>
        <xdr:cNvPr id="4" name="Rectangle 37">
          <a:extLst>
            <a:ext uri="{FF2B5EF4-FFF2-40B4-BE49-F238E27FC236}">
              <a16:creationId xmlns:a16="http://schemas.microsoft.com/office/drawing/2014/main" xmlns="" id="{E86B1BA6-03B9-4020-9137-E3BFAD1DF9E6}"/>
            </a:ext>
          </a:extLst>
        </xdr:cNvPr>
        <xdr:cNvSpPr>
          <a:spLocks noChangeArrowheads="1"/>
        </xdr:cNvSpPr>
      </xdr:nvSpPr>
      <xdr:spPr bwMode="auto">
        <a:xfrm>
          <a:off x="10054318" y="2669721"/>
          <a:ext cx="123825" cy="1251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073979" y="4234543"/>
    <xdr:ext cx="402771" cy="0"/>
    <xdr:cxnSp macro="">
      <xdr:nvCxnSpPr>
        <xdr:cNvPr id="5" name="AutoShape 25">
          <a:extLst>
            <a:ext uri="{FF2B5EF4-FFF2-40B4-BE49-F238E27FC236}">
              <a16:creationId xmlns:a16="http://schemas.microsoft.com/office/drawing/2014/main" xmlns="" id="{39E9EE5F-5A64-4019-A7E6-AE82A7AFED71}"/>
            </a:ext>
          </a:extLst>
        </xdr:cNvPr>
        <xdr:cNvCxnSpPr>
          <a:cxnSpLocks noChangeShapeType="1"/>
          <a:stCxn id="3" idx="1"/>
          <a:endCxn id="9" idx="0"/>
        </xdr:cNvCxnSpPr>
      </xdr:nvCxnSpPr>
      <xdr:spPr bwMode="auto">
        <a:xfrm rot="10800000" flipV="1">
          <a:off x="4073979" y="4234543"/>
          <a:ext cx="40277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5</xdr:col>
      <xdr:colOff>104775</xdr:colOff>
      <xdr:row>25</xdr:row>
      <xdr:rowOff>19050</xdr:rowOff>
    </xdr:from>
    <xdr:to>
      <xdr:col>5</xdr:col>
      <xdr:colOff>371475</xdr:colOff>
      <xdr:row>26</xdr:row>
      <xdr:rowOff>133350</xdr:rowOff>
    </xdr:to>
    <xdr:grpSp>
      <xdr:nvGrpSpPr>
        <xdr:cNvPr id="6" name="Group 14">
          <a:extLst>
            <a:ext uri="{FF2B5EF4-FFF2-40B4-BE49-F238E27FC236}">
              <a16:creationId xmlns:a16="http://schemas.microsoft.com/office/drawing/2014/main" xmlns="" id="{C0999F52-5B4C-4968-B0C1-888A3112DF7D}"/>
            </a:ext>
          </a:extLst>
        </xdr:cNvPr>
        <xdr:cNvGrpSpPr>
          <a:grpSpLocks/>
        </xdr:cNvGrpSpPr>
      </xdr:nvGrpSpPr>
      <xdr:grpSpPr bwMode="auto">
        <a:xfrm>
          <a:off x="3166382" y="4101193"/>
          <a:ext cx="266700" cy="277586"/>
          <a:chOff x="950" y="758"/>
          <a:chExt cx="29" cy="29"/>
        </a:xfrm>
      </xdr:grpSpPr>
      <xdr:sp macro="" textlink="">
        <xdr:nvSpPr>
          <xdr:cNvPr id="7" name="Oval 15">
            <a:extLst>
              <a:ext uri="{FF2B5EF4-FFF2-40B4-BE49-F238E27FC236}">
                <a16:creationId xmlns:a16="http://schemas.microsoft.com/office/drawing/2014/main" xmlns="" id="{4B12EDDD-C84D-434B-8BD9-E49521AA4AD5}"/>
              </a:ext>
            </a:extLst>
          </xdr:cNvPr>
          <xdr:cNvSpPr>
            <a:spLocks noChangeArrowheads="1"/>
          </xdr:cNvSpPr>
        </xdr:nvSpPr>
        <xdr:spPr bwMode="auto">
          <a:xfrm rot="10800000">
            <a:off x="950" y="758"/>
            <a:ext cx="29" cy="29"/>
          </a:xfrm>
          <a:prstGeom prst="ellipse">
            <a:avLst/>
          </a:prstGeom>
          <a:solidFill>
            <a:srgbClr xmlns:mc="http://schemas.openxmlformats.org/markup-compatibility/2006" xmlns:a14="http://schemas.microsoft.com/office/drawing/2010/main" val="FFFFFF" mc:Ignorable="a14" a14:legacySpreadsheetColorIndex="9"/>
          </a:solidFill>
          <a:ln w="19050">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8" name="Line 16">
            <a:extLst>
              <a:ext uri="{FF2B5EF4-FFF2-40B4-BE49-F238E27FC236}">
                <a16:creationId xmlns:a16="http://schemas.microsoft.com/office/drawing/2014/main" xmlns="" id="{453D630E-9198-4159-B90B-B3DF19679995}"/>
              </a:ext>
            </a:extLst>
          </xdr:cNvPr>
          <xdr:cNvSpPr>
            <a:spLocks noChangeShapeType="1"/>
          </xdr:cNvSpPr>
        </xdr:nvSpPr>
        <xdr:spPr bwMode="auto">
          <a:xfrm rot="10800000">
            <a:off x="954" y="773"/>
            <a:ext cx="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sm"/>
          </a:ln>
          <a:extLst>
            <a:ext uri="{909E8E84-426E-40DD-AFC4-6F175D3DCCD1}">
              <a14:hiddenFill xmlns:a14="http://schemas.microsoft.com/office/drawing/2010/main">
                <a:noFill/>
              </a14:hiddenFill>
            </a:ext>
          </a:extLst>
        </xdr:spPr>
      </xdr:sp>
    </xdr:grpSp>
    <xdr:clientData/>
  </xdr:twoCellAnchor>
  <xdr:absoluteAnchor>
    <xdr:pos x="3950154" y="4177393"/>
    <xdr:ext cx="123825" cy="125186"/>
    <xdr:sp macro="" textlink="">
      <xdr:nvSpPr>
        <xdr:cNvPr id="9" name="AutoShape 9">
          <a:extLst>
            <a:ext uri="{FF2B5EF4-FFF2-40B4-BE49-F238E27FC236}">
              <a16:creationId xmlns:a16="http://schemas.microsoft.com/office/drawing/2014/main" xmlns="" id="{FA84B0BA-2AE1-4DDB-8A4D-70C180A50048}"/>
            </a:ext>
          </a:extLst>
        </xdr:cNvPr>
        <xdr:cNvSpPr>
          <a:spLocks noChangeArrowheads="1"/>
        </xdr:cNvSpPr>
      </xdr:nvSpPr>
      <xdr:spPr bwMode="auto">
        <a:xfrm rot="5400000">
          <a:off x="3949474" y="4178073"/>
          <a:ext cx="125186"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433082" y="4234543"/>
    <xdr:ext cx="517072" cy="0"/>
    <xdr:cxnSp macro="">
      <xdr:nvCxnSpPr>
        <xdr:cNvPr id="10" name="AutoShape 25">
          <a:extLst>
            <a:ext uri="{FF2B5EF4-FFF2-40B4-BE49-F238E27FC236}">
              <a16:creationId xmlns:a16="http://schemas.microsoft.com/office/drawing/2014/main" xmlns="" id="{41EBACDA-3310-4DA8-BE0F-ADBF34786198}"/>
            </a:ext>
          </a:extLst>
        </xdr:cNvPr>
        <xdr:cNvCxnSpPr>
          <a:cxnSpLocks noChangeShapeType="1"/>
          <a:stCxn id="9" idx="2"/>
          <a:endCxn id="7" idx="2"/>
        </xdr:cNvCxnSpPr>
      </xdr:nvCxnSpPr>
      <xdr:spPr bwMode="auto">
        <a:xfrm rot="10800000" flipV="1">
          <a:off x="3433082" y="4234543"/>
          <a:ext cx="517072"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658836" y="4177393"/>
    <xdr:ext cx="142875" cy="125186"/>
    <xdr:grpSp>
      <xdr:nvGrpSpPr>
        <xdr:cNvPr id="11" name="Group 6">
          <a:extLst>
            <a:ext uri="{FF2B5EF4-FFF2-40B4-BE49-F238E27FC236}">
              <a16:creationId xmlns:a16="http://schemas.microsoft.com/office/drawing/2014/main" xmlns="" id="{C1E242A2-61C1-4A15-B6CE-6D1728BAD082}"/>
            </a:ext>
          </a:extLst>
        </xdr:cNvPr>
        <xdr:cNvGrpSpPr>
          <a:grpSpLocks/>
        </xdr:cNvGrpSpPr>
      </xdr:nvGrpSpPr>
      <xdr:grpSpPr bwMode="auto">
        <a:xfrm flipH="1">
          <a:off x="2658836" y="4177393"/>
          <a:ext cx="142875" cy="125186"/>
          <a:chOff x="366" y="576"/>
          <a:chExt cx="15" cy="12"/>
        </a:xfrm>
      </xdr:grpSpPr>
      <xdr:sp macro="" textlink="">
        <xdr:nvSpPr>
          <xdr:cNvPr id="12" name="Rectangle 7">
            <a:extLst>
              <a:ext uri="{FF2B5EF4-FFF2-40B4-BE49-F238E27FC236}">
                <a16:creationId xmlns:a16="http://schemas.microsoft.com/office/drawing/2014/main" xmlns="" id="{340BE18B-8A1E-45DE-B4D5-5D128A076F48}"/>
              </a:ext>
            </a:extLst>
          </xdr:cNvPr>
          <xdr:cNvSpPr>
            <a:spLocks noChangeArrowheads="1"/>
          </xdr:cNvSpPr>
        </xdr:nvSpPr>
        <xdr:spPr bwMode="auto">
          <a:xfrm>
            <a:off x="366" y="576"/>
            <a:ext cx="15" cy="12"/>
          </a:xfrm>
          <a:prstGeom prst="rect">
            <a:avLst/>
          </a:prstGeom>
          <a:solidFill>
            <a:srgbClr xmlns:mc="http://schemas.openxmlformats.org/markup-compatibility/2006" xmlns:a14="http://schemas.microsoft.com/office/drawing/2010/main" val="FFFFFF" mc:Ignorable="a14" a14:legacySpreadsheetColorIndex="9"/>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3" name="Line 8">
            <a:extLst>
              <a:ext uri="{FF2B5EF4-FFF2-40B4-BE49-F238E27FC236}">
                <a16:creationId xmlns:a16="http://schemas.microsoft.com/office/drawing/2014/main" xmlns="" id="{847973C3-0E3A-402B-9823-C17408931938}"/>
              </a:ext>
            </a:extLst>
          </xdr:cNvPr>
          <xdr:cNvSpPr>
            <a:spLocks noChangeShapeType="1"/>
          </xdr:cNvSpPr>
        </xdr:nvSpPr>
        <xdr:spPr bwMode="auto">
          <a:xfrm>
            <a:off x="367" y="578"/>
            <a:ext cx="10" cy="7"/>
          </a:xfrm>
          <a:prstGeom prst="line">
            <a:avLst/>
          </a:prstGeom>
          <a:noFill/>
          <a:ln w="12700">
            <a:solidFill>
              <a:srgbClr xmlns:mc="http://schemas.openxmlformats.org/markup-compatibility/2006" xmlns:a14="http://schemas.microsoft.com/office/drawing/2010/main" val="000000" mc:Ignorable="a14" a14:legacySpreadsheetColorIndex="64"/>
            </a:solidFill>
            <a:round/>
            <a:headEnd type="oval" w="sm" len="sm"/>
            <a:tailEnd/>
          </a:ln>
          <a:extLst>
            <a:ext uri="{909E8E84-426E-40DD-AFC4-6F175D3DCCD1}">
              <a14:hiddenFill xmlns:a14="http://schemas.microsoft.com/office/drawing/2010/main">
                <a:noFill/>
              </a14:hiddenFill>
            </a:ext>
          </a:extLst>
        </xdr:spPr>
      </xdr:sp>
    </xdr:grpSp>
    <xdr:clientData/>
  </xdr:absoluteAnchor>
  <xdr:absoluteAnchor>
    <xdr:pos x="2801711" y="4234543"/>
    <xdr:ext cx="364671" cy="0"/>
    <xdr:cxnSp macro="">
      <xdr:nvCxnSpPr>
        <xdr:cNvPr id="14" name="AutoShape 25">
          <a:extLst>
            <a:ext uri="{FF2B5EF4-FFF2-40B4-BE49-F238E27FC236}">
              <a16:creationId xmlns:a16="http://schemas.microsoft.com/office/drawing/2014/main" xmlns="" id="{E9BEF67F-E060-4D9E-80D3-4495D0D4A93B}"/>
            </a:ext>
          </a:extLst>
        </xdr:cNvPr>
        <xdr:cNvCxnSpPr>
          <a:cxnSpLocks noChangeShapeType="1"/>
          <a:stCxn id="7" idx="6"/>
          <a:endCxn id="12" idx="1"/>
        </xdr:cNvCxnSpPr>
      </xdr:nvCxnSpPr>
      <xdr:spPr bwMode="auto">
        <a:xfrm rot="10800000" flipV="1">
          <a:off x="2801711" y="4234543"/>
          <a:ext cx="36467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256064" y="4234543"/>
    <xdr:ext cx="402772" cy="0"/>
    <xdr:cxnSp macro="">
      <xdr:nvCxnSpPr>
        <xdr:cNvPr id="15" name="AutoShape 25">
          <a:extLst>
            <a:ext uri="{FF2B5EF4-FFF2-40B4-BE49-F238E27FC236}">
              <a16:creationId xmlns:a16="http://schemas.microsoft.com/office/drawing/2014/main" xmlns="" id="{EC7E0AAC-BC95-4D5A-8840-0CB04673DC39}"/>
            </a:ext>
          </a:extLst>
        </xdr:cNvPr>
        <xdr:cNvCxnSpPr>
          <a:cxnSpLocks noChangeShapeType="1"/>
          <a:stCxn id="12" idx="3"/>
          <a:endCxn id="16" idx="0"/>
        </xdr:cNvCxnSpPr>
      </xdr:nvCxnSpPr>
      <xdr:spPr bwMode="auto">
        <a:xfrm rot="10800000">
          <a:off x="2256064" y="4234543"/>
          <a:ext cx="402772"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132239" y="4177393"/>
    <xdr:ext cx="123825" cy="125186"/>
    <xdr:sp macro="" textlink="">
      <xdr:nvSpPr>
        <xdr:cNvPr id="16" name="AutoShape 9">
          <a:extLst>
            <a:ext uri="{FF2B5EF4-FFF2-40B4-BE49-F238E27FC236}">
              <a16:creationId xmlns:a16="http://schemas.microsoft.com/office/drawing/2014/main" xmlns="" id="{4097977D-98AC-4957-8E19-7399AAA042A7}"/>
            </a:ext>
          </a:extLst>
        </xdr:cNvPr>
        <xdr:cNvSpPr>
          <a:spLocks noChangeArrowheads="1"/>
        </xdr:cNvSpPr>
      </xdr:nvSpPr>
      <xdr:spPr bwMode="auto">
        <a:xfrm rot="5400000">
          <a:off x="2131559" y="4178073"/>
          <a:ext cx="125186"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24718" y="4234543"/>
    <xdr:ext cx="307521" cy="0"/>
    <xdr:cxnSp macro="">
      <xdr:nvCxnSpPr>
        <xdr:cNvPr id="17" name="AutoShape 25">
          <a:extLst>
            <a:ext uri="{FF2B5EF4-FFF2-40B4-BE49-F238E27FC236}">
              <a16:creationId xmlns:a16="http://schemas.microsoft.com/office/drawing/2014/main" xmlns="" id="{E9822E73-4BFC-487F-A765-18B83D90E495}"/>
            </a:ext>
          </a:extLst>
        </xdr:cNvPr>
        <xdr:cNvCxnSpPr>
          <a:cxnSpLocks noChangeShapeType="1"/>
          <a:stCxn id="16" idx="2"/>
          <a:endCxn id="18" idx="3"/>
        </xdr:cNvCxnSpPr>
      </xdr:nvCxnSpPr>
      <xdr:spPr bwMode="auto">
        <a:xfrm rot="10800000">
          <a:off x="1824718" y="4234543"/>
          <a:ext cx="30752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1786618" y="4215493"/>
    <xdr:ext cx="38100" cy="39461"/>
    <xdr:sp macro="" textlink="">
      <xdr:nvSpPr>
        <xdr:cNvPr id="18" name="Rectangle 37">
          <a:extLst>
            <a:ext uri="{FF2B5EF4-FFF2-40B4-BE49-F238E27FC236}">
              <a16:creationId xmlns:a16="http://schemas.microsoft.com/office/drawing/2014/main" xmlns="" id="{209EC358-4573-4536-9866-2EB8EBA79B12}"/>
            </a:ext>
          </a:extLst>
        </xdr:cNvPr>
        <xdr:cNvSpPr>
          <a:spLocks noChangeArrowheads="1"/>
        </xdr:cNvSpPr>
      </xdr:nvSpPr>
      <xdr:spPr bwMode="auto">
        <a:xfrm>
          <a:off x="1786618" y="4215493"/>
          <a:ext cx="38100" cy="39461"/>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045404" y="4254954"/>
    <xdr:ext cx="450396" cy="691242"/>
    <xdr:cxnSp macro="">
      <xdr:nvCxnSpPr>
        <xdr:cNvPr id="19" name="AutoShape 25">
          <a:extLst>
            <a:ext uri="{FF2B5EF4-FFF2-40B4-BE49-F238E27FC236}">
              <a16:creationId xmlns:a16="http://schemas.microsoft.com/office/drawing/2014/main" xmlns="" id="{97DC186F-8F5A-4C07-BCC2-11D7AD25AE28}"/>
            </a:ext>
          </a:extLst>
        </xdr:cNvPr>
        <xdr:cNvCxnSpPr>
          <a:cxnSpLocks noChangeShapeType="1"/>
          <a:stCxn id="3" idx="2"/>
          <a:endCxn id="23" idx="0"/>
        </xdr:cNvCxnSpPr>
      </xdr:nvCxnSpPr>
      <xdr:spPr bwMode="auto">
        <a:xfrm rot="5400000">
          <a:off x="3924981" y="4375377"/>
          <a:ext cx="691242" cy="450396"/>
        </a:xfrm>
        <a:prstGeom prst="bentConnector2">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5</xdr:col>
      <xdr:colOff>66675</xdr:colOff>
      <xdr:row>29</xdr:row>
      <xdr:rowOff>76200</xdr:rowOff>
    </xdr:from>
    <xdr:to>
      <xdr:col>5</xdr:col>
      <xdr:colOff>342900</xdr:colOff>
      <xdr:row>31</xdr:row>
      <xdr:rowOff>28575</xdr:rowOff>
    </xdr:to>
    <xdr:grpSp>
      <xdr:nvGrpSpPr>
        <xdr:cNvPr id="20" name="Group 14">
          <a:extLst>
            <a:ext uri="{FF2B5EF4-FFF2-40B4-BE49-F238E27FC236}">
              <a16:creationId xmlns:a16="http://schemas.microsoft.com/office/drawing/2014/main" xmlns="" id="{378AC68F-D603-484E-B695-DE3F63EC3914}"/>
            </a:ext>
          </a:extLst>
        </xdr:cNvPr>
        <xdr:cNvGrpSpPr>
          <a:grpSpLocks/>
        </xdr:cNvGrpSpPr>
      </xdr:nvGrpSpPr>
      <xdr:grpSpPr bwMode="auto">
        <a:xfrm>
          <a:off x="3128282" y="4811486"/>
          <a:ext cx="276225" cy="278946"/>
          <a:chOff x="950" y="758"/>
          <a:chExt cx="29" cy="29"/>
        </a:xfrm>
      </xdr:grpSpPr>
      <xdr:sp macro="" textlink="">
        <xdr:nvSpPr>
          <xdr:cNvPr id="21" name="Oval 15">
            <a:extLst>
              <a:ext uri="{FF2B5EF4-FFF2-40B4-BE49-F238E27FC236}">
                <a16:creationId xmlns:a16="http://schemas.microsoft.com/office/drawing/2014/main" xmlns="" id="{72850138-CDB3-40AB-862E-1D46E87F1E28}"/>
              </a:ext>
            </a:extLst>
          </xdr:cNvPr>
          <xdr:cNvSpPr>
            <a:spLocks noChangeArrowheads="1"/>
          </xdr:cNvSpPr>
        </xdr:nvSpPr>
        <xdr:spPr bwMode="auto">
          <a:xfrm rot="10800000">
            <a:off x="950" y="758"/>
            <a:ext cx="29" cy="29"/>
          </a:xfrm>
          <a:prstGeom prst="ellipse">
            <a:avLst/>
          </a:prstGeom>
          <a:solidFill>
            <a:srgbClr xmlns:mc="http://schemas.openxmlformats.org/markup-compatibility/2006" xmlns:a14="http://schemas.microsoft.com/office/drawing/2010/main" val="FFFFFF" mc:Ignorable="a14" a14:legacySpreadsheetColorIndex="9"/>
          </a:solidFill>
          <a:ln w="19050">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2" name="Line 16">
            <a:extLst>
              <a:ext uri="{FF2B5EF4-FFF2-40B4-BE49-F238E27FC236}">
                <a16:creationId xmlns:a16="http://schemas.microsoft.com/office/drawing/2014/main" xmlns="" id="{4D934DD0-B50A-427A-8C8B-B3E6A7524A2B}"/>
              </a:ext>
            </a:extLst>
          </xdr:cNvPr>
          <xdr:cNvSpPr>
            <a:spLocks noChangeShapeType="1"/>
          </xdr:cNvSpPr>
        </xdr:nvSpPr>
        <xdr:spPr bwMode="auto">
          <a:xfrm rot="10800000">
            <a:off x="954" y="773"/>
            <a:ext cx="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sm"/>
          </a:ln>
          <a:extLst>
            <a:ext uri="{909E8E84-426E-40DD-AFC4-6F175D3DCCD1}">
              <a14:hiddenFill xmlns:a14="http://schemas.microsoft.com/office/drawing/2010/main">
                <a:noFill/>
              </a14:hiddenFill>
            </a:ext>
          </a:extLst>
        </xdr:spPr>
      </xdr:sp>
    </xdr:grpSp>
    <xdr:clientData/>
  </xdr:twoCellAnchor>
  <xdr:absoluteAnchor>
    <xdr:pos x="3921579" y="4887686"/>
    <xdr:ext cx="123825" cy="125185"/>
    <xdr:sp macro="" textlink="">
      <xdr:nvSpPr>
        <xdr:cNvPr id="23" name="AutoShape 9">
          <a:extLst>
            <a:ext uri="{FF2B5EF4-FFF2-40B4-BE49-F238E27FC236}">
              <a16:creationId xmlns:a16="http://schemas.microsoft.com/office/drawing/2014/main" xmlns="" id="{97D5804E-A93F-466A-AB8D-1AF73759A90A}"/>
            </a:ext>
          </a:extLst>
        </xdr:cNvPr>
        <xdr:cNvSpPr>
          <a:spLocks noChangeArrowheads="1"/>
        </xdr:cNvSpPr>
      </xdr:nvSpPr>
      <xdr:spPr bwMode="auto">
        <a:xfrm rot="5400000">
          <a:off x="3920899" y="4888366"/>
          <a:ext cx="12518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404507" y="4946196"/>
    <xdr:ext cx="517072" cy="0"/>
    <xdr:cxnSp macro="">
      <xdr:nvCxnSpPr>
        <xdr:cNvPr id="24" name="AutoShape 25">
          <a:extLst>
            <a:ext uri="{FF2B5EF4-FFF2-40B4-BE49-F238E27FC236}">
              <a16:creationId xmlns:a16="http://schemas.microsoft.com/office/drawing/2014/main" xmlns="" id="{ABE97468-2294-406F-8A12-48F81047BC46}"/>
            </a:ext>
          </a:extLst>
        </xdr:cNvPr>
        <xdr:cNvCxnSpPr>
          <a:cxnSpLocks noChangeShapeType="1"/>
          <a:stCxn id="23" idx="2"/>
          <a:endCxn id="21" idx="2"/>
        </xdr:cNvCxnSpPr>
      </xdr:nvCxnSpPr>
      <xdr:spPr bwMode="auto">
        <a:xfrm rot="10800000" flipV="1">
          <a:off x="3404507" y="4946196"/>
          <a:ext cx="517072"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2630261" y="4887686"/>
    <xdr:ext cx="142875" cy="125185"/>
    <xdr:grpSp>
      <xdr:nvGrpSpPr>
        <xdr:cNvPr id="25" name="Group 6">
          <a:extLst>
            <a:ext uri="{FF2B5EF4-FFF2-40B4-BE49-F238E27FC236}">
              <a16:creationId xmlns:a16="http://schemas.microsoft.com/office/drawing/2014/main" xmlns="" id="{057C7407-3CBD-499C-AD15-D31D3CA890D1}"/>
            </a:ext>
          </a:extLst>
        </xdr:cNvPr>
        <xdr:cNvGrpSpPr>
          <a:grpSpLocks/>
        </xdr:cNvGrpSpPr>
      </xdr:nvGrpSpPr>
      <xdr:grpSpPr bwMode="auto">
        <a:xfrm flipH="1">
          <a:off x="2630261" y="4887686"/>
          <a:ext cx="142875" cy="125185"/>
          <a:chOff x="366" y="576"/>
          <a:chExt cx="15" cy="12"/>
        </a:xfrm>
      </xdr:grpSpPr>
      <xdr:sp macro="" textlink="">
        <xdr:nvSpPr>
          <xdr:cNvPr id="26" name="Rectangle 7">
            <a:extLst>
              <a:ext uri="{FF2B5EF4-FFF2-40B4-BE49-F238E27FC236}">
                <a16:creationId xmlns:a16="http://schemas.microsoft.com/office/drawing/2014/main" xmlns="" id="{7220C6B1-029D-473D-BE0F-5A669B47688E}"/>
              </a:ext>
            </a:extLst>
          </xdr:cNvPr>
          <xdr:cNvSpPr>
            <a:spLocks noChangeArrowheads="1"/>
          </xdr:cNvSpPr>
        </xdr:nvSpPr>
        <xdr:spPr bwMode="auto">
          <a:xfrm>
            <a:off x="366" y="576"/>
            <a:ext cx="15" cy="12"/>
          </a:xfrm>
          <a:prstGeom prst="rect">
            <a:avLst/>
          </a:prstGeom>
          <a:solidFill>
            <a:srgbClr xmlns:mc="http://schemas.openxmlformats.org/markup-compatibility/2006" xmlns:a14="http://schemas.microsoft.com/office/drawing/2010/main" val="FFFFFF" mc:Ignorable="a14" a14:legacySpreadsheetColorIndex="9"/>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7" name="Line 8">
            <a:extLst>
              <a:ext uri="{FF2B5EF4-FFF2-40B4-BE49-F238E27FC236}">
                <a16:creationId xmlns:a16="http://schemas.microsoft.com/office/drawing/2014/main" xmlns="" id="{1B4A5B71-51F5-4719-8D4F-8FD0A0F77596}"/>
              </a:ext>
            </a:extLst>
          </xdr:cNvPr>
          <xdr:cNvSpPr>
            <a:spLocks noChangeShapeType="1"/>
          </xdr:cNvSpPr>
        </xdr:nvSpPr>
        <xdr:spPr bwMode="auto">
          <a:xfrm>
            <a:off x="367" y="578"/>
            <a:ext cx="10" cy="7"/>
          </a:xfrm>
          <a:prstGeom prst="line">
            <a:avLst/>
          </a:prstGeom>
          <a:noFill/>
          <a:ln w="12700">
            <a:solidFill>
              <a:srgbClr xmlns:mc="http://schemas.openxmlformats.org/markup-compatibility/2006" xmlns:a14="http://schemas.microsoft.com/office/drawing/2010/main" val="000000" mc:Ignorable="a14" a14:legacySpreadsheetColorIndex="64"/>
            </a:solidFill>
            <a:round/>
            <a:headEnd type="oval" w="sm" len="sm"/>
            <a:tailEnd/>
          </a:ln>
          <a:extLst>
            <a:ext uri="{909E8E84-426E-40DD-AFC4-6F175D3DCCD1}">
              <a14:hiddenFill xmlns:a14="http://schemas.microsoft.com/office/drawing/2010/main">
                <a:noFill/>
              </a14:hiddenFill>
            </a:ext>
          </a:extLst>
        </xdr:spPr>
      </xdr:sp>
    </xdr:grpSp>
    <xdr:clientData/>
  </xdr:absoluteAnchor>
  <xdr:absoluteAnchor>
    <xdr:pos x="2773136" y="4946196"/>
    <xdr:ext cx="355146" cy="9525"/>
    <xdr:cxnSp macro="">
      <xdr:nvCxnSpPr>
        <xdr:cNvPr id="28" name="AutoShape 25">
          <a:extLst>
            <a:ext uri="{FF2B5EF4-FFF2-40B4-BE49-F238E27FC236}">
              <a16:creationId xmlns:a16="http://schemas.microsoft.com/office/drawing/2014/main" xmlns="" id="{5E21EE50-82A7-49D6-9A07-F412CF295A27}"/>
            </a:ext>
          </a:extLst>
        </xdr:cNvPr>
        <xdr:cNvCxnSpPr>
          <a:cxnSpLocks noChangeShapeType="1"/>
          <a:stCxn id="21" idx="6"/>
          <a:endCxn id="26" idx="1"/>
        </xdr:cNvCxnSpPr>
      </xdr:nvCxnSpPr>
      <xdr:spPr bwMode="auto">
        <a:xfrm rot="10800000" flipV="1">
          <a:off x="2773136" y="4946196"/>
          <a:ext cx="355146" cy="9525"/>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2237014" y="4946196"/>
    <xdr:ext cx="393247" cy="9525"/>
    <xdr:cxnSp macro="">
      <xdr:nvCxnSpPr>
        <xdr:cNvPr id="29" name="AutoShape 25">
          <a:extLst>
            <a:ext uri="{FF2B5EF4-FFF2-40B4-BE49-F238E27FC236}">
              <a16:creationId xmlns:a16="http://schemas.microsoft.com/office/drawing/2014/main" xmlns="" id="{6003A5C9-AAC5-48A0-855C-1A79A65FF432}"/>
            </a:ext>
          </a:extLst>
        </xdr:cNvPr>
        <xdr:cNvCxnSpPr>
          <a:cxnSpLocks noChangeShapeType="1"/>
          <a:stCxn id="26" idx="3"/>
          <a:endCxn id="30" idx="0"/>
        </xdr:cNvCxnSpPr>
      </xdr:nvCxnSpPr>
      <xdr:spPr bwMode="auto">
        <a:xfrm rot="10800000">
          <a:off x="2237014" y="4946196"/>
          <a:ext cx="393247" cy="9525"/>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2113189" y="4887686"/>
    <xdr:ext cx="123825" cy="125185"/>
    <xdr:sp macro="" textlink="">
      <xdr:nvSpPr>
        <xdr:cNvPr id="30" name="AutoShape 9">
          <a:extLst>
            <a:ext uri="{FF2B5EF4-FFF2-40B4-BE49-F238E27FC236}">
              <a16:creationId xmlns:a16="http://schemas.microsoft.com/office/drawing/2014/main" xmlns="" id="{7BCEF0FB-014D-4C81-BAAC-66C1F6A7C812}"/>
            </a:ext>
          </a:extLst>
        </xdr:cNvPr>
        <xdr:cNvSpPr>
          <a:spLocks noChangeArrowheads="1"/>
        </xdr:cNvSpPr>
      </xdr:nvSpPr>
      <xdr:spPr bwMode="auto">
        <a:xfrm rot="5400000">
          <a:off x="2112509" y="4888366"/>
          <a:ext cx="12518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05668" y="4254954"/>
    <xdr:ext cx="307521" cy="691242"/>
    <xdr:cxnSp macro="">
      <xdr:nvCxnSpPr>
        <xdr:cNvPr id="31" name="AutoShape 25">
          <a:extLst>
            <a:ext uri="{FF2B5EF4-FFF2-40B4-BE49-F238E27FC236}">
              <a16:creationId xmlns:a16="http://schemas.microsoft.com/office/drawing/2014/main" xmlns="" id="{0AB538A1-5531-4D95-A6DE-0BDBDCC35D8A}"/>
            </a:ext>
          </a:extLst>
        </xdr:cNvPr>
        <xdr:cNvCxnSpPr>
          <a:cxnSpLocks noChangeShapeType="1"/>
          <a:stCxn id="30" idx="2"/>
          <a:endCxn id="18" idx="2"/>
        </xdr:cNvCxnSpPr>
      </xdr:nvCxnSpPr>
      <xdr:spPr bwMode="auto">
        <a:xfrm rot="10800000">
          <a:off x="1805668" y="4254954"/>
          <a:ext cx="307521" cy="691242"/>
        </a:xfrm>
        <a:prstGeom prst="bentConnector2">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1805668" y="2861582"/>
    <xdr:ext cx="0" cy="1353911"/>
    <xdr:cxnSp macro="">
      <xdr:nvCxnSpPr>
        <xdr:cNvPr id="32" name="AutoShape 25">
          <a:extLst>
            <a:ext uri="{FF2B5EF4-FFF2-40B4-BE49-F238E27FC236}">
              <a16:creationId xmlns:a16="http://schemas.microsoft.com/office/drawing/2014/main" xmlns="" id="{C216CF65-1C8A-47CD-B0E9-A240C36BB3B3}"/>
            </a:ext>
          </a:extLst>
        </xdr:cNvPr>
        <xdr:cNvCxnSpPr>
          <a:cxnSpLocks noChangeShapeType="1"/>
          <a:stCxn id="18" idx="0"/>
          <a:endCxn id="36" idx="2"/>
        </xdr:cNvCxnSpPr>
      </xdr:nvCxnSpPr>
      <xdr:spPr bwMode="auto">
        <a:xfrm rot="5400000" flipH="1" flipV="1">
          <a:off x="1128712" y="3538538"/>
          <a:ext cx="1353911"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4</xdr:col>
      <xdr:colOff>371475</xdr:colOff>
      <xdr:row>10</xdr:row>
      <xdr:rowOff>95250</xdr:rowOff>
    </xdr:from>
    <xdr:to>
      <xdr:col>5</xdr:col>
      <xdr:colOff>180975</xdr:colOff>
      <xdr:row>12</xdr:row>
      <xdr:rowOff>152400</xdr:rowOff>
    </xdr:to>
    <xdr:grpSp>
      <xdr:nvGrpSpPr>
        <xdr:cNvPr id="33" name="Group 10">
          <a:extLst>
            <a:ext uri="{FF2B5EF4-FFF2-40B4-BE49-F238E27FC236}">
              <a16:creationId xmlns:a16="http://schemas.microsoft.com/office/drawing/2014/main" xmlns="" id="{B8AB2BA6-D435-4871-A1E5-507126E10E43}"/>
            </a:ext>
          </a:extLst>
        </xdr:cNvPr>
        <xdr:cNvGrpSpPr>
          <a:grpSpLocks/>
        </xdr:cNvGrpSpPr>
      </xdr:nvGrpSpPr>
      <xdr:grpSpPr bwMode="auto">
        <a:xfrm>
          <a:off x="2820761" y="1728107"/>
          <a:ext cx="421821" cy="383722"/>
          <a:chOff x="985" y="802"/>
          <a:chExt cx="44" cy="40"/>
        </a:xfrm>
      </xdr:grpSpPr>
      <xdr:sp macro="" textlink="">
        <xdr:nvSpPr>
          <xdr:cNvPr id="34" name="Rectangle 11">
            <a:extLst>
              <a:ext uri="{FF2B5EF4-FFF2-40B4-BE49-F238E27FC236}">
                <a16:creationId xmlns:a16="http://schemas.microsoft.com/office/drawing/2014/main" xmlns="" id="{870BAF42-53A9-4792-8E62-FD44ABF3DB9B}"/>
              </a:ext>
            </a:extLst>
          </xdr:cNvPr>
          <xdr:cNvSpPr>
            <a:spLocks noChangeArrowheads="1"/>
          </xdr:cNvSpPr>
        </xdr:nvSpPr>
        <xdr:spPr bwMode="auto">
          <a:xfrm>
            <a:off x="985" y="802"/>
            <a:ext cx="43" cy="4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35" name="Freeform 12">
            <a:extLst>
              <a:ext uri="{FF2B5EF4-FFF2-40B4-BE49-F238E27FC236}">
                <a16:creationId xmlns:a16="http://schemas.microsoft.com/office/drawing/2014/main" xmlns="" id="{20311318-E8D9-4579-9D68-95DEB46049CA}"/>
              </a:ext>
            </a:extLst>
          </xdr:cNvPr>
          <xdr:cNvSpPr>
            <a:spLocks/>
          </xdr:cNvSpPr>
        </xdr:nvSpPr>
        <xdr:spPr bwMode="auto">
          <a:xfrm>
            <a:off x="985" y="809"/>
            <a:ext cx="44" cy="29"/>
          </a:xfrm>
          <a:custGeom>
            <a:avLst/>
            <a:gdLst>
              <a:gd name="T0" fmla="*/ 44 w 44"/>
              <a:gd name="T1" fmla="*/ 13 h 29"/>
              <a:gd name="T2" fmla="*/ 34 w 44"/>
              <a:gd name="T3" fmla="*/ 13 h 29"/>
              <a:gd name="T4" fmla="*/ 30 w 44"/>
              <a:gd name="T5" fmla="*/ 0 h 29"/>
              <a:gd name="T6" fmla="*/ 20 w 44"/>
              <a:gd name="T7" fmla="*/ 29 h 29"/>
              <a:gd name="T8" fmla="*/ 11 w 44"/>
              <a:gd name="T9" fmla="*/ 12 h 29"/>
              <a:gd name="T10" fmla="*/ 0 w 44"/>
              <a:gd name="T11" fmla="*/ 12 h 29"/>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44" h="29">
                <a:moveTo>
                  <a:pt x="44" y="13"/>
                </a:moveTo>
                <a:lnTo>
                  <a:pt x="34" y="13"/>
                </a:lnTo>
                <a:lnTo>
                  <a:pt x="30" y="0"/>
                </a:lnTo>
                <a:lnTo>
                  <a:pt x="20" y="29"/>
                </a:lnTo>
                <a:lnTo>
                  <a:pt x="11" y="12"/>
                </a:lnTo>
                <a:lnTo>
                  <a:pt x="0" y="12"/>
                </a:lnTo>
              </a:path>
            </a:pathLst>
          </a:custGeom>
          <a:noFill/>
          <a:ln w="1905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clientData/>
  </xdr:twoCellAnchor>
  <xdr:absoluteAnchor>
    <xdr:pos x="1786618" y="2823482"/>
    <xdr:ext cx="38100" cy="38100"/>
    <xdr:sp macro="" textlink="">
      <xdr:nvSpPr>
        <xdr:cNvPr id="36" name="Rectangle 37">
          <a:extLst>
            <a:ext uri="{FF2B5EF4-FFF2-40B4-BE49-F238E27FC236}">
              <a16:creationId xmlns:a16="http://schemas.microsoft.com/office/drawing/2014/main" xmlns="" id="{5EF3F764-F3BA-4DD0-BB56-DCB3B685D7EF}"/>
            </a:ext>
          </a:extLst>
        </xdr:cNvPr>
        <xdr:cNvSpPr>
          <a:spLocks noChangeArrowheads="1"/>
        </xdr:cNvSpPr>
      </xdr:nvSpPr>
      <xdr:spPr bwMode="auto">
        <a:xfrm>
          <a:off x="1786618" y="2823482"/>
          <a:ext cx="38100" cy="381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05668" y="1785257"/>
    <xdr:ext cx="507546" cy="1038225"/>
    <xdr:cxnSp macro="">
      <xdr:nvCxnSpPr>
        <xdr:cNvPr id="37" name="AutoShape 25">
          <a:extLst>
            <a:ext uri="{FF2B5EF4-FFF2-40B4-BE49-F238E27FC236}">
              <a16:creationId xmlns:a16="http://schemas.microsoft.com/office/drawing/2014/main" xmlns="" id="{639E8D15-909E-433C-AA9B-C2CEAFC5E621}"/>
            </a:ext>
          </a:extLst>
        </xdr:cNvPr>
        <xdr:cNvCxnSpPr>
          <a:cxnSpLocks noChangeShapeType="1"/>
          <a:stCxn id="36" idx="0"/>
          <a:endCxn id="64" idx="2"/>
        </xdr:cNvCxnSpPr>
      </xdr:nvCxnSpPr>
      <xdr:spPr bwMode="auto">
        <a:xfrm rot="5400000" flipH="1" flipV="1">
          <a:off x="1540328" y="2050597"/>
          <a:ext cx="1038225" cy="507546"/>
        </a:xfrm>
        <a:prstGeom prst="bentConnector2">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6494689" y="2641146"/>
    <xdr:ext cx="133350" cy="123825"/>
    <xdr:sp macro="" textlink="">
      <xdr:nvSpPr>
        <xdr:cNvPr id="38" name="Rectangle 37">
          <a:extLst>
            <a:ext uri="{FF2B5EF4-FFF2-40B4-BE49-F238E27FC236}">
              <a16:creationId xmlns:a16="http://schemas.microsoft.com/office/drawing/2014/main" xmlns="" id="{D1B68E76-8661-42EF-A987-CD75FA89C705}"/>
            </a:ext>
          </a:extLst>
        </xdr:cNvPr>
        <xdr:cNvSpPr>
          <a:spLocks noChangeArrowheads="1"/>
        </xdr:cNvSpPr>
      </xdr:nvSpPr>
      <xdr:spPr bwMode="auto">
        <a:xfrm>
          <a:off x="6494689" y="2641146"/>
          <a:ext cx="133350" cy="1238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825218" y="2707821"/>
    <xdr:ext cx="669471" cy="1047750"/>
    <xdr:cxnSp macro="">
      <xdr:nvCxnSpPr>
        <xdr:cNvPr id="39" name="AutoShape 25">
          <a:extLst>
            <a:ext uri="{FF2B5EF4-FFF2-40B4-BE49-F238E27FC236}">
              <a16:creationId xmlns:a16="http://schemas.microsoft.com/office/drawing/2014/main" xmlns="" id="{E95CD647-0FC7-4DD9-B0B2-B07FF498FA57}"/>
            </a:ext>
          </a:extLst>
        </xdr:cNvPr>
        <xdr:cNvCxnSpPr>
          <a:cxnSpLocks noChangeShapeType="1"/>
          <a:stCxn id="38" idx="1"/>
          <a:endCxn id="42" idx="0"/>
        </xdr:cNvCxnSpPr>
      </xdr:nvCxnSpPr>
      <xdr:spPr bwMode="auto">
        <a:xfrm rot="10800000" flipV="1">
          <a:off x="5825218" y="2707821"/>
          <a:ext cx="669471" cy="1047750"/>
        </a:xfrm>
        <a:prstGeom prst="bentConnector2">
          <a:avLst/>
        </a:prstGeom>
        <a:noFill/>
        <a:ln w="25400">
          <a:solidFill>
            <a:srgbClr val="00B0F0"/>
          </a:solidFill>
          <a:miter lim="800000"/>
          <a:headEnd/>
          <a:tailEnd/>
        </a:ln>
        <a:extLst>
          <a:ext uri="{909E8E84-426E-40DD-AFC4-6F175D3DCCD1}">
            <a14:hiddenFill xmlns:a14="http://schemas.microsoft.com/office/drawing/2010/main">
              <a:noFill/>
            </a14:hiddenFill>
          </a:ext>
        </a:extLst>
      </xdr:spPr>
    </xdr:cxnSp>
    <xdr:clientData/>
  </xdr:absoluteAnchor>
  <xdr:absoluteAnchor>
    <xdr:pos x="5241471" y="4215493"/>
    <xdr:ext cx="38100" cy="48986"/>
    <xdr:sp macro="" textlink="">
      <xdr:nvSpPr>
        <xdr:cNvPr id="40" name="Rectangle 37">
          <a:extLst>
            <a:ext uri="{FF2B5EF4-FFF2-40B4-BE49-F238E27FC236}">
              <a16:creationId xmlns:a16="http://schemas.microsoft.com/office/drawing/2014/main" xmlns="" id="{96D00A6F-3E84-4169-A21E-F3AA65B289CD}"/>
            </a:ext>
          </a:extLst>
        </xdr:cNvPr>
        <xdr:cNvSpPr>
          <a:spLocks noChangeArrowheads="1"/>
        </xdr:cNvSpPr>
      </xdr:nvSpPr>
      <xdr:spPr bwMode="auto">
        <a:xfrm>
          <a:off x="5241471" y="4215493"/>
          <a:ext cx="38100" cy="489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514850" y="4234543"/>
    <xdr:ext cx="726621" cy="0"/>
    <xdr:cxnSp macro="">
      <xdr:nvCxnSpPr>
        <xdr:cNvPr id="41" name="AutoShape 25">
          <a:extLst>
            <a:ext uri="{FF2B5EF4-FFF2-40B4-BE49-F238E27FC236}">
              <a16:creationId xmlns:a16="http://schemas.microsoft.com/office/drawing/2014/main" xmlns="" id="{4F21879F-5DA9-45CC-8A62-45B660C8A42B}"/>
            </a:ext>
          </a:extLst>
        </xdr:cNvPr>
        <xdr:cNvCxnSpPr>
          <a:cxnSpLocks noChangeShapeType="1"/>
          <a:stCxn id="40" idx="1"/>
          <a:endCxn id="3" idx="3"/>
        </xdr:cNvCxnSpPr>
      </xdr:nvCxnSpPr>
      <xdr:spPr bwMode="auto">
        <a:xfrm rot="10800000">
          <a:off x="4514850" y="4234543"/>
          <a:ext cx="72662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5758543" y="3755571"/>
    <xdr:ext cx="123825" cy="123825"/>
    <xdr:sp macro="" textlink="">
      <xdr:nvSpPr>
        <xdr:cNvPr id="42" name="AutoShape 9">
          <a:extLst>
            <a:ext uri="{FF2B5EF4-FFF2-40B4-BE49-F238E27FC236}">
              <a16:creationId xmlns:a16="http://schemas.microsoft.com/office/drawing/2014/main" xmlns="" id="{31106EB8-09A0-40B9-91F7-32223DF65607}"/>
            </a:ext>
          </a:extLst>
        </xdr:cNvPr>
        <xdr:cNvSpPr>
          <a:spLocks noChangeArrowheads="1"/>
        </xdr:cNvSpPr>
      </xdr:nvSpPr>
      <xdr:spPr bwMode="auto">
        <a:xfrm>
          <a:off x="5758543" y="3755571"/>
          <a:ext cx="12382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260521" y="3879396"/>
    <xdr:ext cx="564697" cy="336097"/>
    <xdr:cxnSp macro="">
      <xdr:nvCxnSpPr>
        <xdr:cNvPr id="43" name="AutoShape 25">
          <a:extLst>
            <a:ext uri="{FF2B5EF4-FFF2-40B4-BE49-F238E27FC236}">
              <a16:creationId xmlns:a16="http://schemas.microsoft.com/office/drawing/2014/main" xmlns="" id="{77C1FA2A-C1C8-447B-8626-9CBA15C05DAC}"/>
            </a:ext>
          </a:extLst>
        </xdr:cNvPr>
        <xdr:cNvCxnSpPr>
          <a:cxnSpLocks noChangeShapeType="1"/>
          <a:stCxn id="42" idx="2"/>
          <a:endCxn id="40" idx="0"/>
        </xdr:cNvCxnSpPr>
      </xdr:nvCxnSpPr>
      <xdr:spPr bwMode="auto">
        <a:xfrm rot="5400000">
          <a:off x="5374821" y="3765096"/>
          <a:ext cx="336097" cy="564697"/>
        </a:xfrm>
        <a:prstGeom prst="bentConnector3">
          <a:avLst>
            <a:gd name="adj1" fmla="val 50000"/>
          </a:avLst>
        </a:prstGeom>
        <a:noFill/>
        <a:ln w="25400">
          <a:solidFill>
            <a:srgbClr val="00B0F0"/>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9058275" y="3744686"/>
    <xdr:ext cx="126546" cy="125185"/>
    <xdr:sp macro="" textlink="">
      <xdr:nvSpPr>
        <xdr:cNvPr id="44" name="AutoShape 9">
          <a:extLst>
            <a:ext uri="{FF2B5EF4-FFF2-40B4-BE49-F238E27FC236}">
              <a16:creationId xmlns:a16="http://schemas.microsoft.com/office/drawing/2014/main" xmlns="" id="{3DC98923-CCF5-469A-885A-2BF49330BD41}"/>
            </a:ext>
          </a:extLst>
        </xdr:cNvPr>
        <xdr:cNvSpPr>
          <a:spLocks noChangeArrowheads="1"/>
        </xdr:cNvSpPr>
      </xdr:nvSpPr>
      <xdr:spPr bwMode="auto">
        <a:xfrm>
          <a:off x="9058275" y="3744686"/>
          <a:ext cx="126546" cy="12518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9124950" y="2726871"/>
    <xdr:ext cx="929368" cy="1017815"/>
    <xdr:cxnSp macro="">
      <xdr:nvCxnSpPr>
        <xdr:cNvPr id="45" name="AutoShape 25">
          <a:extLst>
            <a:ext uri="{FF2B5EF4-FFF2-40B4-BE49-F238E27FC236}">
              <a16:creationId xmlns:a16="http://schemas.microsoft.com/office/drawing/2014/main" xmlns="" id="{68C8F45E-FCCF-4626-9877-529EAA5A7BE3}"/>
            </a:ext>
          </a:extLst>
        </xdr:cNvPr>
        <xdr:cNvCxnSpPr>
          <a:cxnSpLocks noChangeShapeType="1"/>
          <a:stCxn id="4" idx="1"/>
          <a:endCxn id="44" idx="0"/>
        </xdr:cNvCxnSpPr>
      </xdr:nvCxnSpPr>
      <xdr:spPr bwMode="auto">
        <a:xfrm rot="10800000" flipV="1">
          <a:off x="9124950" y="2726871"/>
          <a:ext cx="929368" cy="1017815"/>
        </a:xfrm>
        <a:prstGeom prst="bentConnector2">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4</xdr:col>
      <xdr:colOff>361950</xdr:colOff>
      <xdr:row>16</xdr:row>
      <xdr:rowOff>38100</xdr:rowOff>
    </xdr:from>
    <xdr:to>
      <xdr:col>5</xdr:col>
      <xdr:colOff>171450</xdr:colOff>
      <xdr:row>18</xdr:row>
      <xdr:rowOff>95250</xdr:rowOff>
    </xdr:to>
    <xdr:grpSp>
      <xdr:nvGrpSpPr>
        <xdr:cNvPr id="46" name="Group 10">
          <a:extLst>
            <a:ext uri="{FF2B5EF4-FFF2-40B4-BE49-F238E27FC236}">
              <a16:creationId xmlns:a16="http://schemas.microsoft.com/office/drawing/2014/main" xmlns="" id="{EBE1358A-AC44-4B7F-88BF-A4FE7DAB4517}"/>
            </a:ext>
          </a:extLst>
        </xdr:cNvPr>
        <xdr:cNvGrpSpPr>
          <a:grpSpLocks/>
        </xdr:cNvGrpSpPr>
      </xdr:nvGrpSpPr>
      <xdr:grpSpPr bwMode="auto">
        <a:xfrm>
          <a:off x="2811236" y="2650671"/>
          <a:ext cx="421821" cy="383722"/>
          <a:chOff x="985" y="802"/>
          <a:chExt cx="44" cy="40"/>
        </a:xfrm>
      </xdr:grpSpPr>
      <xdr:sp macro="" textlink="">
        <xdr:nvSpPr>
          <xdr:cNvPr id="47" name="Rectangle 11">
            <a:extLst>
              <a:ext uri="{FF2B5EF4-FFF2-40B4-BE49-F238E27FC236}">
                <a16:creationId xmlns:a16="http://schemas.microsoft.com/office/drawing/2014/main" xmlns="" id="{D4374B16-B228-4245-80E4-728C88A2C97A}"/>
              </a:ext>
            </a:extLst>
          </xdr:cNvPr>
          <xdr:cNvSpPr>
            <a:spLocks noChangeArrowheads="1"/>
          </xdr:cNvSpPr>
        </xdr:nvSpPr>
        <xdr:spPr bwMode="auto">
          <a:xfrm>
            <a:off x="985" y="802"/>
            <a:ext cx="43" cy="4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48" name="Freeform 12">
            <a:extLst>
              <a:ext uri="{FF2B5EF4-FFF2-40B4-BE49-F238E27FC236}">
                <a16:creationId xmlns:a16="http://schemas.microsoft.com/office/drawing/2014/main" xmlns="" id="{E1D1D12F-83FD-4437-98B8-47274B9CFB2E}"/>
              </a:ext>
            </a:extLst>
          </xdr:cNvPr>
          <xdr:cNvSpPr>
            <a:spLocks/>
          </xdr:cNvSpPr>
        </xdr:nvSpPr>
        <xdr:spPr bwMode="auto">
          <a:xfrm>
            <a:off x="985" y="809"/>
            <a:ext cx="44" cy="29"/>
          </a:xfrm>
          <a:custGeom>
            <a:avLst/>
            <a:gdLst>
              <a:gd name="T0" fmla="*/ 44 w 44"/>
              <a:gd name="T1" fmla="*/ 13 h 29"/>
              <a:gd name="T2" fmla="*/ 34 w 44"/>
              <a:gd name="T3" fmla="*/ 13 h 29"/>
              <a:gd name="T4" fmla="*/ 30 w 44"/>
              <a:gd name="T5" fmla="*/ 0 h 29"/>
              <a:gd name="T6" fmla="*/ 20 w 44"/>
              <a:gd name="T7" fmla="*/ 29 h 29"/>
              <a:gd name="T8" fmla="*/ 11 w 44"/>
              <a:gd name="T9" fmla="*/ 12 h 29"/>
              <a:gd name="T10" fmla="*/ 0 w 44"/>
              <a:gd name="T11" fmla="*/ 12 h 29"/>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44" h="29">
                <a:moveTo>
                  <a:pt x="44" y="13"/>
                </a:moveTo>
                <a:lnTo>
                  <a:pt x="34" y="13"/>
                </a:lnTo>
                <a:lnTo>
                  <a:pt x="30" y="0"/>
                </a:lnTo>
                <a:lnTo>
                  <a:pt x="20" y="29"/>
                </a:lnTo>
                <a:lnTo>
                  <a:pt x="11" y="12"/>
                </a:lnTo>
                <a:lnTo>
                  <a:pt x="0" y="12"/>
                </a:lnTo>
              </a:path>
            </a:pathLst>
          </a:custGeom>
          <a:noFill/>
          <a:ln w="1905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clientData/>
  </xdr:twoCellAnchor>
  <xdr:absoluteAnchor>
    <xdr:pos x="2341789" y="2842532"/>
    <xdr:ext cx="469447" cy="0"/>
    <xdr:cxnSp macro="">
      <xdr:nvCxnSpPr>
        <xdr:cNvPr id="49" name="AutoShape 25">
          <a:extLst>
            <a:ext uri="{FF2B5EF4-FFF2-40B4-BE49-F238E27FC236}">
              <a16:creationId xmlns:a16="http://schemas.microsoft.com/office/drawing/2014/main" xmlns="" id="{C189D432-94DB-42A2-AE9C-D9B3DF0C06EC}"/>
            </a:ext>
          </a:extLst>
        </xdr:cNvPr>
        <xdr:cNvCxnSpPr>
          <a:cxnSpLocks noChangeShapeType="1"/>
          <a:stCxn id="65" idx="0"/>
          <a:endCxn id="47" idx="1"/>
        </xdr:cNvCxnSpPr>
      </xdr:nvCxnSpPr>
      <xdr:spPr bwMode="auto">
        <a:xfrm>
          <a:off x="2341789" y="2842532"/>
          <a:ext cx="469447"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5799780" y="3619238"/>
    <xdr:ext cx="564696" cy="364671"/>
    <xdr:sp macro="" textlink="">
      <xdr:nvSpPr>
        <xdr:cNvPr id="50" name="Text Box 29">
          <a:extLst>
            <a:ext uri="{FF2B5EF4-FFF2-40B4-BE49-F238E27FC236}">
              <a16:creationId xmlns:a16="http://schemas.microsoft.com/office/drawing/2014/main" xmlns="" id="{1CC2A917-CA98-49E1-ACDF-FD71969B131A}"/>
            </a:ext>
          </a:extLst>
        </xdr:cNvPr>
        <xdr:cNvSpPr txBox="1">
          <a:spLocks noChangeArrowheads="1"/>
        </xdr:cNvSpPr>
      </xdr:nvSpPr>
      <xdr:spPr bwMode="auto">
        <a:xfrm>
          <a:off x="5799780" y="3619238"/>
          <a:ext cx="564696"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V8757A </a:t>
          </a:r>
        </a:p>
        <a:p>
          <a:pPr algn="ctr" rtl="0">
            <a:defRPr sz="1000"/>
          </a:pPr>
          <a:r>
            <a:rPr lang="sv-SE" sz="800" b="0" i="0" u="none" strike="noStrike" baseline="0">
              <a:solidFill>
                <a:srgbClr val="000000"/>
              </a:solidFill>
              <a:latin typeface="Arial"/>
              <a:cs typeface="Arial"/>
            </a:rPr>
            <a:t>(153)</a:t>
          </a:r>
        </a:p>
      </xdr:txBody>
    </xdr:sp>
    <xdr:clientData/>
  </xdr:absoluteAnchor>
  <xdr:absoluteAnchor>
    <xdr:pos x="9107632" y="3602991"/>
    <xdr:ext cx="567944" cy="365211"/>
    <xdr:sp macro="" textlink="">
      <xdr:nvSpPr>
        <xdr:cNvPr id="51" name="Text Box 29">
          <a:extLst>
            <a:ext uri="{FF2B5EF4-FFF2-40B4-BE49-F238E27FC236}">
              <a16:creationId xmlns:a16="http://schemas.microsoft.com/office/drawing/2014/main" xmlns="" id="{5E70B932-8E9D-48FD-8CC6-4869AC9D759D}"/>
            </a:ext>
          </a:extLst>
        </xdr:cNvPr>
        <xdr:cNvSpPr txBox="1">
          <a:spLocks noChangeArrowheads="1"/>
        </xdr:cNvSpPr>
      </xdr:nvSpPr>
      <xdr:spPr bwMode="auto">
        <a:xfrm>
          <a:off x="9107632" y="3602991"/>
          <a:ext cx="567944" cy="36521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V8757B </a:t>
          </a:r>
        </a:p>
        <a:p>
          <a:pPr algn="ctr" rtl="0">
            <a:defRPr sz="1000"/>
          </a:pPr>
          <a:r>
            <a:rPr lang="sv-SE" sz="800" b="0" i="0" u="none" strike="noStrike" baseline="0">
              <a:solidFill>
                <a:srgbClr val="000000"/>
              </a:solidFill>
              <a:latin typeface="Arial"/>
              <a:cs typeface="Arial"/>
            </a:rPr>
            <a:t>(103)</a:t>
          </a:r>
        </a:p>
      </xdr:txBody>
    </xdr:sp>
    <xdr:clientData/>
  </xdr:absoluteAnchor>
  <xdr:absoluteAnchor>
    <xdr:pos x="3750126" y="3814438"/>
    <xdr:ext cx="564698" cy="364672"/>
    <xdr:sp macro="" textlink="">
      <xdr:nvSpPr>
        <xdr:cNvPr id="52" name="Text Box 29">
          <a:extLst>
            <a:ext uri="{FF2B5EF4-FFF2-40B4-BE49-F238E27FC236}">
              <a16:creationId xmlns:a16="http://schemas.microsoft.com/office/drawing/2014/main" xmlns="" id="{C30DBE7A-15CA-4DBD-9B6F-6D4407D94048}"/>
            </a:ext>
          </a:extLst>
        </xdr:cNvPr>
        <xdr:cNvSpPr txBox="1">
          <a:spLocks noChangeArrowheads="1"/>
        </xdr:cNvSpPr>
      </xdr:nvSpPr>
      <xdr:spPr bwMode="auto">
        <a:xfrm>
          <a:off x="3750126" y="3814438"/>
          <a:ext cx="564698"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V8756A </a:t>
          </a:r>
        </a:p>
        <a:p>
          <a:pPr algn="ctr" rtl="0">
            <a:defRPr sz="1000"/>
          </a:pPr>
          <a:r>
            <a:rPr lang="sv-SE" sz="800" b="0" i="0" u="none" strike="noStrike" baseline="0">
              <a:solidFill>
                <a:srgbClr val="000000"/>
              </a:solidFill>
              <a:latin typeface="Arial"/>
              <a:cs typeface="Arial"/>
            </a:rPr>
            <a:t>(107)</a:t>
          </a:r>
        </a:p>
      </xdr:txBody>
    </xdr:sp>
    <xdr:clientData/>
  </xdr:absoluteAnchor>
  <xdr:absoluteAnchor>
    <xdr:pos x="3046111" y="3724756"/>
    <xdr:ext cx="564696" cy="367763"/>
    <xdr:sp macro="" textlink="">
      <xdr:nvSpPr>
        <xdr:cNvPr id="53" name="Text Box 29">
          <a:extLst>
            <a:ext uri="{FF2B5EF4-FFF2-40B4-BE49-F238E27FC236}">
              <a16:creationId xmlns:a16="http://schemas.microsoft.com/office/drawing/2014/main" xmlns="" id="{96DCD514-6838-4D65-81F2-CB74CCE64247}"/>
            </a:ext>
          </a:extLst>
        </xdr:cNvPr>
        <xdr:cNvSpPr txBox="1">
          <a:spLocks noChangeArrowheads="1"/>
        </xdr:cNvSpPr>
      </xdr:nvSpPr>
      <xdr:spPr bwMode="auto">
        <a:xfrm>
          <a:off x="3046111" y="3724756"/>
          <a:ext cx="564696" cy="36776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SFAPSF-1 </a:t>
          </a:r>
        </a:p>
        <a:p>
          <a:pPr algn="ctr" rtl="0">
            <a:defRPr sz="1000"/>
          </a:pPr>
          <a:r>
            <a:rPr lang="sv-SE" sz="800" b="0" i="0" u="none" strike="noStrike" baseline="0">
              <a:solidFill>
                <a:srgbClr val="000000"/>
              </a:solidFill>
              <a:latin typeface="Arial"/>
              <a:cs typeface="Arial"/>
            </a:rPr>
            <a:t>(109)</a:t>
          </a:r>
        </a:p>
      </xdr:txBody>
    </xdr:sp>
    <xdr:clientData/>
  </xdr:absoluteAnchor>
  <xdr:twoCellAnchor>
    <xdr:from>
      <xdr:col>10</xdr:col>
      <xdr:colOff>303608</xdr:colOff>
      <xdr:row>15</xdr:row>
      <xdr:rowOff>125014</xdr:rowOff>
    </xdr:from>
    <xdr:to>
      <xdr:col>13</xdr:col>
      <xdr:colOff>291703</xdr:colOff>
      <xdr:row>24</xdr:row>
      <xdr:rowOff>35718</xdr:rowOff>
    </xdr:to>
    <xdr:sp macro="" textlink="">
      <xdr:nvSpPr>
        <xdr:cNvPr id="54" name="Rectangle 72">
          <a:extLst>
            <a:ext uri="{FF2B5EF4-FFF2-40B4-BE49-F238E27FC236}">
              <a16:creationId xmlns:a16="http://schemas.microsoft.com/office/drawing/2014/main" xmlns="" id="{C8060C8A-A294-4020-B385-3FBEA74049D5}"/>
            </a:ext>
          </a:extLst>
        </xdr:cNvPr>
        <xdr:cNvSpPr/>
      </xdr:nvSpPr>
      <xdr:spPr>
        <a:xfrm>
          <a:off x="6399608" y="2553889"/>
          <a:ext cx="1816895" cy="1368029"/>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800">
              <a:solidFill>
                <a:sysClr val="windowText" lastClr="000000"/>
              </a:solidFill>
            </a:rPr>
            <a:t>Bränslebassäng 1</a:t>
          </a:r>
        </a:p>
      </xdr:txBody>
    </xdr:sp>
    <xdr:clientData/>
  </xdr:twoCellAnchor>
  <xdr:twoCellAnchor>
    <xdr:from>
      <xdr:col>16</xdr:col>
      <xdr:colOff>130968</xdr:colOff>
      <xdr:row>15</xdr:row>
      <xdr:rowOff>113108</xdr:rowOff>
    </xdr:from>
    <xdr:to>
      <xdr:col>19</xdr:col>
      <xdr:colOff>398860</xdr:colOff>
      <xdr:row>24</xdr:row>
      <xdr:rowOff>77391</xdr:rowOff>
    </xdr:to>
    <xdr:sp macro="" textlink="">
      <xdr:nvSpPr>
        <xdr:cNvPr id="55" name="Rectangle 182">
          <a:extLst>
            <a:ext uri="{FF2B5EF4-FFF2-40B4-BE49-F238E27FC236}">
              <a16:creationId xmlns:a16="http://schemas.microsoft.com/office/drawing/2014/main" xmlns="" id="{69ACB8EC-79DB-415A-AC76-AD489EAD0DCC}"/>
            </a:ext>
          </a:extLst>
        </xdr:cNvPr>
        <xdr:cNvSpPr/>
      </xdr:nvSpPr>
      <xdr:spPr>
        <a:xfrm>
          <a:off x="9884568" y="2541983"/>
          <a:ext cx="2096692" cy="1421608"/>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800">
              <a:solidFill>
                <a:sysClr val="windowText" lastClr="000000"/>
              </a:solidFill>
            </a:rPr>
            <a:t>Bränslebassäng 2</a:t>
          </a:r>
        </a:p>
      </xdr:txBody>
    </xdr:sp>
    <xdr:clientData/>
  </xdr:twoCellAnchor>
  <xdr:absoluteAnchor>
    <xdr:pos x="2968721" y="5128842"/>
    <xdr:ext cx="564696" cy="365213"/>
    <xdr:sp macro="" textlink="">
      <xdr:nvSpPr>
        <xdr:cNvPr id="56" name="Text Box 29">
          <a:extLst>
            <a:ext uri="{FF2B5EF4-FFF2-40B4-BE49-F238E27FC236}">
              <a16:creationId xmlns:a16="http://schemas.microsoft.com/office/drawing/2014/main" xmlns="" id="{579678BF-BFA1-40CC-BE20-48D734B3121D}"/>
            </a:ext>
          </a:extLst>
        </xdr:cNvPr>
        <xdr:cNvSpPr txBox="1">
          <a:spLocks noChangeArrowheads="1"/>
        </xdr:cNvSpPr>
      </xdr:nvSpPr>
      <xdr:spPr bwMode="auto">
        <a:xfrm>
          <a:off x="2968721" y="5128842"/>
          <a:ext cx="564696" cy="3652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SFAPSF-2 </a:t>
          </a:r>
        </a:p>
        <a:p>
          <a:pPr algn="ctr" rtl="0">
            <a:defRPr sz="1000"/>
          </a:pPr>
          <a:r>
            <a:rPr lang="sv-SE" sz="800" b="0" i="0" u="none" strike="noStrike" baseline="0">
              <a:solidFill>
                <a:srgbClr val="000000"/>
              </a:solidFill>
              <a:latin typeface="Arial"/>
              <a:cs typeface="Arial"/>
            </a:rPr>
            <a:t>(209)</a:t>
          </a:r>
        </a:p>
      </xdr:txBody>
    </xdr:sp>
    <xdr:clientData/>
  </xdr:absoluteAnchor>
  <xdr:absoluteAnchor>
    <xdr:pos x="2460002" y="3832298"/>
    <xdr:ext cx="559595" cy="364672"/>
    <xdr:sp macro="" textlink="">
      <xdr:nvSpPr>
        <xdr:cNvPr id="57" name="Text Box 29">
          <a:extLst>
            <a:ext uri="{FF2B5EF4-FFF2-40B4-BE49-F238E27FC236}">
              <a16:creationId xmlns:a16="http://schemas.microsoft.com/office/drawing/2014/main" xmlns="" id="{D59AEBEA-3C69-4415-ACB3-47D7DE259B00}"/>
            </a:ext>
          </a:extLst>
        </xdr:cNvPr>
        <xdr:cNvSpPr txBox="1">
          <a:spLocks noChangeArrowheads="1"/>
        </xdr:cNvSpPr>
      </xdr:nvSpPr>
      <xdr:spPr bwMode="auto">
        <a:xfrm>
          <a:off x="2460002" y="3832298"/>
          <a:ext cx="559595"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V8755A </a:t>
          </a:r>
        </a:p>
        <a:p>
          <a:pPr algn="ctr" rtl="0">
            <a:defRPr sz="1000"/>
          </a:pPr>
          <a:r>
            <a:rPr lang="sv-SE" sz="800" b="0" i="0" u="none" strike="noStrike" baseline="0">
              <a:solidFill>
                <a:srgbClr val="000000"/>
              </a:solidFill>
              <a:latin typeface="Arial"/>
              <a:cs typeface="Arial"/>
            </a:rPr>
            <a:t>(111)</a:t>
          </a:r>
        </a:p>
      </xdr:txBody>
    </xdr:sp>
    <xdr:clientData/>
  </xdr:absoluteAnchor>
  <xdr:absoluteAnchor>
    <xdr:pos x="1913164" y="3820392"/>
    <xdr:ext cx="564698" cy="364672"/>
    <xdr:sp macro="" textlink="">
      <xdr:nvSpPr>
        <xdr:cNvPr id="58" name="Text Box 29">
          <a:extLst>
            <a:ext uri="{FF2B5EF4-FFF2-40B4-BE49-F238E27FC236}">
              <a16:creationId xmlns:a16="http://schemas.microsoft.com/office/drawing/2014/main" xmlns="" id="{51C98BF5-D7C5-463B-B05C-E80243B74882}"/>
            </a:ext>
          </a:extLst>
        </xdr:cNvPr>
        <xdr:cNvSpPr txBox="1">
          <a:spLocks noChangeArrowheads="1"/>
        </xdr:cNvSpPr>
      </xdr:nvSpPr>
      <xdr:spPr bwMode="auto">
        <a:xfrm>
          <a:off x="1913164" y="3820392"/>
          <a:ext cx="564698"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V8754A </a:t>
          </a:r>
        </a:p>
        <a:p>
          <a:pPr algn="ctr" rtl="0">
            <a:defRPr sz="1000"/>
          </a:pPr>
          <a:r>
            <a:rPr lang="sv-SE" sz="800" b="0" i="0" u="none" strike="noStrike" baseline="0">
              <a:solidFill>
                <a:srgbClr val="000000"/>
              </a:solidFill>
              <a:latin typeface="Arial"/>
              <a:cs typeface="Arial"/>
            </a:rPr>
            <a:t>(113)</a:t>
          </a:r>
        </a:p>
      </xdr:txBody>
    </xdr:sp>
    <xdr:clientData/>
  </xdr:absoluteAnchor>
  <xdr:absoluteAnchor>
    <xdr:pos x="1889352" y="5011018"/>
    <xdr:ext cx="564698" cy="364671"/>
    <xdr:sp macro="" textlink="">
      <xdr:nvSpPr>
        <xdr:cNvPr id="59" name="Text Box 29">
          <a:extLst>
            <a:ext uri="{FF2B5EF4-FFF2-40B4-BE49-F238E27FC236}">
              <a16:creationId xmlns:a16="http://schemas.microsoft.com/office/drawing/2014/main" xmlns="" id="{1222EFEA-F614-4757-BA6C-FB591D11EC2B}"/>
            </a:ext>
          </a:extLst>
        </xdr:cNvPr>
        <xdr:cNvSpPr txBox="1">
          <a:spLocks noChangeArrowheads="1"/>
        </xdr:cNvSpPr>
      </xdr:nvSpPr>
      <xdr:spPr bwMode="auto">
        <a:xfrm>
          <a:off x="1889352" y="5011018"/>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V8754B </a:t>
          </a:r>
        </a:p>
        <a:p>
          <a:pPr algn="ctr" rtl="0">
            <a:defRPr sz="1000"/>
          </a:pPr>
          <a:r>
            <a:rPr lang="sv-SE" sz="800" b="0" i="0" u="none" strike="noStrike" baseline="0">
              <a:solidFill>
                <a:srgbClr val="000000"/>
              </a:solidFill>
              <a:latin typeface="Arial"/>
              <a:cs typeface="Arial"/>
            </a:rPr>
            <a:t>(213)</a:t>
          </a:r>
        </a:p>
      </xdr:txBody>
    </xdr:sp>
    <xdr:clientData/>
  </xdr:absoluteAnchor>
  <xdr:absoluteAnchor>
    <xdr:pos x="2401320" y="5022924"/>
    <xdr:ext cx="564698" cy="367223"/>
    <xdr:sp macro="" textlink="">
      <xdr:nvSpPr>
        <xdr:cNvPr id="60" name="Text Box 29">
          <a:extLst>
            <a:ext uri="{FF2B5EF4-FFF2-40B4-BE49-F238E27FC236}">
              <a16:creationId xmlns:a16="http://schemas.microsoft.com/office/drawing/2014/main" xmlns="" id="{AF045026-C477-4DDF-BAD8-C7814EEE30F7}"/>
            </a:ext>
          </a:extLst>
        </xdr:cNvPr>
        <xdr:cNvSpPr txBox="1">
          <a:spLocks noChangeArrowheads="1"/>
        </xdr:cNvSpPr>
      </xdr:nvSpPr>
      <xdr:spPr bwMode="auto">
        <a:xfrm>
          <a:off x="2401320" y="5022924"/>
          <a:ext cx="564698" cy="36722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V8755B </a:t>
          </a:r>
        </a:p>
        <a:p>
          <a:pPr algn="ctr" rtl="0">
            <a:defRPr sz="1000"/>
          </a:pPr>
          <a:r>
            <a:rPr lang="sv-SE" sz="800" b="0" i="0" u="none" strike="noStrike" baseline="0">
              <a:solidFill>
                <a:srgbClr val="000000"/>
              </a:solidFill>
              <a:latin typeface="Arial"/>
              <a:cs typeface="Arial"/>
            </a:rPr>
            <a:t>(211)</a:t>
          </a:r>
        </a:p>
      </xdr:txBody>
    </xdr:sp>
    <xdr:clientData/>
  </xdr:absoluteAnchor>
  <xdr:absoluteAnchor>
    <xdr:pos x="3678688" y="5034829"/>
    <xdr:ext cx="559595" cy="367223"/>
    <xdr:sp macro="" textlink="">
      <xdr:nvSpPr>
        <xdr:cNvPr id="61" name="Text Box 29">
          <a:extLst>
            <a:ext uri="{FF2B5EF4-FFF2-40B4-BE49-F238E27FC236}">
              <a16:creationId xmlns:a16="http://schemas.microsoft.com/office/drawing/2014/main" xmlns="" id="{9FFE878B-37A0-4153-9AD5-79B397430BB6}"/>
            </a:ext>
          </a:extLst>
        </xdr:cNvPr>
        <xdr:cNvSpPr txBox="1">
          <a:spLocks noChangeArrowheads="1"/>
        </xdr:cNvSpPr>
      </xdr:nvSpPr>
      <xdr:spPr bwMode="auto">
        <a:xfrm>
          <a:off x="3678688" y="5034829"/>
          <a:ext cx="559595" cy="36722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V8756B </a:t>
          </a:r>
        </a:p>
        <a:p>
          <a:pPr algn="ctr" rtl="0">
            <a:defRPr sz="1000"/>
          </a:pPr>
          <a:r>
            <a:rPr lang="sv-SE" sz="800" b="0" i="0" u="none" strike="noStrike" baseline="0">
              <a:solidFill>
                <a:srgbClr val="000000"/>
              </a:solidFill>
              <a:latin typeface="Arial"/>
              <a:cs typeface="Arial"/>
            </a:rPr>
            <a:t>(207)</a:t>
          </a:r>
        </a:p>
      </xdr:txBody>
    </xdr:sp>
    <xdr:clientData/>
  </xdr:absoluteAnchor>
  <xdr:absoluteAnchor>
    <xdr:pos x="2793377" y="1311575"/>
    <xdr:ext cx="564697" cy="364670"/>
    <xdr:sp macro="" textlink="">
      <xdr:nvSpPr>
        <xdr:cNvPr id="62" name="Text Box 29">
          <a:extLst>
            <a:ext uri="{FF2B5EF4-FFF2-40B4-BE49-F238E27FC236}">
              <a16:creationId xmlns:a16="http://schemas.microsoft.com/office/drawing/2014/main" xmlns="" id="{5FBD2A21-06AC-41F1-A92D-0A9DF0960519}"/>
            </a:ext>
          </a:extLst>
        </xdr:cNvPr>
        <xdr:cNvSpPr txBox="1">
          <a:spLocks noChangeArrowheads="1"/>
        </xdr:cNvSpPr>
      </xdr:nvSpPr>
      <xdr:spPr bwMode="auto">
        <a:xfrm>
          <a:off x="2793377" y="1311575"/>
          <a:ext cx="564697"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SFAHSF-1</a:t>
          </a:r>
        </a:p>
        <a:p>
          <a:pPr algn="ctr" rtl="0">
            <a:defRPr sz="1000"/>
          </a:pPr>
          <a:r>
            <a:rPr lang="sv-SE" sz="800" b="0" i="0" u="none" strike="noStrike" baseline="0">
              <a:solidFill>
                <a:srgbClr val="000000"/>
              </a:solidFill>
              <a:latin typeface="Arial"/>
              <a:cs typeface="Arial"/>
            </a:rPr>
            <a:t>(220)</a:t>
          </a:r>
        </a:p>
      </xdr:txBody>
    </xdr:sp>
    <xdr:clientData/>
  </xdr:absoluteAnchor>
  <xdr:absoluteAnchor>
    <xdr:pos x="2727892" y="2291289"/>
    <xdr:ext cx="564697" cy="364670"/>
    <xdr:sp macro="" textlink="">
      <xdr:nvSpPr>
        <xdr:cNvPr id="63" name="Text Box 29">
          <a:extLst>
            <a:ext uri="{FF2B5EF4-FFF2-40B4-BE49-F238E27FC236}">
              <a16:creationId xmlns:a16="http://schemas.microsoft.com/office/drawing/2014/main" xmlns="" id="{C4A48943-3D3F-4580-8DC6-951E7C27F363}"/>
            </a:ext>
          </a:extLst>
        </xdr:cNvPr>
        <xdr:cNvSpPr txBox="1">
          <a:spLocks noChangeArrowheads="1"/>
        </xdr:cNvSpPr>
      </xdr:nvSpPr>
      <xdr:spPr bwMode="auto">
        <a:xfrm>
          <a:off x="2727892" y="2291289"/>
          <a:ext cx="564697"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SFAHSF-2</a:t>
          </a:r>
        </a:p>
        <a:p>
          <a:pPr algn="ctr" rtl="0">
            <a:defRPr sz="1000"/>
          </a:pPr>
          <a:r>
            <a:rPr lang="sv-SE" sz="800" b="0" i="0" u="none" strike="noStrike" baseline="0">
              <a:solidFill>
                <a:srgbClr val="000000"/>
              </a:solidFill>
              <a:latin typeface="Arial"/>
              <a:cs typeface="Arial"/>
            </a:rPr>
            <a:t>(266)</a:t>
          </a:r>
        </a:p>
      </xdr:txBody>
    </xdr:sp>
    <xdr:clientData/>
  </xdr:absoluteAnchor>
  <xdr:absoluteAnchor>
    <xdr:pos x="2313214" y="1728107"/>
    <xdr:ext cx="123825" cy="125186"/>
    <xdr:sp macro="" textlink="">
      <xdr:nvSpPr>
        <xdr:cNvPr id="64" name="AutoShape 9">
          <a:extLst>
            <a:ext uri="{FF2B5EF4-FFF2-40B4-BE49-F238E27FC236}">
              <a16:creationId xmlns:a16="http://schemas.microsoft.com/office/drawing/2014/main" xmlns="" id="{3537F3AB-A933-4A9B-9BB0-38394910B27D}"/>
            </a:ext>
          </a:extLst>
        </xdr:cNvPr>
        <xdr:cNvSpPr>
          <a:spLocks noChangeArrowheads="1"/>
        </xdr:cNvSpPr>
      </xdr:nvSpPr>
      <xdr:spPr bwMode="auto">
        <a:xfrm rot="5400000">
          <a:off x="2312534" y="1728787"/>
          <a:ext cx="125186"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2217964" y="2775857"/>
    <xdr:ext cx="123825" cy="123825"/>
    <xdr:sp macro="" textlink="">
      <xdr:nvSpPr>
        <xdr:cNvPr id="65" name="AutoShape 9">
          <a:extLst>
            <a:ext uri="{FF2B5EF4-FFF2-40B4-BE49-F238E27FC236}">
              <a16:creationId xmlns:a16="http://schemas.microsoft.com/office/drawing/2014/main" xmlns="" id="{CCE667F2-A8E9-4A8F-B117-9CD0D9357B84}"/>
            </a:ext>
          </a:extLst>
        </xdr:cNvPr>
        <xdr:cNvSpPr>
          <a:spLocks noChangeArrowheads="1"/>
        </xdr:cNvSpPr>
      </xdr:nvSpPr>
      <xdr:spPr bwMode="auto">
        <a:xfrm rot="5400000">
          <a:off x="2217964" y="2775857"/>
          <a:ext cx="12382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24718" y="2842532"/>
    <xdr:ext cx="393246" cy="0"/>
    <xdr:cxnSp macro="">
      <xdr:nvCxnSpPr>
        <xdr:cNvPr id="66" name="AutoShape 25">
          <a:extLst>
            <a:ext uri="{FF2B5EF4-FFF2-40B4-BE49-F238E27FC236}">
              <a16:creationId xmlns:a16="http://schemas.microsoft.com/office/drawing/2014/main" xmlns="" id="{9D57BD3D-1934-4867-8590-0D05795162AF}"/>
            </a:ext>
          </a:extLst>
        </xdr:cNvPr>
        <xdr:cNvCxnSpPr>
          <a:cxnSpLocks noChangeShapeType="1"/>
          <a:stCxn id="65" idx="2"/>
          <a:endCxn id="36" idx="3"/>
        </xdr:cNvCxnSpPr>
      </xdr:nvCxnSpPr>
      <xdr:spPr bwMode="auto">
        <a:xfrm rot="10800000" flipV="1">
          <a:off x="1824718" y="2842532"/>
          <a:ext cx="393246"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437039" y="1785257"/>
    <xdr:ext cx="383722" cy="134711"/>
    <xdr:cxnSp macro="">
      <xdr:nvCxnSpPr>
        <xdr:cNvPr id="67" name="AutoShape 25">
          <a:extLst>
            <a:ext uri="{FF2B5EF4-FFF2-40B4-BE49-F238E27FC236}">
              <a16:creationId xmlns:a16="http://schemas.microsoft.com/office/drawing/2014/main" xmlns="" id="{9E4106F1-64A7-4A02-A51C-3940FAE909C9}"/>
            </a:ext>
          </a:extLst>
        </xdr:cNvPr>
        <xdr:cNvCxnSpPr>
          <a:cxnSpLocks noChangeShapeType="1"/>
          <a:stCxn id="64" idx="0"/>
          <a:endCxn id="34" idx="1"/>
        </xdr:cNvCxnSpPr>
      </xdr:nvCxnSpPr>
      <xdr:spPr bwMode="auto">
        <a:xfrm>
          <a:off x="2437039" y="1785257"/>
          <a:ext cx="383722" cy="134711"/>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1978649" y="2870444"/>
    <xdr:ext cx="564698" cy="364671"/>
    <xdr:sp macro="" textlink="">
      <xdr:nvSpPr>
        <xdr:cNvPr id="68" name="Text Box 29">
          <a:extLst>
            <a:ext uri="{FF2B5EF4-FFF2-40B4-BE49-F238E27FC236}">
              <a16:creationId xmlns:a16="http://schemas.microsoft.com/office/drawing/2014/main" xmlns="" id="{2EC205AD-F46F-4792-9310-D4B9DA2A9AE9}"/>
            </a:ext>
          </a:extLst>
        </xdr:cNvPr>
        <xdr:cNvSpPr txBox="1">
          <a:spLocks noChangeArrowheads="1"/>
        </xdr:cNvSpPr>
      </xdr:nvSpPr>
      <xdr:spPr bwMode="auto">
        <a:xfrm>
          <a:off x="1978649" y="2870444"/>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V8792 </a:t>
          </a:r>
        </a:p>
        <a:p>
          <a:pPr algn="ctr" rtl="0">
            <a:defRPr sz="1000"/>
          </a:pPr>
          <a:r>
            <a:rPr lang="sv-SE" sz="800" b="0" i="0" u="none" strike="noStrike" baseline="0">
              <a:solidFill>
                <a:srgbClr val="000000"/>
              </a:solidFill>
              <a:latin typeface="Arial"/>
              <a:cs typeface="Arial"/>
            </a:rPr>
            <a:t>(263)</a:t>
          </a:r>
        </a:p>
      </xdr:txBody>
    </xdr:sp>
    <xdr:clientData/>
  </xdr:absoluteAnchor>
  <xdr:absoluteAnchor>
    <xdr:pos x="2044134" y="1418732"/>
    <xdr:ext cx="564698" cy="364670"/>
    <xdr:sp macro="" textlink="">
      <xdr:nvSpPr>
        <xdr:cNvPr id="69" name="Text Box 29">
          <a:extLst>
            <a:ext uri="{FF2B5EF4-FFF2-40B4-BE49-F238E27FC236}">
              <a16:creationId xmlns:a16="http://schemas.microsoft.com/office/drawing/2014/main" xmlns="" id="{8F56FA37-D196-42E5-984C-9B9E087B2C41}"/>
            </a:ext>
          </a:extLst>
        </xdr:cNvPr>
        <xdr:cNvSpPr txBox="1">
          <a:spLocks noChangeArrowheads="1"/>
        </xdr:cNvSpPr>
      </xdr:nvSpPr>
      <xdr:spPr bwMode="auto">
        <a:xfrm>
          <a:off x="2044134" y="1418732"/>
          <a:ext cx="564698"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V8751 </a:t>
          </a:r>
        </a:p>
        <a:p>
          <a:pPr algn="ctr" rtl="0">
            <a:defRPr sz="1000"/>
          </a:pPr>
          <a:r>
            <a:rPr lang="sv-SE" sz="800" b="0" i="0" u="none" strike="noStrike" baseline="0">
              <a:solidFill>
                <a:srgbClr val="000000"/>
              </a:solidFill>
              <a:latin typeface="Arial"/>
              <a:cs typeface="Arial"/>
            </a:rPr>
            <a:t>(217)</a:t>
          </a:r>
        </a:p>
      </xdr:txBody>
    </xdr:sp>
    <xdr:clientData/>
  </xdr:absoluteAnchor>
  <xdr:absoluteAnchor>
    <xdr:pos x="3233057" y="1919968"/>
    <xdr:ext cx="936172" cy="0"/>
    <xdr:cxnSp macro="">
      <xdr:nvCxnSpPr>
        <xdr:cNvPr id="70" name="AutoShape 25">
          <a:extLst>
            <a:ext uri="{FF2B5EF4-FFF2-40B4-BE49-F238E27FC236}">
              <a16:creationId xmlns:a16="http://schemas.microsoft.com/office/drawing/2014/main" xmlns="" id="{515DC944-8E80-4F31-ACC9-50F04E3EDF3E}"/>
            </a:ext>
          </a:extLst>
        </xdr:cNvPr>
        <xdr:cNvCxnSpPr>
          <a:cxnSpLocks noChangeShapeType="1"/>
          <a:stCxn id="34" idx="3"/>
          <a:endCxn id="72" idx="2"/>
        </xdr:cNvCxnSpPr>
      </xdr:nvCxnSpPr>
      <xdr:spPr bwMode="auto">
        <a:xfrm>
          <a:off x="3233057" y="1919968"/>
          <a:ext cx="936172"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5393871" y="2026104"/>
    <xdr:ext cx="126547" cy="125185"/>
    <xdr:sp macro="" textlink="">
      <xdr:nvSpPr>
        <xdr:cNvPr id="71" name="AutoShape 9">
          <a:extLst>
            <a:ext uri="{FF2B5EF4-FFF2-40B4-BE49-F238E27FC236}">
              <a16:creationId xmlns:a16="http://schemas.microsoft.com/office/drawing/2014/main" xmlns="" id="{520DB779-3DBF-4FC2-8EE1-2681326F2DDD}"/>
            </a:ext>
          </a:extLst>
        </xdr:cNvPr>
        <xdr:cNvSpPr>
          <a:spLocks noChangeArrowheads="1"/>
        </xdr:cNvSpPr>
      </xdr:nvSpPr>
      <xdr:spPr bwMode="auto">
        <a:xfrm rot="5400000">
          <a:off x="5394552" y="2025423"/>
          <a:ext cx="125185" cy="126547"/>
        </a:xfrm>
        <a:prstGeom prst="flowChartCollate">
          <a:avLst/>
        </a:prstGeom>
        <a:solidFill>
          <a:srgbClr val="000000"/>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169229" y="1853293"/>
    <xdr:ext cx="126546" cy="125186"/>
    <xdr:sp macro="" textlink="">
      <xdr:nvSpPr>
        <xdr:cNvPr id="72" name="AutoShape 9">
          <a:extLst>
            <a:ext uri="{FF2B5EF4-FFF2-40B4-BE49-F238E27FC236}">
              <a16:creationId xmlns:a16="http://schemas.microsoft.com/office/drawing/2014/main" xmlns="" id="{BB8422F1-4809-4163-B474-796C3420DB6F}"/>
            </a:ext>
          </a:extLst>
        </xdr:cNvPr>
        <xdr:cNvSpPr>
          <a:spLocks noChangeArrowheads="1"/>
        </xdr:cNvSpPr>
      </xdr:nvSpPr>
      <xdr:spPr bwMode="auto">
        <a:xfrm rot="5400000">
          <a:off x="4169909" y="1852613"/>
          <a:ext cx="125186" cy="126546"/>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223532" y="2813957"/>
    <xdr:ext cx="593272" cy="28575"/>
    <xdr:cxnSp macro="">
      <xdr:nvCxnSpPr>
        <xdr:cNvPr id="73" name="AutoShape 25">
          <a:extLst>
            <a:ext uri="{FF2B5EF4-FFF2-40B4-BE49-F238E27FC236}">
              <a16:creationId xmlns:a16="http://schemas.microsoft.com/office/drawing/2014/main" xmlns="" id="{0934AFE1-0ADF-45D8-94DB-5F54E37E69D0}"/>
            </a:ext>
          </a:extLst>
        </xdr:cNvPr>
        <xdr:cNvCxnSpPr>
          <a:cxnSpLocks noChangeShapeType="1"/>
          <a:stCxn id="74" idx="2"/>
          <a:endCxn id="47" idx="3"/>
        </xdr:cNvCxnSpPr>
      </xdr:nvCxnSpPr>
      <xdr:spPr bwMode="auto">
        <a:xfrm rot="10800000" flipV="1">
          <a:off x="3223532" y="2813957"/>
          <a:ext cx="593272" cy="28575"/>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3816804" y="2755446"/>
    <xdr:ext cx="123825" cy="125186"/>
    <xdr:sp macro="" textlink="">
      <xdr:nvSpPr>
        <xdr:cNvPr id="74" name="AutoShape 9">
          <a:extLst>
            <a:ext uri="{FF2B5EF4-FFF2-40B4-BE49-F238E27FC236}">
              <a16:creationId xmlns:a16="http://schemas.microsoft.com/office/drawing/2014/main" xmlns="" id="{A9973D0D-0D93-4DBC-8FB8-19165AC67EC7}"/>
            </a:ext>
          </a:extLst>
        </xdr:cNvPr>
        <xdr:cNvSpPr>
          <a:spLocks noChangeArrowheads="1"/>
        </xdr:cNvSpPr>
      </xdr:nvSpPr>
      <xdr:spPr bwMode="auto">
        <a:xfrm rot="5400000">
          <a:off x="3816124" y="2756126"/>
          <a:ext cx="125186" cy="123825"/>
        </a:xfrm>
        <a:prstGeom prst="flowChartCollate">
          <a:avLst/>
        </a:prstGeom>
        <a:solidFill>
          <a:srgbClr val="000000"/>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600575" y="1900918"/>
    <xdr:ext cx="38100" cy="38100"/>
    <xdr:sp macro="" textlink="">
      <xdr:nvSpPr>
        <xdr:cNvPr id="75" name="Rectangle 37">
          <a:extLst>
            <a:ext uri="{FF2B5EF4-FFF2-40B4-BE49-F238E27FC236}">
              <a16:creationId xmlns:a16="http://schemas.microsoft.com/office/drawing/2014/main" xmlns="" id="{BFD2A144-9D4A-45BD-8D41-2847500A34FD}"/>
            </a:ext>
          </a:extLst>
        </xdr:cNvPr>
        <xdr:cNvSpPr>
          <a:spLocks noChangeArrowheads="1"/>
        </xdr:cNvSpPr>
      </xdr:nvSpPr>
      <xdr:spPr bwMode="auto">
        <a:xfrm>
          <a:off x="4600575" y="1900918"/>
          <a:ext cx="38100" cy="381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940629" y="1939018"/>
    <xdr:ext cx="678996" cy="874939"/>
    <xdr:cxnSp macro="">
      <xdr:nvCxnSpPr>
        <xdr:cNvPr id="76" name="AutoShape 25">
          <a:extLst>
            <a:ext uri="{FF2B5EF4-FFF2-40B4-BE49-F238E27FC236}">
              <a16:creationId xmlns:a16="http://schemas.microsoft.com/office/drawing/2014/main" xmlns="" id="{EEAF0A9D-7D47-4E9B-8A7B-0B63AA60FA51}"/>
            </a:ext>
          </a:extLst>
        </xdr:cNvPr>
        <xdr:cNvCxnSpPr>
          <a:cxnSpLocks noChangeShapeType="1"/>
          <a:stCxn id="74" idx="0"/>
          <a:endCxn id="75" idx="2"/>
        </xdr:cNvCxnSpPr>
      </xdr:nvCxnSpPr>
      <xdr:spPr bwMode="auto">
        <a:xfrm flipV="1">
          <a:off x="3940629" y="1939018"/>
          <a:ext cx="678996" cy="874939"/>
        </a:xfrm>
        <a:prstGeom prst="bentConnector2">
          <a:avLst/>
        </a:prstGeom>
        <a:noFill/>
        <a:ln w="25400">
          <a:solidFill>
            <a:srgbClr xmlns:mc="http://schemas.openxmlformats.org/markup-compatibility/2006" xmlns:a14="http://schemas.microsoft.com/office/drawing/2010/main" val="000000" mc:Ignorable="a14" a14:legacySpreadsheetColorIndex="64"/>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4295775" y="1919968"/>
    <xdr:ext cx="304800" cy="0"/>
    <xdr:cxnSp macro="">
      <xdr:nvCxnSpPr>
        <xdr:cNvPr id="77" name="AutoShape 25">
          <a:extLst>
            <a:ext uri="{FF2B5EF4-FFF2-40B4-BE49-F238E27FC236}">
              <a16:creationId xmlns:a16="http://schemas.microsoft.com/office/drawing/2014/main" xmlns="" id="{4F06A0CC-C97B-415D-989D-BEB255C648BC}"/>
            </a:ext>
          </a:extLst>
        </xdr:cNvPr>
        <xdr:cNvCxnSpPr>
          <a:cxnSpLocks noChangeShapeType="1"/>
          <a:stCxn id="72" idx="0"/>
          <a:endCxn id="75" idx="1"/>
        </xdr:cNvCxnSpPr>
      </xdr:nvCxnSpPr>
      <xdr:spPr bwMode="auto">
        <a:xfrm>
          <a:off x="4295775" y="1919968"/>
          <a:ext cx="304800"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4638675" y="1919968"/>
    <xdr:ext cx="478971" cy="163286"/>
    <xdr:cxnSp macro="">
      <xdr:nvCxnSpPr>
        <xdr:cNvPr id="78" name="AutoShape 25">
          <a:extLst>
            <a:ext uri="{FF2B5EF4-FFF2-40B4-BE49-F238E27FC236}">
              <a16:creationId xmlns:a16="http://schemas.microsoft.com/office/drawing/2014/main" xmlns="" id="{F4A23BBF-0E17-41FA-AE36-A3B9EACBFE0F}"/>
            </a:ext>
          </a:extLst>
        </xdr:cNvPr>
        <xdr:cNvCxnSpPr>
          <a:cxnSpLocks noChangeShapeType="1"/>
          <a:stCxn id="75" idx="3"/>
          <a:endCxn id="79" idx="1"/>
        </xdr:cNvCxnSpPr>
      </xdr:nvCxnSpPr>
      <xdr:spPr bwMode="auto">
        <a:xfrm>
          <a:off x="4638675" y="1919968"/>
          <a:ext cx="478971" cy="163286"/>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5117646" y="2064204"/>
    <xdr:ext cx="38100" cy="38100"/>
    <xdr:sp macro="" textlink="">
      <xdr:nvSpPr>
        <xdr:cNvPr id="79" name="Rectangle 37">
          <a:extLst>
            <a:ext uri="{FF2B5EF4-FFF2-40B4-BE49-F238E27FC236}">
              <a16:creationId xmlns:a16="http://schemas.microsoft.com/office/drawing/2014/main" xmlns="" id="{6FC63445-A204-4543-B99C-5064BB17755D}"/>
            </a:ext>
          </a:extLst>
        </xdr:cNvPr>
        <xdr:cNvSpPr>
          <a:spLocks noChangeArrowheads="1"/>
        </xdr:cNvSpPr>
      </xdr:nvSpPr>
      <xdr:spPr bwMode="auto">
        <a:xfrm>
          <a:off x="5117646" y="2064204"/>
          <a:ext cx="38100" cy="381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136696" y="1651907"/>
    <xdr:ext cx="66675" cy="412297"/>
    <xdr:cxnSp macro="">
      <xdr:nvCxnSpPr>
        <xdr:cNvPr id="80" name="AutoShape 25">
          <a:extLst>
            <a:ext uri="{FF2B5EF4-FFF2-40B4-BE49-F238E27FC236}">
              <a16:creationId xmlns:a16="http://schemas.microsoft.com/office/drawing/2014/main" xmlns="" id="{05681216-ADD6-468B-B1C3-1503EC06E4E5}"/>
            </a:ext>
          </a:extLst>
        </xdr:cNvPr>
        <xdr:cNvCxnSpPr>
          <a:cxnSpLocks noChangeShapeType="1"/>
          <a:stCxn id="81" idx="0"/>
          <a:endCxn id="79" idx="0"/>
        </xdr:cNvCxnSpPr>
      </xdr:nvCxnSpPr>
      <xdr:spPr bwMode="auto">
        <a:xfrm rot="5400000">
          <a:off x="4963885" y="1824718"/>
          <a:ext cx="412297" cy="66675"/>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5136696" y="1526721"/>
    <xdr:ext cx="123825" cy="125186"/>
    <xdr:sp macro="" textlink="">
      <xdr:nvSpPr>
        <xdr:cNvPr id="81" name="AutoShape 9">
          <a:extLst>
            <a:ext uri="{FF2B5EF4-FFF2-40B4-BE49-F238E27FC236}">
              <a16:creationId xmlns:a16="http://schemas.microsoft.com/office/drawing/2014/main" xmlns="" id="{CDEC8BE9-D7E6-4F72-B81A-C604AED6914B}"/>
            </a:ext>
          </a:extLst>
        </xdr:cNvPr>
        <xdr:cNvSpPr>
          <a:spLocks noChangeArrowheads="1"/>
        </xdr:cNvSpPr>
      </xdr:nvSpPr>
      <xdr:spPr bwMode="auto">
        <a:xfrm rot="10800000">
          <a:off x="5136696" y="1526721"/>
          <a:ext cx="123825" cy="125186"/>
        </a:xfrm>
        <a:prstGeom prst="flowChartCollate">
          <a:avLst/>
        </a:prstGeom>
        <a:solidFill>
          <a:srgbClr val="FFFFFF"/>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155746" y="2083254"/>
    <xdr:ext cx="238125" cy="0"/>
    <xdr:cxnSp macro="">
      <xdr:nvCxnSpPr>
        <xdr:cNvPr id="82" name="AutoShape 25">
          <a:extLst>
            <a:ext uri="{FF2B5EF4-FFF2-40B4-BE49-F238E27FC236}">
              <a16:creationId xmlns:a16="http://schemas.microsoft.com/office/drawing/2014/main" xmlns="" id="{23B78909-2177-4FDD-87F9-944EB3D356A2}"/>
            </a:ext>
          </a:extLst>
        </xdr:cNvPr>
        <xdr:cNvCxnSpPr>
          <a:cxnSpLocks noChangeShapeType="1"/>
          <a:stCxn id="79" idx="3"/>
          <a:endCxn id="71" idx="2"/>
        </xdr:cNvCxnSpPr>
      </xdr:nvCxnSpPr>
      <xdr:spPr bwMode="auto">
        <a:xfrm>
          <a:off x="5155746" y="2083254"/>
          <a:ext cx="238125"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5520418" y="2083254"/>
    <xdr:ext cx="2179864" cy="825953"/>
    <xdr:cxnSp macro="">
      <xdr:nvCxnSpPr>
        <xdr:cNvPr id="83" name="AutoShape 25">
          <a:extLst>
            <a:ext uri="{FF2B5EF4-FFF2-40B4-BE49-F238E27FC236}">
              <a16:creationId xmlns:a16="http://schemas.microsoft.com/office/drawing/2014/main" xmlns="" id="{7D2A98DA-AEBF-4713-B461-F6853D6E6C94}"/>
            </a:ext>
          </a:extLst>
        </xdr:cNvPr>
        <xdr:cNvCxnSpPr>
          <a:cxnSpLocks noChangeShapeType="1"/>
          <a:stCxn id="71" idx="0"/>
          <a:endCxn id="85" idx="1"/>
        </xdr:cNvCxnSpPr>
      </xdr:nvCxnSpPr>
      <xdr:spPr bwMode="auto">
        <a:xfrm>
          <a:off x="5520418" y="2083254"/>
          <a:ext cx="2179864" cy="825953"/>
        </a:xfrm>
        <a:prstGeom prst="bentConnector3">
          <a:avLst>
            <a:gd name="adj1" fmla="val 76889"/>
          </a:avLst>
        </a:prstGeom>
        <a:noFill/>
        <a:ln w="25400">
          <a:solidFill>
            <a:srgbClr val="FF0000"/>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6406147" y="2758585"/>
    <xdr:ext cx="564698" cy="367224"/>
    <xdr:sp macro="" textlink="">
      <xdr:nvSpPr>
        <xdr:cNvPr id="84" name="Text Box 29">
          <a:extLst>
            <a:ext uri="{FF2B5EF4-FFF2-40B4-BE49-F238E27FC236}">
              <a16:creationId xmlns:a16="http://schemas.microsoft.com/office/drawing/2014/main" xmlns="" id="{F7716126-6AF4-4660-A266-B0B1225F7B34}"/>
            </a:ext>
          </a:extLst>
        </xdr:cNvPr>
        <xdr:cNvSpPr txBox="1">
          <a:spLocks noChangeArrowheads="1"/>
        </xdr:cNvSpPr>
      </xdr:nvSpPr>
      <xdr:spPr bwMode="auto">
        <a:xfrm>
          <a:off x="6406147" y="2758585"/>
          <a:ext cx="564698" cy="36722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(150)</a:t>
          </a:r>
        </a:p>
      </xdr:txBody>
    </xdr:sp>
    <xdr:clientData/>
  </xdr:absoluteAnchor>
  <xdr:absoluteAnchor>
    <xdr:pos x="7700282" y="2842532"/>
    <xdr:ext cx="133350" cy="125186"/>
    <xdr:sp macro="" textlink="">
      <xdr:nvSpPr>
        <xdr:cNvPr id="85" name="Rectangle 37">
          <a:extLst>
            <a:ext uri="{FF2B5EF4-FFF2-40B4-BE49-F238E27FC236}">
              <a16:creationId xmlns:a16="http://schemas.microsoft.com/office/drawing/2014/main" xmlns="" id="{BD9BC8C7-BE2A-4BBD-A5AF-835D28C551C3}"/>
            </a:ext>
          </a:extLst>
        </xdr:cNvPr>
        <xdr:cNvSpPr>
          <a:spLocks noChangeArrowheads="1"/>
        </xdr:cNvSpPr>
      </xdr:nvSpPr>
      <xdr:spPr bwMode="auto">
        <a:xfrm>
          <a:off x="7700282" y="2842532"/>
          <a:ext cx="133350" cy="1251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7743900" y="2722866"/>
    <xdr:ext cx="564697" cy="364672"/>
    <xdr:sp macro="" textlink="">
      <xdr:nvSpPr>
        <xdr:cNvPr id="86" name="Text Box 29">
          <a:extLst>
            <a:ext uri="{FF2B5EF4-FFF2-40B4-BE49-F238E27FC236}">
              <a16:creationId xmlns:a16="http://schemas.microsoft.com/office/drawing/2014/main" xmlns="" id="{42F0BB68-91DE-42F3-A149-D157A2DA1BF1}"/>
            </a:ext>
          </a:extLst>
        </xdr:cNvPr>
        <xdr:cNvSpPr txBox="1">
          <a:spLocks noChangeArrowheads="1"/>
        </xdr:cNvSpPr>
      </xdr:nvSpPr>
      <xdr:spPr bwMode="auto">
        <a:xfrm>
          <a:off x="7743900" y="2722866"/>
          <a:ext cx="564697"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(232)</a:t>
          </a:r>
        </a:p>
      </xdr:txBody>
    </xdr:sp>
    <xdr:clientData/>
  </xdr:absoluteAnchor>
  <xdr:absoluteAnchor>
    <xdr:pos x="9949107" y="2802809"/>
    <xdr:ext cx="564696" cy="364672"/>
    <xdr:sp macro="" textlink="">
      <xdr:nvSpPr>
        <xdr:cNvPr id="87" name="Text Box 29">
          <a:extLst>
            <a:ext uri="{FF2B5EF4-FFF2-40B4-BE49-F238E27FC236}">
              <a16:creationId xmlns:a16="http://schemas.microsoft.com/office/drawing/2014/main" xmlns="" id="{413D29DA-A664-4956-A4F5-091BB9BB0CF6}"/>
            </a:ext>
          </a:extLst>
        </xdr:cNvPr>
        <xdr:cNvSpPr txBox="1">
          <a:spLocks noChangeArrowheads="1"/>
        </xdr:cNvSpPr>
      </xdr:nvSpPr>
      <xdr:spPr bwMode="auto">
        <a:xfrm>
          <a:off x="9949107" y="2802809"/>
          <a:ext cx="564696"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(100)</a:t>
          </a:r>
        </a:p>
      </xdr:txBody>
    </xdr:sp>
    <xdr:clientData/>
  </xdr:absoluteAnchor>
  <xdr:absoluteAnchor>
    <xdr:pos x="11459936" y="2736396"/>
    <xdr:ext cx="133350" cy="125186"/>
    <xdr:sp macro="" textlink="">
      <xdr:nvSpPr>
        <xdr:cNvPr id="88" name="Rectangle 37">
          <a:extLst>
            <a:ext uri="{FF2B5EF4-FFF2-40B4-BE49-F238E27FC236}">
              <a16:creationId xmlns:a16="http://schemas.microsoft.com/office/drawing/2014/main" xmlns="" id="{647CEBCA-76A7-4AA8-A5D1-734CA882833F}"/>
            </a:ext>
          </a:extLst>
        </xdr:cNvPr>
        <xdr:cNvSpPr>
          <a:spLocks noChangeArrowheads="1"/>
        </xdr:cNvSpPr>
      </xdr:nvSpPr>
      <xdr:spPr bwMode="auto">
        <a:xfrm>
          <a:off x="11459936" y="2736396"/>
          <a:ext cx="133350" cy="1251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203371" y="1526721"/>
    <xdr:ext cx="6323240" cy="1209675"/>
    <xdr:cxnSp macro="">
      <xdr:nvCxnSpPr>
        <xdr:cNvPr id="89" name="AutoShape 25">
          <a:extLst>
            <a:ext uri="{FF2B5EF4-FFF2-40B4-BE49-F238E27FC236}">
              <a16:creationId xmlns:a16="http://schemas.microsoft.com/office/drawing/2014/main" xmlns="" id="{601D705A-9009-4087-B7E5-2A73BB5F37E3}"/>
            </a:ext>
          </a:extLst>
        </xdr:cNvPr>
        <xdr:cNvCxnSpPr>
          <a:cxnSpLocks noChangeShapeType="1"/>
          <a:stCxn id="88" idx="0"/>
          <a:endCxn id="81" idx="2"/>
        </xdr:cNvCxnSpPr>
      </xdr:nvCxnSpPr>
      <xdr:spPr bwMode="auto">
        <a:xfrm rot="16200000" flipV="1">
          <a:off x="7760153" y="-1030061"/>
          <a:ext cx="1209675" cy="6323240"/>
        </a:xfrm>
        <a:prstGeom prst="bentConnector3">
          <a:avLst>
            <a:gd name="adj1" fmla="val 119250"/>
          </a:avLst>
        </a:prstGeom>
        <a:noFill/>
        <a:ln w="25400">
          <a:solidFill>
            <a:srgbClr xmlns:mc="http://schemas.openxmlformats.org/markup-compatibility/2006" xmlns:a14="http://schemas.microsoft.com/office/drawing/2010/main" val="000000" mc:Ignorable="a14" a14:legacySpreadsheetColorIndex="64"/>
          </a:solidFill>
          <a:miter lim="800000"/>
          <a:headEnd type="triangle" w="med" len="med"/>
          <a:tailEnd/>
        </a:ln>
        <a:extLst>
          <a:ext uri="{909E8E84-426E-40DD-AFC4-6F175D3DCCD1}">
            <a14:hiddenFill xmlns:a14="http://schemas.microsoft.com/office/drawing/2010/main">
              <a:noFill/>
            </a14:hiddenFill>
          </a:ext>
        </a:extLst>
      </xdr:spPr>
    </xdr:cxnSp>
    <xdr:clientData/>
  </xdr:absoluteAnchor>
  <xdr:absoluteAnchor>
    <xdr:pos x="5230756" y="1424685"/>
    <xdr:ext cx="564698" cy="364670"/>
    <xdr:sp macro="" textlink="">
      <xdr:nvSpPr>
        <xdr:cNvPr id="90" name="Text Box 29">
          <a:extLst>
            <a:ext uri="{FF2B5EF4-FFF2-40B4-BE49-F238E27FC236}">
              <a16:creationId xmlns:a16="http://schemas.microsoft.com/office/drawing/2014/main" xmlns="" id="{F47A198D-6E1A-4222-8CCD-ECC01A0D0087}"/>
            </a:ext>
          </a:extLst>
        </xdr:cNvPr>
        <xdr:cNvSpPr txBox="1">
          <a:spLocks noChangeArrowheads="1"/>
        </xdr:cNvSpPr>
      </xdr:nvSpPr>
      <xdr:spPr bwMode="auto">
        <a:xfrm>
          <a:off x="5230756" y="1424685"/>
          <a:ext cx="564698"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V8750B </a:t>
          </a:r>
        </a:p>
        <a:p>
          <a:pPr algn="ctr" rtl="0">
            <a:defRPr sz="1000"/>
          </a:pPr>
          <a:r>
            <a:rPr lang="sv-SE" sz="800" b="0" i="0" u="none" strike="noStrike" baseline="0">
              <a:solidFill>
                <a:srgbClr val="000000"/>
              </a:solidFill>
              <a:latin typeface="Arial"/>
              <a:cs typeface="Arial"/>
            </a:rPr>
            <a:t>(303)</a:t>
          </a:r>
        </a:p>
      </xdr:txBody>
    </xdr:sp>
    <xdr:clientData/>
  </xdr:absoluteAnchor>
  <xdr:absoluteAnchor>
    <xdr:pos x="5224803" y="2128003"/>
    <xdr:ext cx="564698" cy="364671"/>
    <xdr:sp macro="" textlink="">
      <xdr:nvSpPr>
        <xdr:cNvPr id="91" name="Text Box 29">
          <a:extLst>
            <a:ext uri="{FF2B5EF4-FFF2-40B4-BE49-F238E27FC236}">
              <a16:creationId xmlns:a16="http://schemas.microsoft.com/office/drawing/2014/main" xmlns="" id="{1103CF09-CCEC-448B-9792-F041BF24D32A}"/>
            </a:ext>
          </a:extLst>
        </xdr:cNvPr>
        <xdr:cNvSpPr txBox="1">
          <a:spLocks noChangeArrowheads="1"/>
        </xdr:cNvSpPr>
      </xdr:nvSpPr>
      <xdr:spPr bwMode="auto">
        <a:xfrm>
          <a:off x="5224803" y="2128003"/>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V8750A </a:t>
          </a:r>
        </a:p>
        <a:p>
          <a:pPr algn="ctr" rtl="0">
            <a:defRPr sz="1000"/>
          </a:pPr>
          <a:r>
            <a:rPr lang="sv-SE" sz="800" b="0" i="0" u="none" strike="noStrike" baseline="0">
              <a:solidFill>
                <a:srgbClr val="000000"/>
              </a:solidFill>
              <a:latin typeface="Arial"/>
              <a:cs typeface="Arial"/>
            </a:rPr>
            <a:t>(225)</a:t>
          </a:r>
        </a:p>
      </xdr:txBody>
    </xdr:sp>
    <xdr:clientData/>
  </xdr:absoluteAnchor>
  <xdr:absoluteAnchor>
    <xdr:pos x="3614058" y="2870444"/>
    <xdr:ext cx="564698" cy="364671"/>
    <xdr:sp macro="" textlink="">
      <xdr:nvSpPr>
        <xdr:cNvPr id="92" name="Text Box 29">
          <a:extLst>
            <a:ext uri="{FF2B5EF4-FFF2-40B4-BE49-F238E27FC236}">
              <a16:creationId xmlns:a16="http://schemas.microsoft.com/office/drawing/2014/main" xmlns="" id="{86473967-0861-487D-90DC-D4325A8E7C1A}"/>
            </a:ext>
          </a:extLst>
        </xdr:cNvPr>
        <xdr:cNvSpPr txBox="1">
          <a:spLocks noChangeArrowheads="1"/>
        </xdr:cNvSpPr>
      </xdr:nvSpPr>
      <xdr:spPr bwMode="auto">
        <a:xfrm>
          <a:off x="3614058" y="2870444"/>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V8793 </a:t>
          </a:r>
        </a:p>
        <a:p>
          <a:pPr algn="ctr" rtl="0">
            <a:defRPr sz="1000"/>
          </a:pPr>
          <a:r>
            <a:rPr lang="sv-SE" sz="800" b="0" i="0" u="none" strike="noStrike" baseline="0">
              <a:solidFill>
                <a:srgbClr val="000000"/>
              </a:solidFill>
              <a:latin typeface="Arial"/>
              <a:cs typeface="Arial"/>
            </a:rPr>
            <a:t>(269)</a:t>
          </a:r>
        </a:p>
      </xdr:txBody>
    </xdr:sp>
    <xdr:clientData/>
  </xdr:absoluteAnchor>
  <xdr:absoluteAnchor>
    <xdr:pos x="3940630" y="1522486"/>
    <xdr:ext cx="564698" cy="364671"/>
    <xdr:sp macro="" textlink="">
      <xdr:nvSpPr>
        <xdr:cNvPr id="93" name="Text Box 29">
          <a:extLst>
            <a:ext uri="{FF2B5EF4-FFF2-40B4-BE49-F238E27FC236}">
              <a16:creationId xmlns:a16="http://schemas.microsoft.com/office/drawing/2014/main" xmlns="" id="{6635AD9F-1EB9-484D-8B3A-575D35F741FC}"/>
            </a:ext>
          </a:extLst>
        </xdr:cNvPr>
        <xdr:cNvSpPr txBox="1">
          <a:spLocks noChangeArrowheads="1"/>
        </xdr:cNvSpPr>
      </xdr:nvSpPr>
      <xdr:spPr bwMode="auto">
        <a:xfrm>
          <a:off x="3940630" y="1522486"/>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V8794 </a:t>
          </a:r>
        </a:p>
        <a:p>
          <a:pPr algn="ctr" rtl="0">
            <a:defRPr sz="1000"/>
          </a:pPr>
          <a:r>
            <a:rPr lang="sv-SE" sz="800" b="0" i="0" u="none" strike="noStrike" baseline="0">
              <a:solidFill>
                <a:srgbClr val="000000"/>
              </a:solidFill>
              <a:latin typeface="Arial"/>
              <a:cs typeface="Arial"/>
            </a:rPr>
            <a:t>(223)</a:t>
          </a:r>
        </a:p>
      </xdr:txBody>
    </xdr:sp>
    <xdr:clientData/>
  </xdr:absoluteAnchor>
  <xdr:absoluteAnchor>
    <xdr:pos x="11560703" y="2615710"/>
    <xdr:ext cx="564697" cy="364672"/>
    <xdr:sp macro="" textlink="">
      <xdr:nvSpPr>
        <xdr:cNvPr id="94" name="Text Box 29">
          <a:extLst>
            <a:ext uri="{FF2B5EF4-FFF2-40B4-BE49-F238E27FC236}">
              <a16:creationId xmlns:a16="http://schemas.microsoft.com/office/drawing/2014/main" xmlns="" id="{97D34233-87A4-446C-8B78-CD6186FC747F}"/>
            </a:ext>
          </a:extLst>
        </xdr:cNvPr>
        <xdr:cNvSpPr txBox="1">
          <a:spLocks noChangeArrowheads="1"/>
        </xdr:cNvSpPr>
      </xdr:nvSpPr>
      <xdr:spPr bwMode="auto">
        <a:xfrm>
          <a:off x="11560703" y="2615710"/>
          <a:ext cx="564697"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(306)</a:t>
          </a:r>
        </a:p>
      </xdr:txBody>
    </xdr:sp>
    <xdr:clientData/>
  </xdr:absoluteAnchor>
  <xdr:absoluteAnchor>
    <xdr:pos x="4897381" y="2758185"/>
    <xdr:ext cx="564698" cy="364670"/>
    <xdr:sp macro="" textlink="">
      <xdr:nvSpPr>
        <xdr:cNvPr id="95" name="Text Box 29">
          <a:extLst>
            <a:ext uri="{FF2B5EF4-FFF2-40B4-BE49-F238E27FC236}">
              <a16:creationId xmlns:a16="http://schemas.microsoft.com/office/drawing/2014/main" xmlns="" id="{0424A0A4-FEB5-4D19-BB35-776194285ACB}"/>
            </a:ext>
          </a:extLst>
        </xdr:cNvPr>
        <xdr:cNvSpPr txBox="1">
          <a:spLocks noChangeArrowheads="1"/>
        </xdr:cNvSpPr>
      </xdr:nvSpPr>
      <xdr:spPr bwMode="auto">
        <a:xfrm>
          <a:off x="4897381" y="2758185"/>
          <a:ext cx="564698"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V8750B </a:t>
          </a:r>
        </a:p>
        <a:p>
          <a:pPr algn="ctr" rtl="0">
            <a:defRPr sz="1000"/>
          </a:pPr>
          <a:r>
            <a:rPr lang="sv-SE" sz="800" b="0" i="0" u="none" strike="noStrike" baseline="0">
              <a:solidFill>
                <a:srgbClr val="000000"/>
              </a:solidFill>
              <a:latin typeface="Arial"/>
              <a:cs typeface="Arial"/>
            </a:rPr>
            <a:t>(303)</a:t>
          </a:r>
        </a:p>
      </xdr:txBody>
    </xdr:sp>
    <xdr:clientData/>
  </xdr:absoluteAnchor>
  <xdr:absoluteAnchor>
    <xdr:pos x="9346917" y="2390793"/>
    <xdr:ext cx="266530" cy="228582"/>
    <xdr:sp macro="" textlink="">
      <xdr:nvSpPr>
        <xdr:cNvPr id="96" name="Text Box 29">
          <a:extLst>
            <a:ext uri="{FF2B5EF4-FFF2-40B4-BE49-F238E27FC236}">
              <a16:creationId xmlns:a16="http://schemas.microsoft.com/office/drawing/2014/main" xmlns="" id="{E9CEF3AA-FB59-4657-99D7-3985D776E0F0}"/>
            </a:ext>
          </a:extLst>
        </xdr:cNvPr>
        <xdr:cNvSpPr txBox="1">
          <a:spLocks noChangeArrowheads="1"/>
        </xdr:cNvSpPr>
      </xdr:nvSpPr>
      <xdr:spPr bwMode="auto">
        <a:xfrm>
          <a:off x="9346917" y="2390793"/>
          <a:ext cx="266530" cy="228582"/>
        </a:xfrm>
        <a:prstGeom prst="rect">
          <a:avLst/>
        </a:prstGeom>
        <a:solidFill>
          <a:sysClr val="window" lastClr="FFFFFF"/>
        </a:solidFill>
        <a:ln w="9525">
          <a:solidFill>
            <a:srgbClr xmlns:mc="http://schemas.openxmlformats.org/markup-compatibility/2006" xmlns:a14="http://schemas.microsoft.com/office/drawing/2010/main" val="000000" mc:Ignorable="a14" a14:legacySpreadsheetColorIndex="64"/>
          </a:solidFill>
          <a:prstDash val="dash"/>
          <a:miter lim="800000"/>
          <a:headEnd/>
          <a:tailEnd/>
        </a:ln>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1</a:t>
          </a:r>
        </a:p>
      </xdr:txBody>
    </xdr:sp>
    <xdr:clientData/>
  </xdr:absoluteAnchor>
  <xdr:absoluteAnchor>
    <xdr:pos x="5904309" y="2452025"/>
    <xdr:ext cx="266530" cy="228582"/>
    <xdr:sp macro="" textlink="">
      <xdr:nvSpPr>
        <xdr:cNvPr id="97" name="Text Box 29">
          <a:extLst>
            <a:ext uri="{FF2B5EF4-FFF2-40B4-BE49-F238E27FC236}">
              <a16:creationId xmlns:a16="http://schemas.microsoft.com/office/drawing/2014/main" xmlns="" id="{2D3EB59A-3A68-4E4D-BA2B-63D9309D77D2}"/>
            </a:ext>
          </a:extLst>
        </xdr:cNvPr>
        <xdr:cNvSpPr txBox="1">
          <a:spLocks noChangeArrowheads="1"/>
        </xdr:cNvSpPr>
      </xdr:nvSpPr>
      <xdr:spPr bwMode="auto">
        <a:xfrm>
          <a:off x="5904309" y="2452025"/>
          <a:ext cx="266530" cy="228582"/>
        </a:xfrm>
        <a:prstGeom prst="rect">
          <a:avLst/>
        </a:prstGeom>
        <a:noFill/>
        <a:ln w="9525">
          <a:solidFill>
            <a:srgbClr val="00B0F0"/>
          </a:solidFill>
          <a:prstDash val="dash"/>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27432" bIns="22860" anchor="ctr" upright="1"/>
        <a:lstStyle/>
        <a:p>
          <a:pPr algn="ctr" rtl="0">
            <a:defRPr sz="1000"/>
          </a:pPr>
          <a:r>
            <a:rPr lang="sv-SE" sz="800" b="0" i="0" u="none" strike="noStrike" baseline="0">
              <a:solidFill>
                <a:srgbClr val="00B0F0"/>
              </a:solidFill>
              <a:latin typeface="Arial"/>
              <a:cs typeface="Arial"/>
            </a:rPr>
            <a:t>2</a:t>
          </a:r>
        </a:p>
      </xdr:txBody>
    </xdr:sp>
    <xdr:clientData/>
  </xdr:absoluteAnchor>
  <xdr:absoluteAnchor>
    <xdr:pos x="4557202" y="4452275"/>
    <xdr:ext cx="266530" cy="228582"/>
    <xdr:sp macro="" textlink="">
      <xdr:nvSpPr>
        <xdr:cNvPr id="98" name="Text Box 29">
          <a:extLst>
            <a:ext uri="{FF2B5EF4-FFF2-40B4-BE49-F238E27FC236}">
              <a16:creationId xmlns:a16="http://schemas.microsoft.com/office/drawing/2014/main" xmlns="" id="{DB5CAB38-2D67-4470-A11C-1A66988235A8}"/>
            </a:ext>
          </a:extLst>
        </xdr:cNvPr>
        <xdr:cNvSpPr txBox="1">
          <a:spLocks noChangeArrowheads="1"/>
        </xdr:cNvSpPr>
      </xdr:nvSpPr>
      <xdr:spPr bwMode="auto">
        <a:xfrm>
          <a:off x="4557202" y="4452275"/>
          <a:ext cx="266530" cy="228582"/>
        </a:xfrm>
        <a:prstGeom prst="rect">
          <a:avLst/>
        </a:prstGeom>
        <a:noFill/>
        <a:ln w="9525">
          <a:solidFill>
            <a:srgbClr val="FF0000"/>
          </a:solidFill>
          <a:prstDash val="dash"/>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27432" bIns="22860" anchor="ctr" upright="1"/>
        <a:lstStyle/>
        <a:p>
          <a:pPr algn="ctr" rtl="0">
            <a:defRPr sz="1000"/>
          </a:pPr>
          <a:r>
            <a:rPr lang="sv-SE" sz="800" b="0" i="0" u="none" strike="noStrike" baseline="0">
              <a:solidFill>
                <a:srgbClr val="FF0000"/>
              </a:solidFill>
              <a:latin typeface="Arial"/>
              <a:cs typeface="Arial"/>
            </a:rPr>
            <a:t>3</a:t>
          </a:r>
        </a:p>
      </xdr:txBody>
    </xdr:sp>
    <xdr:clientData/>
  </xdr:absoluteAnchor>
  <xdr:absoluteAnchor>
    <xdr:pos x="1869792" y="2560883"/>
    <xdr:ext cx="266530" cy="228582"/>
    <xdr:sp macro="" textlink="">
      <xdr:nvSpPr>
        <xdr:cNvPr id="99" name="Text Box 29">
          <a:extLst>
            <a:ext uri="{FF2B5EF4-FFF2-40B4-BE49-F238E27FC236}">
              <a16:creationId xmlns:a16="http://schemas.microsoft.com/office/drawing/2014/main" xmlns="" id="{0350F41C-E2CD-4C2E-A4A1-DDA4F5CCA599}"/>
            </a:ext>
          </a:extLst>
        </xdr:cNvPr>
        <xdr:cNvSpPr txBox="1">
          <a:spLocks noChangeArrowheads="1"/>
        </xdr:cNvSpPr>
      </xdr:nvSpPr>
      <xdr:spPr bwMode="auto">
        <a:xfrm>
          <a:off x="1869792" y="2560883"/>
          <a:ext cx="266530" cy="228582"/>
        </a:xfrm>
        <a:prstGeom prst="rect">
          <a:avLst/>
        </a:prstGeom>
        <a:solidFill>
          <a:sysClr val="window" lastClr="FFFFFF"/>
        </a:solidFill>
        <a:ln w="9525">
          <a:solidFill>
            <a:srgbClr xmlns:mc="http://schemas.openxmlformats.org/markup-compatibility/2006" xmlns:a14="http://schemas.microsoft.com/office/drawing/2010/main" val="000000" mc:Ignorable="a14" a14:legacySpreadsheetColorIndex="64"/>
          </a:solidFill>
          <a:prstDash val="dash"/>
          <a:miter lim="800000"/>
          <a:headEnd/>
          <a:tailEnd/>
        </a:ln>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4</a:t>
          </a:r>
        </a:p>
      </xdr:txBody>
    </xdr:sp>
    <xdr:clientData/>
  </xdr:absoluteAnchor>
  <xdr:absoluteAnchor>
    <xdr:pos x="5468881" y="989258"/>
    <xdr:ext cx="266530" cy="228582"/>
    <xdr:sp macro="" textlink="">
      <xdr:nvSpPr>
        <xdr:cNvPr id="100" name="Text Box 29">
          <a:extLst>
            <a:ext uri="{FF2B5EF4-FFF2-40B4-BE49-F238E27FC236}">
              <a16:creationId xmlns:a16="http://schemas.microsoft.com/office/drawing/2014/main" xmlns="" id="{22420205-566A-4EFD-9F93-827016855BBC}"/>
            </a:ext>
          </a:extLst>
        </xdr:cNvPr>
        <xdr:cNvSpPr txBox="1">
          <a:spLocks noChangeArrowheads="1"/>
        </xdr:cNvSpPr>
      </xdr:nvSpPr>
      <xdr:spPr bwMode="auto">
        <a:xfrm>
          <a:off x="5468881" y="989258"/>
          <a:ext cx="266530" cy="228582"/>
        </a:xfrm>
        <a:prstGeom prst="rect">
          <a:avLst/>
        </a:prstGeom>
        <a:solidFill>
          <a:sysClr val="window" lastClr="FFFFFF"/>
        </a:solidFill>
        <a:ln w="9525">
          <a:solidFill>
            <a:srgbClr xmlns:mc="http://schemas.openxmlformats.org/markup-compatibility/2006" xmlns:a14="http://schemas.microsoft.com/office/drawing/2010/main" val="000000" mc:Ignorable="a14" a14:legacySpreadsheetColorIndex="64"/>
          </a:solidFill>
          <a:prstDash val="dash"/>
          <a:miter lim="800000"/>
          <a:headEnd/>
          <a:tailEnd/>
        </a:ln>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5</a:t>
          </a:r>
        </a:p>
      </xdr:txBody>
    </xdr:sp>
    <xdr:clientData/>
  </xdr:absoluteAnchor>
  <xdr:twoCellAnchor>
    <xdr:from>
      <xdr:col>0</xdr:col>
      <xdr:colOff>353786</xdr:colOff>
      <xdr:row>0</xdr:row>
      <xdr:rowOff>122464</xdr:rowOff>
    </xdr:from>
    <xdr:to>
      <xdr:col>5</xdr:col>
      <xdr:colOff>346983</xdr:colOff>
      <xdr:row>7</xdr:row>
      <xdr:rowOff>156482</xdr:rowOff>
    </xdr:to>
    <xdr:sp macro="" textlink="">
      <xdr:nvSpPr>
        <xdr:cNvPr id="101" name="TextBox 242">
          <a:extLst>
            <a:ext uri="{FF2B5EF4-FFF2-40B4-BE49-F238E27FC236}">
              <a16:creationId xmlns:a16="http://schemas.microsoft.com/office/drawing/2014/main" xmlns="" id="{47087B2C-C3BA-40B9-9660-864687814DBF}"/>
            </a:ext>
          </a:extLst>
        </xdr:cNvPr>
        <xdr:cNvSpPr txBox="1"/>
      </xdr:nvSpPr>
      <xdr:spPr>
        <a:xfrm>
          <a:off x="353786" y="122464"/>
          <a:ext cx="3041197" cy="116749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Flödesväg	Kompnr.	Kraftnr</a:t>
          </a:r>
        </a:p>
        <a:p>
          <a:r>
            <a:rPr lang="sv-SE" sz="1100"/>
            <a:t>1	100-115	1-10</a:t>
          </a:r>
        </a:p>
        <a:p>
          <a:r>
            <a:rPr lang="sv-SE" sz="1100"/>
            <a:t>2	150-155	20-25</a:t>
          </a:r>
        </a:p>
        <a:p>
          <a:r>
            <a:rPr lang="sv-SE" sz="1100"/>
            <a:t>3	205-232	30-60</a:t>
          </a:r>
        </a:p>
        <a:p>
          <a:r>
            <a:rPr lang="sv-SE" sz="1100"/>
            <a:t>4	261-271	70-83</a:t>
          </a:r>
        </a:p>
        <a:p>
          <a:r>
            <a:rPr lang="sv-SE" sz="1100"/>
            <a:t>5	301-306	90-92</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438150</xdr:colOff>
          <xdr:row>4</xdr:row>
          <xdr:rowOff>123825</xdr:rowOff>
        </xdr:from>
        <xdr:to>
          <xdr:col>8</xdr:col>
          <xdr:colOff>409575</xdr:colOff>
          <xdr:row>9</xdr:row>
          <xdr:rowOff>9525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Skapa "Stripfile.strip" och "Stripfile.strip.txt"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Pumpar%20HAN-BA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ata"/>
      <sheetName val="indata RELAP"/>
      <sheetName val="Pumpkurvor olika varvtal"/>
      <sheetName val="Hitta värde"/>
    </sheetNames>
    <sheetDataSet>
      <sheetData sheetId="0">
        <row r="11">
          <cell r="B11" t="str">
            <v>AFAPMD-2</v>
          </cell>
        </row>
      </sheetData>
      <sheetData sheetId="1"/>
      <sheetData sheetId="2"/>
      <sheetData sheetId="3"/>
    </sheetDataSet>
  </externalBook>
</externalLink>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ysClr val="window" lastClr="FFFFFF"/>
        </a:solidFill>
        <a:ln w="19050">
          <a:solidFill>
            <a:sysClr val="windowText" lastClr="000000"/>
          </a:solid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lnDef>
      <a:spPr>
        <a:ln w="19050">
          <a:solidFill>
            <a:sysClr val="windowText" lastClr="000000"/>
          </a:solidFill>
        </a:ln>
      </a:spPr>
      <a:bodyPr/>
      <a:lstStyle/>
      <a:style>
        <a:lnRef idx="1">
          <a:schemeClr val="accent1"/>
        </a:lnRef>
        <a:fillRef idx="0">
          <a:schemeClr val="accent1"/>
        </a:fillRef>
        <a:effectRef idx="0">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omments" Target="../comments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2">
    <pageSetUpPr fitToPage="1"/>
  </sheetPr>
  <dimension ref="A1:AC293"/>
  <sheetViews>
    <sheetView tabSelected="1" zoomScale="85" zoomScaleNormal="85" workbookViewId="0">
      <pane xSplit="22" ySplit="2" topLeftCell="W33" activePane="bottomRight" state="frozenSplit"/>
      <selection pane="topRight" activeCell="M1" sqref="M1"/>
      <selection pane="bottomLeft" activeCell="A3" sqref="A3"/>
      <selection pane="bottomRight" activeCell="A52" sqref="A52:B52"/>
    </sheetView>
  </sheetViews>
  <sheetFormatPr defaultRowHeight="13.5" x14ac:dyDescent="0.25"/>
  <cols>
    <col min="1" max="1" width="15.28515625" style="11" customWidth="1"/>
    <col min="2" max="2" width="13" style="12" customWidth="1"/>
    <col min="3" max="3" width="9.5703125" style="13" customWidth="1"/>
    <col min="4" max="4" width="8.28515625" style="13" customWidth="1"/>
    <col min="5" max="5" width="12.5703125" style="14" customWidth="1"/>
    <col min="6" max="6" width="12.85546875" style="15" bestFit="1" customWidth="1"/>
    <col min="7" max="7" width="12.42578125" style="15" bestFit="1" customWidth="1"/>
    <col min="8" max="8" width="7.85546875" style="15" customWidth="1"/>
    <col min="9" max="9" width="6.140625" style="15" customWidth="1"/>
    <col min="10" max="10" width="14" style="11" customWidth="1"/>
    <col min="11" max="11" width="11.140625" style="11" bestFit="1" customWidth="1"/>
    <col min="12" max="12" width="7" style="11" bestFit="1" customWidth="1"/>
    <col min="13" max="13" width="10.42578125" style="12" customWidth="1"/>
    <col min="14" max="14" width="9.42578125" style="12" bestFit="1" customWidth="1"/>
    <col min="15" max="16" width="5.7109375" style="12" bestFit="1" customWidth="1"/>
    <col min="17" max="17" width="12.5703125" style="17" customWidth="1"/>
    <col min="18" max="18" width="10.7109375" style="15" customWidth="1"/>
    <col min="19" max="19" width="8.85546875" style="15" customWidth="1"/>
    <col min="20" max="20" width="12.85546875" style="15" bestFit="1" customWidth="1"/>
    <col min="21" max="21" width="9" style="15" bestFit="1" customWidth="1"/>
    <col min="22" max="22" width="10.28515625" style="15" bestFit="1" customWidth="1"/>
    <col min="23" max="23" width="9.140625" style="11"/>
    <col min="24" max="24" width="12.85546875" style="15" bestFit="1" customWidth="1"/>
    <col min="25" max="25" width="9.140625" style="15"/>
    <col min="26" max="16384" width="9.140625" style="11"/>
  </cols>
  <sheetData>
    <row r="1" spans="1:27" ht="49.5" customHeight="1" x14ac:dyDescent="0.25">
      <c r="A1" s="1" t="s">
        <v>295</v>
      </c>
      <c r="B1" s="2" t="s">
        <v>312</v>
      </c>
      <c r="C1" s="3" t="s">
        <v>296</v>
      </c>
      <c r="D1" s="3" t="s">
        <v>3</v>
      </c>
      <c r="E1" s="4" t="s">
        <v>4</v>
      </c>
      <c r="F1" s="5" t="s">
        <v>297</v>
      </c>
      <c r="G1" s="5" t="s">
        <v>298</v>
      </c>
      <c r="H1" s="5" t="s">
        <v>7</v>
      </c>
      <c r="I1" s="5" t="s">
        <v>8</v>
      </c>
      <c r="J1" s="1" t="s">
        <v>287</v>
      </c>
      <c r="K1" s="1" t="s">
        <v>299</v>
      </c>
      <c r="L1" s="6" t="s">
        <v>294</v>
      </c>
      <c r="M1" s="2" t="s">
        <v>300</v>
      </c>
      <c r="N1" s="2" t="s">
        <v>301</v>
      </c>
      <c r="O1" s="7" t="s">
        <v>302</v>
      </c>
      <c r="P1" s="7" t="s">
        <v>303</v>
      </c>
      <c r="Q1" s="8" t="s">
        <v>318</v>
      </c>
      <c r="R1" s="9" t="s">
        <v>304</v>
      </c>
      <c r="S1" s="9" t="s">
        <v>305</v>
      </c>
      <c r="T1" s="9" t="s">
        <v>306</v>
      </c>
      <c r="U1" s="9" t="s">
        <v>320</v>
      </c>
      <c r="V1" s="9" t="s">
        <v>321</v>
      </c>
      <c r="W1" s="9" t="s">
        <v>307</v>
      </c>
      <c r="X1" s="5" t="s">
        <v>22</v>
      </c>
      <c r="Y1" s="9" t="s">
        <v>23</v>
      </c>
      <c r="Z1" s="9"/>
      <c r="AA1" s="10"/>
    </row>
    <row r="2" spans="1:27" ht="27" customHeight="1" x14ac:dyDescent="0.3">
      <c r="A2" s="64" t="s">
        <v>266</v>
      </c>
      <c r="B2" s="59">
        <v>3</v>
      </c>
      <c r="C2" s="60"/>
      <c r="D2" s="65" t="s">
        <v>316</v>
      </c>
      <c r="E2" s="66" t="str">
        <f>INDEX(TestMatrixNames,CurrentIndex)</f>
        <v>Case3</v>
      </c>
      <c r="F2" s="94" t="s">
        <v>317</v>
      </c>
      <c r="G2" s="66" t="str">
        <f>INDEX(TestMatrixTitles,CurrentIndex)</f>
        <v>Case3 (Pump1 och 2, VVX-1 och -2, P1 stoppar, instrypn vid VVX ca 2x55 kg/s)</v>
      </c>
      <c r="H2" s="61"/>
      <c r="I2" s="61"/>
      <c r="J2" s="62"/>
      <c r="K2" s="58"/>
      <c r="L2" s="58"/>
      <c r="M2" s="59"/>
      <c r="N2" s="59"/>
      <c r="O2" s="59"/>
      <c r="P2" s="59"/>
      <c r="Q2" s="63"/>
      <c r="R2" s="60"/>
      <c r="S2" s="61"/>
      <c r="T2" s="61"/>
      <c r="U2" s="61"/>
      <c r="V2" s="61"/>
      <c r="W2" s="58"/>
      <c r="X2" s="61"/>
      <c r="Y2" s="61"/>
      <c r="Z2" s="58"/>
      <c r="AA2" s="58"/>
    </row>
    <row r="3" spans="1:27" ht="24" x14ac:dyDescent="0.4">
      <c r="A3" s="18" t="s">
        <v>421</v>
      </c>
      <c r="J3" s="16"/>
      <c r="R3" s="13"/>
    </row>
    <row r="4" spans="1:27" ht="18.75" x14ac:dyDescent="0.3">
      <c r="A4" s="38" t="s">
        <v>293</v>
      </c>
      <c r="B4" s="106" t="str">
        <f>HYPERLINK(INDEX(TestMatrixFilenames,CurrentIndex))</f>
        <v>Case3\Case3.i</v>
      </c>
      <c r="E4" s="112" t="str">
        <f>CONCATENATE("Create ","""",B4,"""")</f>
        <v>Create "Case3\Case3.i"</v>
      </c>
      <c r="R4" s="13"/>
    </row>
    <row r="5" spans="1:27" x14ac:dyDescent="0.25">
      <c r="A5" s="26" t="s">
        <v>24</v>
      </c>
      <c r="B5" s="12" t="str">
        <f>INDEX(TestMatrixNames,CurrentIndex)</f>
        <v>Case3</v>
      </c>
      <c r="G5" s="23"/>
      <c r="H5" s="23"/>
      <c r="I5" s="23"/>
      <c r="J5" s="102"/>
      <c r="K5" s="24"/>
      <c r="L5" s="24"/>
      <c r="M5" s="20"/>
      <c r="N5" s="20"/>
      <c r="O5" s="20"/>
      <c r="P5" s="20"/>
      <c r="Q5" s="25"/>
      <c r="R5" s="21"/>
      <c r="S5" s="23"/>
      <c r="T5" s="23"/>
      <c r="U5" s="23"/>
      <c r="V5" s="23"/>
      <c r="W5" s="19"/>
    </row>
    <row r="6" spans="1:27" x14ac:dyDescent="0.25">
      <c r="A6" s="26" t="s">
        <v>25</v>
      </c>
      <c r="B6" s="102" t="str">
        <f>HYPERLINK("include\")</f>
        <v>include\</v>
      </c>
      <c r="G6" s="23"/>
      <c r="H6" s="23"/>
      <c r="I6" s="23"/>
      <c r="J6" s="24"/>
      <c r="K6" s="24"/>
      <c r="L6" s="24"/>
      <c r="M6" s="20"/>
      <c r="N6" s="20"/>
      <c r="O6" s="20"/>
      <c r="P6" s="20"/>
      <c r="Q6" s="25"/>
      <c r="R6" s="21"/>
      <c r="S6" s="23"/>
      <c r="T6" s="23"/>
      <c r="U6" s="23"/>
      <c r="V6" s="23"/>
      <c r="W6" s="19"/>
    </row>
    <row r="7" spans="1:27" x14ac:dyDescent="0.25">
      <c r="A7" s="11" t="s">
        <v>313</v>
      </c>
      <c r="D7" s="13" t="s">
        <v>314</v>
      </c>
      <c r="R7" s="13"/>
      <c r="T7" s="23"/>
      <c r="U7" s="23"/>
      <c r="V7" s="23"/>
      <c r="W7" s="27"/>
    </row>
    <row r="8" spans="1:27" x14ac:dyDescent="0.25">
      <c r="A8" s="26" t="s">
        <v>27</v>
      </c>
      <c r="B8" s="12">
        <v>100</v>
      </c>
      <c r="C8" s="12">
        <v>1</v>
      </c>
      <c r="D8" s="96">
        <v>113.38</v>
      </c>
      <c r="E8" s="14" t="s">
        <v>325</v>
      </c>
      <c r="F8" s="15" t="str">
        <f>INDEX(TestMatrixVariableValues,CurrentIndex,MATCH("FluidType",TestMatrixVariableNames,0))</f>
        <v>h2o</v>
      </c>
      <c r="R8" s="13"/>
      <c r="T8" s="23"/>
      <c r="U8" s="23"/>
      <c r="V8" s="23"/>
    </row>
    <row r="9" spans="1:27" x14ac:dyDescent="0.25">
      <c r="A9" s="26" t="s">
        <v>267</v>
      </c>
      <c r="B9" s="90">
        <v>4.5000000000000003E-5</v>
      </c>
      <c r="C9" s="12" t="s">
        <v>268</v>
      </c>
      <c r="R9" s="13"/>
      <c r="T9" s="23"/>
      <c r="U9" s="23"/>
      <c r="V9" s="23"/>
    </row>
    <row r="10" spans="1:27" x14ac:dyDescent="0.25">
      <c r="A10" s="28" t="s">
        <v>29</v>
      </c>
      <c r="B10" s="23">
        <v>0.2</v>
      </c>
      <c r="C10" s="21" t="s">
        <v>268</v>
      </c>
      <c r="D10" s="21"/>
      <c r="E10" s="22"/>
      <c r="F10" s="23"/>
      <c r="R10" s="13"/>
      <c r="T10" s="23"/>
      <c r="U10" s="23"/>
      <c r="V10" s="23"/>
    </row>
    <row r="11" spans="1:27" x14ac:dyDescent="0.25">
      <c r="A11" s="26" t="s">
        <v>30</v>
      </c>
      <c r="B11" s="12">
        <v>200</v>
      </c>
      <c r="D11" s="13" t="s">
        <v>310</v>
      </c>
      <c r="G11" s="23"/>
      <c r="H11" s="23"/>
      <c r="I11" s="23"/>
      <c r="J11" s="24"/>
      <c r="K11" s="24"/>
      <c r="L11" s="24"/>
      <c r="M11" s="20"/>
      <c r="N11" s="20"/>
      <c r="O11" s="20"/>
      <c r="P11" s="20"/>
      <c r="Q11" s="25"/>
      <c r="R11" s="21"/>
      <c r="S11" s="23"/>
      <c r="T11" s="23"/>
      <c r="U11" s="23"/>
      <c r="V11" s="23"/>
    </row>
    <row r="12" spans="1:27" x14ac:dyDescent="0.25">
      <c r="A12" s="26" t="s">
        <v>31</v>
      </c>
      <c r="B12" s="12">
        <v>9999</v>
      </c>
      <c r="D12" s="13" t="s">
        <v>311</v>
      </c>
      <c r="R12" s="13"/>
      <c r="T12" s="23"/>
      <c r="U12" s="23"/>
      <c r="V12" s="23"/>
    </row>
    <row r="13" spans="1:27" x14ac:dyDescent="0.25">
      <c r="A13" s="26" t="s">
        <v>32</v>
      </c>
      <c r="B13" s="12">
        <v>0</v>
      </c>
      <c r="D13" s="13" t="s">
        <v>291</v>
      </c>
      <c r="R13" s="13"/>
      <c r="T13" s="23"/>
      <c r="U13" s="23"/>
      <c r="V13" s="23"/>
    </row>
    <row r="14" spans="1:27" x14ac:dyDescent="0.25">
      <c r="A14" s="28" t="s">
        <v>33</v>
      </c>
      <c r="B14" s="20">
        <v>2</v>
      </c>
      <c r="C14" s="21"/>
      <c r="D14" s="21" t="s">
        <v>292</v>
      </c>
      <c r="E14" s="22"/>
      <c r="F14" s="23"/>
      <c r="R14" s="13"/>
      <c r="T14" s="23"/>
      <c r="U14" s="23"/>
      <c r="V14" s="23"/>
    </row>
    <row r="15" spans="1:27" x14ac:dyDescent="0.25">
      <c r="A15" s="29" t="s">
        <v>289</v>
      </c>
      <c r="B15" s="30">
        <v>1</v>
      </c>
      <c r="C15" s="31"/>
      <c r="D15" s="31" t="s">
        <v>290</v>
      </c>
      <c r="E15" s="32"/>
      <c r="F15" s="33"/>
      <c r="G15" s="33"/>
      <c r="H15" s="33"/>
      <c r="I15" s="33"/>
      <c r="J15" s="34"/>
      <c r="K15" s="34"/>
      <c r="L15" s="34"/>
      <c r="M15" s="30"/>
      <c r="N15" s="30"/>
      <c r="O15" s="30"/>
      <c r="P15" s="30"/>
      <c r="Q15" s="35"/>
      <c r="R15" s="31"/>
      <c r="S15" s="33"/>
      <c r="T15" s="33"/>
      <c r="U15" s="33"/>
      <c r="V15" s="33"/>
    </row>
    <row r="16" spans="1:27" x14ac:dyDescent="0.25">
      <c r="A16" s="42"/>
      <c r="C16" s="21"/>
      <c r="D16" s="21"/>
      <c r="E16" s="22"/>
      <c r="F16" s="23"/>
      <c r="G16" s="23"/>
      <c r="H16" s="23"/>
      <c r="I16" s="23"/>
      <c r="J16" s="24"/>
      <c r="K16" s="24"/>
      <c r="L16" s="24"/>
      <c r="M16" s="20"/>
      <c r="N16" s="20"/>
      <c r="O16" s="20"/>
      <c r="P16" s="20"/>
      <c r="Q16" s="25"/>
      <c r="R16" s="21"/>
      <c r="S16" s="23"/>
      <c r="T16" s="23"/>
      <c r="U16" s="23"/>
      <c r="V16" s="23"/>
    </row>
    <row r="17" spans="1:22" x14ac:dyDescent="0.25">
      <c r="A17" s="42"/>
      <c r="B17" s="37"/>
      <c r="C17" s="55"/>
      <c r="D17" s="56"/>
      <c r="E17" s="57"/>
      <c r="F17" s="23"/>
      <c r="G17" s="23"/>
      <c r="H17" s="23"/>
      <c r="I17" s="23"/>
      <c r="J17" s="24"/>
      <c r="K17" s="24"/>
      <c r="L17" s="24"/>
      <c r="M17" s="20"/>
      <c r="N17" s="20"/>
      <c r="O17" s="20"/>
      <c r="P17" s="20"/>
      <c r="Q17" s="25"/>
      <c r="R17" s="21"/>
      <c r="S17" s="23"/>
      <c r="T17" s="23"/>
      <c r="U17" s="23"/>
      <c r="V17" s="23"/>
    </row>
    <row r="18" spans="1:22" x14ac:dyDescent="0.25">
      <c r="A18" s="54" t="str">
        <f>IF(B18=0,"","Timestep")</f>
        <v>Timestep</v>
      </c>
      <c r="B18" s="43">
        <f>INDEX(TestMatrixVariableValues, CurrentIndex,MATCH("t1",TestMatrixVariableNames,0))</f>
        <v>20</v>
      </c>
      <c r="C18" s="95">
        <f>INDEX(TestMatrixVariableValues, CurrentIndex,MATCH("dt1",TestMatrixVariableNames,0))</f>
        <v>0.01</v>
      </c>
      <c r="D18" s="20">
        <f>INDEX(TestMatrixVariableValues, CurrentIndex,MATCH("pf1",TestMatrixVariableNames,0))</f>
        <v>10</v>
      </c>
      <c r="E18" s="20">
        <v>25000</v>
      </c>
      <c r="F18" s="23"/>
      <c r="G18" s="23"/>
      <c r="H18" s="23"/>
      <c r="I18" s="23"/>
      <c r="J18" s="24"/>
      <c r="K18" s="24"/>
      <c r="L18" s="24"/>
      <c r="M18" s="20"/>
      <c r="N18" s="20"/>
      <c r="O18" s="20"/>
      <c r="P18" s="20"/>
      <c r="Q18" s="25"/>
      <c r="R18" s="21"/>
      <c r="S18" s="23"/>
      <c r="T18" s="23"/>
      <c r="U18" s="23"/>
      <c r="V18" s="23"/>
    </row>
    <row r="19" spans="1:22" x14ac:dyDescent="0.25">
      <c r="A19" s="54" t="str">
        <f t="shared" ref="A19:A22" si="0">IF(B19=0,"","Timestep")</f>
        <v>Timestep</v>
      </c>
      <c r="B19" s="43">
        <f>INDEX(TestMatrixVariableValues, CurrentIndex,MATCH("t2",TestMatrixVariableNames,0))</f>
        <v>25</v>
      </c>
      <c r="C19" s="95">
        <f>INDEX(TestMatrixVariableValues, CurrentIndex,MATCH("dt2",TestMatrixVariableNames,0))</f>
        <v>1E-3</v>
      </c>
      <c r="D19" s="20">
        <f>INDEX(TestMatrixVariableValues, CurrentIndex,MATCH("pf2",TestMatrixVariableNames,0))</f>
        <v>10</v>
      </c>
      <c r="E19" s="20">
        <v>25000</v>
      </c>
      <c r="F19" s="23"/>
      <c r="G19" s="23"/>
      <c r="H19" s="23"/>
      <c r="I19" s="23"/>
      <c r="J19" s="24"/>
      <c r="K19" s="24"/>
      <c r="L19" s="24"/>
      <c r="M19" s="20"/>
      <c r="N19" s="20"/>
      <c r="O19" s="20"/>
      <c r="P19" s="20"/>
      <c r="Q19" s="25"/>
      <c r="R19" s="21"/>
      <c r="S19" s="23"/>
      <c r="T19" s="23"/>
      <c r="U19" s="23"/>
      <c r="V19" s="23"/>
    </row>
    <row r="20" spans="1:22" x14ac:dyDescent="0.25">
      <c r="A20" s="54" t="str">
        <f t="shared" si="0"/>
        <v>Timestep</v>
      </c>
      <c r="B20" s="43">
        <f>INDEX(TestMatrixVariableValues, CurrentIndex,MATCH("t3",TestMatrixVariableNames,0))</f>
        <v>26</v>
      </c>
      <c r="C20" s="95">
        <f>INDEX(TestMatrixVariableValues, CurrentIndex,MATCH("dt3",TestMatrixVariableNames,0))</f>
        <v>1E-3</v>
      </c>
      <c r="D20" s="20">
        <f>INDEX(TestMatrixVariableValues, CurrentIndex,MATCH("pf3",TestMatrixVariableNames,0))</f>
        <v>10</v>
      </c>
      <c r="E20" s="20">
        <v>25000</v>
      </c>
      <c r="F20" s="23"/>
      <c r="G20" s="23"/>
      <c r="H20" s="23"/>
      <c r="I20" s="23"/>
      <c r="J20" s="24"/>
      <c r="K20" s="24"/>
      <c r="L20" s="24"/>
      <c r="M20" s="20"/>
      <c r="N20" s="20"/>
      <c r="O20" s="20"/>
      <c r="P20" s="20"/>
      <c r="Q20" s="25"/>
      <c r="R20" s="21"/>
      <c r="S20" s="23"/>
      <c r="T20" s="23"/>
      <c r="U20" s="23"/>
      <c r="V20" s="23"/>
    </row>
    <row r="21" spans="1:22" x14ac:dyDescent="0.25">
      <c r="A21" s="54" t="str">
        <f t="shared" si="0"/>
        <v/>
      </c>
      <c r="B21" s="43">
        <f>INDEX(TestMatrixVariableValues, CurrentIndex,MATCH("t4",TestMatrixVariableNames,0))</f>
        <v>0</v>
      </c>
      <c r="C21" s="95">
        <f>INDEX(TestMatrixVariableValues, CurrentIndex,MATCH("dt4",TestMatrixVariableNames,0))</f>
        <v>0.02</v>
      </c>
      <c r="D21" s="20">
        <f>INDEX(TestMatrixVariableValues, CurrentIndex,MATCH("pf4",TestMatrixVariableNames,0))</f>
        <v>50</v>
      </c>
      <c r="E21" s="20">
        <v>25000</v>
      </c>
      <c r="F21" s="23"/>
      <c r="G21" s="23"/>
      <c r="H21" s="23"/>
      <c r="I21" s="23"/>
      <c r="J21" s="24"/>
      <c r="K21" s="24"/>
      <c r="L21" s="24"/>
      <c r="M21" s="20"/>
      <c r="N21" s="20"/>
      <c r="O21" s="20"/>
      <c r="P21" s="20"/>
      <c r="Q21" s="25"/>
      <c r="R21" s="21"/>
      <c r="S21" s="23"/>
      <c r="T21" s="23"/>
      <c r="U21" s="23"/>
      <c r="V21" s="23"/>
    </row>
    <row r="22" spans="1:22" x14ac:dyDescent="0.25">
      <c r="A22" s="54" t="str">
        <f t="shared" si="0"/>
        <v/>
      </c>
      <c r="B22" s="43">
        <f>INDEX(TestMatrixVariableValues, CurrentIndex,MATCH("t5",TestMatrixVariableNames,0))</f>
        <v>0</v>
      </c>
      <c r="C22" s="95">
        <f>INDEX(TestMatrixVariableValues, CurrentIndex,MATCH("dt5",TestMatrixVariableNames,0))</f>
        <v>0.02</v>
      </c>
      <c r="D22" s="20">
        <f>INDEX(TestMatrixVariableValues, CurrentIndex,MATCH("pf5",TestMatrixVariableNames,0))</f>
        <v>50</v>
      </c>
      <c r="E22" s="20">
        <v>25000</v>
      </c>
      <c r="F22" s="23"/>
      <c r="G22" s="23"/>
      <c r="H22" s="23"/>
      <c r="I22" s="23"/>
      <c r="J22" s="24"/>
      <c r="K22" s="24"/>
      <c r="L22" s="24"/>
      <c r="M22" s="20"/>
      <c r="N22" s="20"/>
      <c r="O22" s="20"/>
      <c r="P22" s="20"/>
      <c r="Q22" s="25"/>
      <c r="R22" s="21"/>
      <c r="S22" s="23"/>
      <c r="T22" s="23"/>
      <c r="U22" s="23"/>
      <c r="V22" s="23"/>
    </row>
    <row r="23" spans="1:22" x14ac:dyDescent="0.25">
      <c r="A23" s="67"/>
      <c r="B23" s="68"/>
      <c r="C23" s="35"/>
      <c r="D23" s="30"/>
      <c r="E23" s="30"/>
      <c r="F23" s="33"/>
      <c r="G23" s="33"/>
      <c r="H23" s="33"/>
      <c r="I23" s="33"/>
      <c r="J23" s="34"/>
      <c r="K23" s="34"/>
      <c r="L23" s="34"/>
      <c r="M23" s="30"/>
      <c r="N23" s="30"/>
      <c r="O23" s="30"/>
      <c r="P23" s="30"/>
      <c r="Q23" s="35"/>
      <c r="R23" s="31"/>
      <c r="S23" s="33"/>
      <c r="T23" s="33"/>
      <c r="U23" s="33"/>
      <c r="V23" s="33"/>
    </row>
    <row r="24" spans="1:22" x14ac:dyDescent="0.25">
      <c r="R24" s="13"/>
      <c r="U24" s="36"/>
      <c r="V24" s="36"/>
    </row>
    <row r="25" spans="1:22" x14ac:dyDescent="0.25">
      <c r="A25" s="26"/>
      <c r="R25" s="13"/>
      <c r="U25" s="36"/>
      <c r="V25" s="36"/>
    </row>
    <row r="26" spans="1:22" x14ac:dyDescent="0.25">
      <c r="A26" s="117"/>
      <c r="R26" s="13"/>
      <c r="U26" s="36"/>
      <c r="V26" s="36"/>
    </row>
    <row r="27" spans="1:22" x14ac:dyDescent="0.25">
      <c r="A27" s="117"/>
      <c r="B27" s="15"/>
      <c r="R27" s="13"/>
      <c r="U27" s="36"/>
      <c r="V27" s="36"/>
    </row>
    <row r="28" spans="1:22" x14ac:dyDescent="0.25">
      <c r="A28" s="117"/>
      <c r="B28" s="15"/>
      <c r="R28" s="13"/>
      <c r="U28" s="36"/>
      <c r="V28" s="36"/>
    </row>
    <row r="29" spans="1:22" x14ac:dyDescent="0.25">
      <c r="A29" s="117"/>
      <c r="R29" s="13"/>
      <c r="U29" s="36"/>
      <c r="V29" s="36"/>
    </row>
    <row r="30" spans="1:22" x14ac:dyDescent="0.25">
      <c r="A30" s="117" t="s">
        <v>339</v>
      </c>
      <c r="R30" s="13"/>
      <c r="U30" s="36"/>
      <c r="V30" s="36"/>
    </row>
    <row r="31" spans="1:22" x14ac:dyDescent="0.25">
      <c r="A31" s="117" t="s">
        <v>340</v>
      </c>
      <c r="B31" s="15">
        <f>INDEX(TestMatrixVariableValues, CurrentIndex,MATCH("P1_START",TestMatrixVariableNames,0))</f>
        <v>10</v>
      </c>
      <c r="C31" s="13" t="s">
        <v>341</v>
      </c>
      <c r="R31" s="13"/>
      <c r="U31" s="36"/>
      <c r="V31" s="36"/>
    </row>
    <row r="32" spans="1:22" x14ac:dyDescent="0.25">
      <c r="A32" s="117" t="s">
        <v>342</v>
      </c>
      <c r="B32" s="15">
        <f>INDEX(TestMatrixVariableValues, CurrentIndex,MATCH("P1_STOP",TestMatrixVariableNames,0))</f>
        <v>20</v>
      </c>
      <c r="C32" s="13" t="s">
        <v>341</v>
      </c>
      <c r="R32" s="13"/>
      <c r="U32" s="36"/>
      <c r="V32" s="36"/>
    </row>
    <row r="33" spans="1:22" x14ac:dyDescent="0.25">
      <c r="A33" s="117"/>
      <c r="R33" s="13"/>
      <c r="U33" s="36"/>
      <c r="V33" s="36"/>
    </row>
    <row r="34" spans="1:22" x14ac:dyDescent="0.25">
      <c r="A34" s="117" t="s">
        <v>343</v>
      </c>
      <c r="R34" s="13"/>
      <c r="U34" s="36"/>
      <c r="V34" s="36"/>
    </row>
    <row r="35" spans="1:22" x14ac:dyDescent="0.25">
      <c r="A35" s="117" t="s">
        <v>340</v>
      </c>
      <c r="B35" s="15">
        <f>INDEX(TestMatrixVariableValues, CurrentIndex,MATCH("P2_START",TestMatrixVariableNames,0))</f>
        <v>10</v>
      </c>
      <c r="C35" s="13" t="s">
        <v>341</v>
      </c>
      <c r="R35" s="13"/>
      <c r="U35" s="36"/>
      <c r="V35" s="36"/>
    </row>
    <row r="36" spans="1:22" x14ac:dyDescent="0.25">
      <c r="A36" s="117" t="s">
        <v>342</v>
      </c>
      <c r="B36" s="15">
        <f>INDEX(TestMatrixVariableValues, CurrentIndex,MATCH("P2_STOP",TestMatrixVariableNames,0))</f>
        <v>9999</v>
      </c>
      <c r="C36" s="13" t="s">
        <v>341</v>
      </c>
      <c r="R36" s="13"/>
      <c r="U36" s="36"/>
      <c r="V36" s="36"/>
    </row>
    <row r="37" spans="1:22" x14ac:dyDescent="0.25">
      <c r="A37" s="117"/>
      <c r="R37" s="13"/>
      <c r="U37" s="36"/>
      <c r="V37" s="36"/>
    </row>
    <row r="38" spans="1:22" x14ac:dyDescent="0.25">
      <c r="A38" s="130" t="s">
        <v>344</v>
      </c>
      <c r="R38" s="13"/>
      <c r="U38" s="36"/>
      <c r="V38" s="36"/>
    </row>
    <row r="39" spans="1:22" x14ac:dyDescent="0.25">
      <c r="A39" s="117" t="s">
        <v>345</v>
      </c>
      <c r="B39" s="12">
        <f>INDEX(TestMatrixVariableValues, CurrentIndex,MATCH("VVX1",TestMatrixVariableNames,0))</f>
        <v>1</v>
      </c>
      <c r="R39" s="13"/>
      <c r="U39" s="36"/>
      <c r="V39" s="36"/>
    </row>
    <row r="40" spans="1:22" x14ac:dyDescent="0.25">
      <c r="A40" s="117"/>
      <c r="R40" s="13"/>
      <c r="U40" s="36"/>
      <c r="V40" s="36"/>
    </row>
    <row r="41" spans="1:22" x14ac:dyDescent="0.25">
      <c r="A41" s="117" t="s">
        <v>346</v>
      </c>
      <c r="R41" s="13"/>
      <c r="U41" s="36"/>
      <c r="V41" s="36"/>
    </row>
    <row r="42" spans="1:22" x14ac:dyDescent="0.25">
      <c r="A42" s="129" t="s">
        <v>347</v>
      </c>
      <c r="B42" s="12">
        <f>INDEX(TestMatrixVariableValues, CurrentIndex,MATCH("VVX2",TestMatrixVariableNames,0))</f>
        <v>1</v>
      </c>
      <c r="R42" s="13"/>
      <c r="U42" s="36"/>
      <c r="V42" s="36"/>
    </row>
    <row r="43" spans="1:22" x14ac:dyDescent="0.25">
      <c r="A43" s="117"/>
      <c r="B43" s="15"/>
      <c r="R43" s="13"/>
      <c r="U43" s="36"/>
      <c r="V43" s="36"/>
    </row>
    <row r="44" spans="1:22" x14ac:dyDescent="0.25">
      <c r="A44" s="117"/>
      <c r="R44" s="13"/>
      <c r="U44" s="36"/>
      <c r="V44" s="36"/>
    </row>
    <row r="45" spans="1:22" x14ac:dyDescent="0.25">
      <c r="A45" s="117" t="s">
        <v>348</v>
      </c>
      <c r="R45" s="13"/>
      <c r="U45" s="36"/>
      <c r="V45" s="36"/>
    </row>
    <row r="46" spans="1:22" x14ac:dyDescent="0.25">
      <c r="A46" s="117" t="s">
        <v>349</v>
      </c>
      <c r="B46" s="12">
        <v>25</v>
      </c>
      <c r="C46" s="13" t="s">
        <v>324</v>
      </c>
      <c r="R46" s="13"/>
      <c r="U46" s="36"/>
      <c r="V46" s="36"/>
    </row>
    <row r="47" spans="1:22" x14ac:dyDescent="0.25">
      <c r="A47" s="117" t="s">
        <v>350</v>
      </c>
      <c r="B47" s="12">
        <v>120</v>
      </c>
      <c r="C47" s="13" t="s">
        <v>268</v>
      </c>
      <c r="R47" s="13"/>
      <c r="U47" s="36"/>
      <c r="V47" s="36"/>
    </row>
    <row r="48" spans="1:22" x14ac:dyDescent="0.25">
      <c r="A48" s="117" t="s">
        <v>410</v>
      </c>
      <c r="B48" s="15">
        <f>rho_pT(1,B46)</f>
        <v>997.04743540809625</v>
      </c>
      <c r="C48" s="13" t="s">
        <v>411</v>
      </c>
      <c r="R48" s="13"/>
      <c r="U48" s="36"/>
      <c r="V48" s="36"/>
    </row>
    <row r="49" spans="1:22" x14ac:dyDescent="0.25">
      <c r="A49" s="11" t="s">
        <v>351</v>
      </c>
      <c r="R49" s="13"/>
      <c r="U49" s="36"/>
      <c r="V49" s="36"/>
    </row>
    <row r="50" spans="1:22" x14ac:dyDescent="0.25">
      <c r="A50" s="119" t="s">
        <v>352</v>
      </c>
      <c r="B50" s="138">
        <f>INDEX(TestMatrixVariableValues, CurrentIndex,MATCH("V8754A",TestMatrixVariableNames,0))</f>
        <v>0.75</v>
      </c>
      <c r="R50" s="13"/>
      <c r="U50" s="36"/>
      <c r="V50" s="36"/>
    </row>
    <row r="51" spans="1:22" x14ac:dyDescent="0.25">
      <c r="A51" s="119" t="s">
        <v>353</v>
      </c>
      <c r="B51" s="138">
        <f>INDEX(TestMatrixVariableValues, CurrentIndex,MATCH("V8754B",TestMatrixVariableNames,0))</f>
        <v>0.75</v>
      </c>
      <c r="R51" s="13"/>
      <c r="U51" s="36"/>
      <c r="V51" s="36"/>
    </row>
    <row r="52" spans="1:22" x14ac:dyDescent="0.25">
      <c r="A52" s="119" t="s">
        <v>354</v>
      </c>
      <c r="B52" s="138">
        <f>INDEX(TestMatrixVariableValues, CurrentIndex,MATCH("V8751",TestMatrixVariableNames,0))</f>
        <v>7.4999999999999997E-2</v>
      </c>
      <c r="R52" s="13"/>
      <c r="U52" s="36"/>
      <c r="V52" s="36"/>
    </row>
    <row r="53" spans="1:22" x14ac:dyDescent="0.25">
      <c r="A53" s="119" t="s">
        <v>355</v>
      </c>
      <c r="B53" s="138">
        <f>INDEX(TestMatrixVariableValues, CurrentIndex,MATCH("V8792",TestMatrixVariableNames,0))</f>
        <v>7.4999999999999997E-2</v>
      </c>
      <c r="R53" s="13"/>
      <c r="U53" s="36"/>
      <c r="V53" s="36"/>
    </row>
    <row r="54" spans="1:22" x14ac:dyDescent="0.25">
      <c r="A54" s="119"/>
      <c r="R54" s="13"/>
      <c r="U54" s="36"/>
      <c r="V54" s="36"/>
    </row>
    <row r="55" spans="1:22" x14ac:dyDescent="0.25">
      <c r="A55" s="119"/>
      <c r="R55" s="13"/>
      <c r="U55" s="36"/>
      <c r="V55" s="36"/>
    </row>
    <row r="56" spans="1:22" x14ac:dyDescent="0.25">
      <c r="A56" s="119"/>
      <c r="R56" s="13"/>
      <c r="U56" s="36"/>
      <c r="V56" s="36"/>
    </row>
    <row r="57" spans="1:22" x14ac:dyDescent="0.25">
      <c r="A57" s="131"/>
      <c r="B57" s="105"/>
      <c r="C57" s="132"/>
      <c r="D57" s="132"/>
      <c r="E57" s="133"/>
      <c r="F57" s="134"/>
      <c r="G57" s="134"/>
      <c r="H57" s="134"/>
      <c r="I57" s="134"/>
      <c r="J57" s="104"/>
      <c r="K57" s="104"/>
      <c r="L57" s="104"/>
      <c r="M57" s="105"/>
      <c r="N57" s="105"/>
      <c r="O57" s="105"/>
      <c r="P57" s="105"/>
      <c r="Q57" s="135"/>
      <c r="R57" s="132"/>
      <c r="S57" s="134"/>
      <c r="T57" s="134"/>
      <c r="U57" s="136"/>
      <c r="V57" s="136"/>
    </row>
    <row r="58" spans="1:22" x14ac:dyDescent="0.25">
      <c r="A58" s="131" t="s">
        <v>42</v>
      </c>
      <c r="B58" s="105" t="str">
        <f>brackedExpression("P1_STARTTIME",B31,"P2_STARTTIME",B35,"P1_TRIPTIME",B32,"P2_TRIPTIME",B36)</f>
        <v>[P1_STARTTIME;10.00;P2_STARTTIME;10.00;P1_TRIPTIME;20.00;P2_TRIPTIME;9999.00]</v>
      </c>
      <c r="C58" s="132"/>
      <c r="D58" s="132"/>
      <c r="E58" s="133"/>
      <c r="F58" s="134"/>
      <c r="G58" s="134"/>
      <c r="H58" s="134"/>
      <c r="I58" s="134"/>
      <c r="J58" s="104"/>
      <c r="K58" s="104"/>
      <c r="L58" s="104"/>
      <c r="M58" s="105"/>
      <c r="N58" s="105"/>
      <c r="O58" s="105"/>
      <c r="P58" s="105"/>
      <c r="Q58" s="135"/>
      <c r="R58" s="132"/>
      <c r="S58" s="134"/>
      <c r="T58" s="134"/>
      <c r="U58" s="136"/>
      <c r="V58" s="136"/>
    </row>
    <row r="59" spans="1:22" x14ac:dyDescent="0.25">
      <c r="A59" s="131"/>
      <c r="B59" s="105"/>
      <c r="C59" s="132"/>
      <c r="D59" s="132"/>
      <c r="E59" s="133"/>
      <c r="F59" s="134"/>
      <c r="G59" s="134"/>
      <c r="H59" s="134"/>
      <c r="I59" s="134"/>
      <c r="J59" s="104"/>
      <c r="K59" s="104"/>
      <c r="L59" s="104"/>
      <c r="M59" s="105"/>
      <c r="N59" s="105"/>
      <c r="O59" s="105"/>
      <c r="P59" s="105"/>
      <c r="Q59" s="135"/>
      <c r="R59" s="132"/>
      <c r="S59" s="134"/>
      <c r="T59" s="134"/>
      <c r="U59" s="136"/>
      <c r="V59" s="136"/>
    </row>
    <row r="60" spans="1:22" x14ac:dyDescent="0.25">
      <c r="A60" s="131"/>
      <c r="B60" s="105"/>
      <c r="C60" s="132"/>
      <c r="D60" s="132"/>
      <c r="E60" s="133"/>
      <c r="F60" s="134"/>
      <c r="G60" s="134"/>
      <c r="H60" s="134"/>
      <c r="I60" s="134"/>
      <c r="J60" s="104"/>
      <c r="K60" s="104"/>
      <c r="L60" s="104"/>
      <c r="M60" s="105"/>
      <c r="N60" s="105"/>
      <c r="O60" s="105"/>
      <c r="P60" s="105"/>
      <c r="Q60" s="135"/>
      <c r="R60" s="132"/>
      <c r="S60" s="134"/>
      <c r="T60" s="134"/>
      <c r="U60" s="136"/>
      <c r="V60" s="136"/>
    </row>
    <row r="61" spans="1:22" x14ac:dyDescent="0.25">
      <c r="A61" s="131"/>
      <c r="B61" s="105"/>
      <c r="C61" s="132"/>
      <c r="D61" s="132"/>
      <c r="E61" s="133"/>
      <c r="F61" s="134"/>
      <c r="G61" s="134"/>
      <c r="H61" s="134"/>
      <c r="I61" s="134"/>
      <c r="J61" s="104"/>
      <c r="K61" s="104"/>
      <c r="L61" s="104"/>
      <c r="M61" s="105"/>
      <c r="N61" s="105"/>
      <c r="O61" s="105"/>
      <c r="P61" s="105"/>
      <c r="Q61" s="135"/>
      <c r="R61" s="132"/>
      <c r="S61" s="134"/>
      <c r="T61" s="134"/>
      <c r="U61" s="136"/>
      <c r="V61" s="136"/>
    </row>
    <row r="62" spans="1:22" x14ac:dyDescent="0.25">
      <c r="A62" s="131" t="s">
        <v>34</v>
      </c>
      <c r="B62" s="105" t="s">
        <v>356</v>
      </c>
      <c r="C62" s="132"/>
      <c r="D62" s="132"/>
      <c r="E62" s="133"/>
      <c r="F62" s="134"/>
      <c r="G62" s="134"/>
      <c r="H62" s="134"/>
      <c r="I62" s="134"/>
      <c r="J62" s="104"/>
      <c r="K62" s="104"/>
      <c r="L62" s="104"/>
      <c r="M62" s="105"/>
      <c r="N62" s="105"/>
      <c r="O62" s="105"/>
      <c r="P62" s="105"/>
      <c r="Q62" s="135"/>
      <c r="R62" s="132"/>
      <c r="S62" s="134"/>
      <c r="T62" s="134"/>
      <c r="U62" s="136"/>
      <c r="V62" s="136"/>
    </row>
    <row r="63" spans="1:22" x14ac:dyDescent="0.25">
      <c r="A63" s="131"/>
      <c r="B63" s="105"/>
      <c r="C63" s="132"/>
      <c r="D63" s="132"/>
      <c r="E63" s="133"/>
      <c r="F63" s="134"/>
      <c r="G63" s="134"/>
      <c r="H63" s="134"/>
      <c r="I63" s="134"/>
      <c r="J63" s="104"/>
      <c r="K63" s="104"/>
      <c r="L63" s="104"/>
      <c r="M63" s="105"/>
      <c r="N63" s="105"/>
      <c r="O63" s="105"/>
      <c r="P63" s="105"/>
      <c r="Q63" s="135"/>
      <c r="R63" s="132"/>
      <c r="S63" s="134"/>
      <c r="T63" s="134"/>
      <c r="U63" s="136"/>
      <c r="V63" s="136"/>
    </row>
    <row r="64" spans="1:22" x14ac:dyDescent="0.25">
      <c r="A64" s="131"/>
      <c r="B64" s="105"/>
      <c r="C64" s="132"/>
      <c r="D64" s="132"/>
      <c r="E64" s="133"/>
      <c r="F64" s="134"/>
      <c r="G64" s="134"/>
      <c r="H64" s="134"/>
      <c r="I64" s="134"/>
      <c r="J64" s="104"/>
      <c r="K64" s="104"/>
      <c r="L64" s="104"/>
      <c r="M64" s="105"/>
      <c r="N64" s="105"/>
      <c r="O64" s="105"/>
      <c r="P64" s="105"/>
      <c r="Q64" s="135"/>
      <c r="R64" s="132"/>
      <c r="S64" s="134"/>
      <c r="T64" s="134"/>
      <c r="U64" s="136"/>
      <c r="V64" s="136"/>
    </row>
    <row r="65" spans="1:22" x14ac:dyDescent="0.25">
      <c r="A65" s="131"/>
      <c r="B65" s="105"/>
      <c r="C65" s="132"/>
      <c r="D65" s="132"/>
      <c r="E65" s="133"/>
      <c r="F65" s="134"/>
      <c r="G65" s="134"/>
      <c r="H65" s="134"/>
      <c r="I65" s="134"/>
      <c r="J65" s="104"/>
      <c r="K65" s="104"/>
      <c r="L65" s="104"/>
      <c r="M65" s="105"/>
      <c r="N65" s="105"/>
      <c r="O65" s="105"/>
      <c r="P65" s="105"/>
      <c r="Q65" s="135"/>
      <c r="R65" s="132"/>
      <c r="S65" s="134"/>
      <c r="T65" s="134"/>
      <c r="U65" s="136"/>
      <c r="V65" s="136"/>
    </row>
    <row r="66" spans="1:22" x14ac:dyDescent="0.25">
      <c r="A66" s="131"/>
      <c r="B66" s="105"/>
      <c r="C66" s="132"/>
      <c r="D66" s="132"/>
      <c r="E66" s="133"/>
      <c r="F66" s="134"/>
      <c r="G66" s="134"/>
      <c r="H66" s="134"/>
      <c r="I66" s="134"/>
      <c r="J66" s="104"/>
      <c r="K66" s="104"/>
      <c r="L66" s="104"/>
      <c r="M66" s="105"/>
      <c r="N66" s="105"/>
      <c r="O66" s="105"/>
      <c r="P66" s="105"/>
      <c r="Q66" s="135"/>
      <c r="R66" s="132"/>
      <c r="S66" s="134"/>
      <c r="T66" s="134"/>
      <c r="U66" s="136"/>
      <c r="V66" s="136"/>
    </row>
    <row r="67" spans="1:22" x14ac:dyDescent="0.25">
      <c r="A67" s="104"/>
      <c r="B67" s="105"/>
      <c r="C67" s="132"/>
      <c r="D67" s="132"/>
      <c r="E67" s="133"/>
      <c r="F67" s="134"/>
      <c r="G67" s="134"/>
      <c r="H67" s="134"/>
      <c r="I67" s="134"/>
      <c r="J67" s="104"/>
      <c r="K67" s="104"/>
      <c r="L67" s="104"/>
      <c r="M67" s="105"/>
      <c r="N67" s="105"/>
      <c r="O67" s="105"/>
      <c r="P67" s="105"/>
      <c r="Q67" s="135"/>
      <c r="R67" s="132"/>
      <c r="S67" s="134"/>
      <c r="T67" s="134"/>
      <c r="U67" s="136"/>
      <c r="V67" s="136"/>
    </row>
    <row r="68" spans="1:22" x14ac:dyDescent="0.25">
      <c r="A68" s="131"/>
      <c r="B68" s="105"/>
      <c r="C68" s="132"/>
      <c r="D68" s="132"/>
      <c r="E68" s="133"/>
      <c r="F68" s="134"/>
      <c r="G68" s="134"/>
      <c r="H68" s="134"/>
      <c r="I68" s="134"/>
      <c r="J68" s="104"/>
      <c r="K68" s="104"/>
      <c r="L68" s="104"/>
      <c r="M68" s="105"/>
      <c r="N68" s="105"/>
      <c r="O68" s="105"/>
      <c r="P68" s="105"/>
      <c r="Q68" s="135"/>
      <c r="R68" s="132"/>
      <c r="S68" s="134"/>
      <c r="T68" s="134"/>
      <c r="U68" s="136"/>
      <c r="V68" s="136"/>
    </row>
    <row r="69" spans="1:22" x14ac:dyDescent="0.25">
      <c r="A69" s="104"/>
      <c r="B69" s="105"/>
      <c r="C69" s="105"/>
      <c r="D69" s="105"/>
      <c r="E69" s="105"/>
      <c r="F69" s="105"/>
      <c r="G69" s="105"/>
      <c r="H69" s="105"/>
      <c r="I69" s="105"/>
      <c r="J69" s="105"/>
      <c r="K69" s="105"/>
      <c r="L69" s="105"/>
      <c r="M69" s="105"/>
      <c r="N69" s="105"/>
      <c r="O69" s="105"/>
      <c r="P69" s="105"/>
      <c r="Q69" s="105"/>
      <c r="R69" s="105"/>
      <c r="S69" s="105"/>
      <c r="T69" s="105"/>
      <c r="U69" s="105"/>
      <c r="V69" s="105"/>
    </row>
    <row r="70" spans="1:22" x14ac:dyDescent="0.25">
      <c r="A70" s="104"/>
      <c r="B70" s="105"/>
      <c r="C70" s="132"/>
      <c r="D70" s="132"/>
      <c r="E70" s="133"/>
      <c r="F70" s="134"/>
      <c r="G70" s="134"/>
      <c r="H70" s="134"/>
      <c r="I70" s="134"/>
      <c r="J70" s="104"/>
      <c r="K70" s="104"/>
      <c r="L70" s="104"/>
      <c r="M70" s="105"/>
      <c r="N70" s="105"/>
      <c r="O70" s="105"/>
      <c r="P70" s="105"/>
      <c r="Q70" s="135"/>
      <c r="R70" s="132"/>
      <c r="S70" s="134"/>
      <c r="T70" s="134"/>
      <c r="U70" s="136"/>
      <c r="V70" s="136"/>
    </row>
    <row r="71" spans="1:22" x14ac:dyDescent="0.25">
      <c r="A71" s="104"/>
      <c r="B71" s="105"/>
      <c r="C71" s="132"/>
      <c r="D71" s="132"/>
      <c r="E71" s="133"/>
      <c r="F71" s="134"/>
      <c r="G71" s="134"/>
      <c r="H71" s="134"/>
      <c r="I71" s="134"/>
      <c r="J71" s="104"/>
      <c r="K71" s="104"/>
      <c r="L71" s="104"/>
      <c r="M71" s="105"/>
      <c r="N71" s="105"/>
      <c r="O71" s="105"/>
      <c r="P71" s="105"/>
      <c r="Q71" s="135"/>
      <c r="R71" s="132"/>
      <c r="S71" s="134"/>
      <c r="T71" s="134"/>
      <c r="U71" s="136"/>
      <c r="V71" s="136"/>
    </row>
    <row r="72" spans="1:22" x14ac:dyDescent="0.25">
      <c r="A72" s="104"/>
      <c r="B72" s="105"/>
      <c r="C72" s="132"/>
      <c r="D72" s="132"/>
      <c r="E72" s="133"/>
      <c r="F72" s="134"/>
      <c r="G72" s="134"/>
      <c r="H72" s="134"/>
      <c r="I72" s="134"/>
      <c r="J72" s="104"/>
      <c r="K72" s="104"/>
      <c r="L72" s="104"/>
      <c r="M72" s="105"/>
      <c r="N72" s="105"/>
      <c r="O72" s="105"/>
      <c r="P72" s="105"/>
      <c r="Q72" s="135"/>
      <c r="R72" s="132"/>
      <c r="S72" s="134"/>
      <c r="T72" s="134"/>
      <c r="U72" s="136"/>
      <c r="V72" s="136"/>
    </row>
    <row r="73" spans="1:22" x14ac:dyDescent="0.25">
      <c r="A73" s="104"/>
      <c r="B73" s="105"/>
      <c r="C73" s="132"/>
      <c r="D73" s="132"/>
      <c r="E73" s="133"/>
      <c r="F73" s="134"/>
      <c r="G73" s="134"/>
      <c r="H73" s="134"/>
      <c r="I73" s="134"/>
      <c r="J73" s="104"/>
      <c r="K73" s="104"/>
      <c r="L73" s="104"/>
      <c r="M73" s="105"/>
      <c r="N73" s="105"/>
      <c r="O73" s="105"/>
      <c r="P73" s="105"/>
      <c r="Q73" s="135"/>
      <c r="R73" s="132"/>
      <c r="S73" s="134"/>
      <c r="T73" s="134"/>
      <c r="U73" s="136"/>
      <c r="V73" s="136"/>
    </row>
    <row r="74" spans="1:22" x14ac:dyDescent="0.25">
      <c r="A74" s="104"/>
      <c r="B74" s="105"/>
      <c r="C74" s="132"/>
      <c r="D74" s="132"/>
      <c r="E74" s="133"/>
      <c r="F74" s="134"/>
      <c r="G74" s="134"/>
      <c r="H74" s="134"/>
      <c r="I74" s="134"/>
      <c r="J74" s="104"/>
      <c r="K74" s="104"/>
      <c r="L74" s="104"/>
      <c r="M74" s="105"/>
      <c r="N74" s="105"/>
      <c r="O74" s="105"/>
      <c r="P74" s="105"/>
      <c r="Q74" s="135"/>
      <c r="R74" s="132"/>
      <c r="S74" s="134"/>
      <c r="T74" s="134"/>
      <c r="U74" s="136"/>
      <c r="V74" s="136"/>
    </row>
    <row r="75" spans="1:22" x14ac:dyDescent="0.25">
      <c r="A75" s="104"/>
      <c r="B75" s="105"/>
      <c r="C75" s="132"/>
      <c r="D75" s="132"/>
      <c r="E75" s="133"/>
      <c r="F75" s="134"/>
      <c r="G75" s="134"/>
      <c r="H75" s="134"/>
      <c r="I75" s="134"/>
      <c r="J75" s="104"/>
      <c r="K75" s="104"/>
      <c r="L75" s="104"/>
      <c r="M75" s="105"/>
      <c r="N75" s="105"/>
      <c r="O75" s="105"/>
      <c r="P75" s="105"/>
      <c r="Q75" s="135"/>
      <c r="R75" s="132"/>
      <c r="S75" s="134"/>
      <c r="T75" s="134"/>
      <c r="U75" s="136"/>
      <c r="V75" s="136"/>
    </row>
    <row r="76" spans="1:22" x14ac:dyDescent="0.25">
      <c r="A76" s="104"/>
      <c r="B76" s="105"/>
      <c r="C76" s="132"/>
      <c r="D76" s="132"/>
      <c r="E76" s="133"/>
      <c r="F76" s="134"/>
      <c r="G76" s="134"/>
      <c r="H76" s="134"/>
      <c r="I76" s="134"/>
      <c r="J76" s="104"/>
      <c r="K76" s="104"/>
      <c r="L76" s="104"/>
      <c r="M76" s="105"/>
      <c r="N76" s="105"/>
      <c r="O76" s="105"/>
      <c r="P76" s="105"/>
      <c r="Q76" s="135"/>
      <c r="R76" s="132"/>
      <c r="S76" s="134"/>
      <c r="T76" s="134"/>
      <c r="U76" s="136"/>
      <c r="V76" s="136"/>
    </row>
    <row r="77" spans="1:22" x14ac:dyDescent="0.25">
      <c r="A77" s="104"/>
      <c r="B77" s="105"/>
      <c r="C77" s="132"/>
      <c r="D77" s="132"/>
      <c r="E77" s="133"/>
      <c r="F77" s="134"/>
      <c r="G77" s="134"/>
      <c r="H77" s="134"/>
      <c r="I77" s="134"/>
      <c r="J77" s="104"/>
      <c r="K77" s="104"/>
      <c r="L77" s="104"/>
      <c r="M77" s="105"/>
      <c r="N77" s="105"/>
      <c r="O77" s="105"/>
      <c r="P77" s="105"/>
      <c r="Q77" s="135"/>
      <c r="R77" s="132"/>
      <c r="S77" s="134"/>
      <c r="T77" s="134"/>
      <c r="U77" s="136"/>
      <c r="V77" s="136"/>
    </row>
    <row r="78" spans="1:22" x14ac:dyDescent="0.25">
      <c r="A78" s="104"/>
      <c r="B78" s="105"/>
      <c r="C78" s="132"/>
      <c r="D78" s="132"/>
      <c r="E78" s="133"/>
      <c r="F78" s="134"/>
      <c r="G78" s="134"/>
      <c r="H78" s="134"/>
      <c r="I78" s="134"/>
      <c r="J78" s="104"/>
      <c r="K78" s="104"/>
      <c r="L78" s="104"/>
      <c r="M78" s="105"/>
      <c r="N78" s="105"/>
      <c r="O78" s="105"/>
      <c r="P78" s="105"/>
      <c r="Q78" s="135"/>
      <c r="R78" s="132"/>
      <c r="S78" s="134"/>
      <c r="T78" s="134"/>
      <c r="U78" s="136"/>
      <c r="V78" s="136"/>
    </row>
    <row r="79" spans="1:22" x14ac:dyDescent="0.25">
      <c r="A79" s="104"/>
      <c r="B79" s="105"/>
      <c r="C79" s="132"/>
      <c r="D79" s="132"/>
      <c r="E79" s="133"/>
      <c r="F79" s="134"/>
      <c r="G79" s="134"/>
      <c r="H79" s="134"/>
      <c r="I79" s="134"/>
      <c r="J79" s="104"/>
      <c r="K79" s="104"/>
      <c r="L79" s="104"/>
      <c r="M79" s="105"/>
      <c r="N79" s="105"/>
      <c r="O79" s="105"/>
      <c r="P79" s="105"/>
      <c r="Q79" s="135"/>
      <c r="R79" s="132"/>
      <c r="S79" s="134"/>
      <c r="T79" s="134"/>
      <c r="U79" s="136"/>
      <c r="V79" s="136"/>
    </row>
    <row r="80" spans="1:22" x14ac:dyDescent="0.25">
      <c r="A80" s="104" t="s">
        <v>357</v>
      </c>
      <c r="B80" s="105"/>
      <c r="C80" s="132"/>
      <c r="D80" s="132"/>
      <c r="E80" s="133"/>
      <c r="F80" s="134"/>
      <c r="G80" s="134"/>
      <c r="H80" s="134"/>
      <c r="I80" s="134"/>
      <c r="J80" s="104"/>
      <c r="K80" s="104"/>
      <c r="L80" s="104"/>
      <c r="M80" s="105"/>
      <c r="N80" s="105"/>
      <c r="O80" s="105"/>
      <c r="P80" s="105"/>
      <c r="Q80" s="135"/>
      <c r="R80" s="132"/>
      <c r="S80" s="134"/>
      <c r="T80" s="134"/>
      <c r="U80" s="136"/>
      <c r="V80" s="136"/>
    </row>
    <row r="81" spans="1:25" x14ac:dyDescent="0.25">
      <c r="A81" s="104" t="s">
        <v>35</v>
      </c>
      <c r="B81" s="105">
        <v>100</v>
      </c>
      <c r="C81" s="132"/>
      <c r="D81" s="132"/>
      <c r="E81" s="133"/>
      <c r="F81" s="134"/>
      <c r="G81" s="134"/>
      <c r="H81" s="134"/>
      <c r="I81" s="134"/>
      <c r="J81" s="104"/>
      <c r="K81" s="104"/>
      <c r="L81" s="104"/>
      <c r="M81" s="105"/>
      <c r="N81" s="105"/>
      <c r="O81" s="105"/>
      <c r="P81" s="105"/>
      <c r="Q81" s="135"/>
      <c r="R81" s="132"/>
      <c r="S81" s="134"/>
      <c r="T81" s="134"/>
      <c r="U81" s="136"/>
      <c r="V81" s="136"/>
    </row>
    <row r="82" spans="1:25" x14ac:dyDescent="0.25">
      <c r="A82" s="104" t="s">
        <v>36</v>
      </c>
      <c r="B82" s="105">
        <f>100000+($B$47-X82)*9.80665*B48</f>
        <v>164728.34243878466</v>
      </c>
      <c r="C82" s="132">
        <f>273.15+$B$46</f>
        <v>298.14999999999998</v>
      </c>
      <c r="D82" s="132"/>
      <c r="E82" s="133"/>
      <c r="F82" s="134"/>
      <c r="G82" s="134"/>
      <c r="H82" s="134"/>
      <c r="I82" s="134"/>
      <c r="J82" s="104"/>
      <c r="K82" s="104"/>
      <c r="L82" s="104"/>
      <c r="M82" s="105"/>
      <c r="N82" s="105"/>
      <c r="O82" s="105"/>
      <c r="P82" s="105"/>
      <c r="Q82" s="135"/>
      <c r="R82" s="132"/>
      <c r="S82" s="134"/>
      <c r="T82" s="134"/>
      <c r="U82" s="136"/>
      <c r="V82" s="136"/>
      <c r="X82" s="15">
        <v>113.38</v>
      </c>
    </row>
    <row r="83" spans="1:25" x14ac:dyDescent="0.25">
      <c r="A83" s="104" t="s">
        <v>37</v>
      </c>
      <c r="B83" s="105" t="str">
        <f>CONCATENATE("TMDV_",ROW())</f>
        <v>TMDV_83</v>
      </c>
      <c r="C83" s="132">
        <v>1</v>
      </c>
      <c r="D83" s="132" t="s">
        <v>38</v>
      </c>
      <c r="E83" s="133">
        <v>1</v>
      </c>
      <c r="F83" s="134">
        <v>0</v>
      </c>
      <c r="G83" s="134">
        <v>0</v>
      </c>
      <c r="H83" s="134" t="s">
        <v>38</v>
      </c>
      <c r="I83" s="134" t="s">
        <v>38</v>
      </c>
      <c r="J83" s="104" t="s">
        <v>358</v>
      </c>
      <c r="K83" s="104" t="s">
        <v>38</v>
      </c>
      <c r="L83" s="104" t="s">
        <v>38</v>
      </c>
      <c r="M83" s="105" t="s">
        <v>38</v>
      </c>
      <c r="N83" s="105" t="s">
        <v>38</v>
      </c>
      <c r="O83" s="105" t="s">
        <v>38</v>
      </c>
      <c r="P83" s="105" t="s">
        <v>38</v>
      </c>
      <c r="Q83" s="135">
        <f>100000+($B$47-X82)*9.80665*B48</f>
        <v>164728.34243878466</v>
      </c>
      <c r="R83" s="132">
        <f>273.15+$B$46</f>
        <v>298.14999999999998</v>
      </c>
      <c r="S83" s="134" t="s">
        <v>38</v>
      </c>
      <c r="T83" s="134" t="s">
        <v>38</v>
      </c>
      <c r="U83" s="136" t="s">
        <v>38</v>
      </c>
      <c r="V83" s="136" t="s">
        <v>38</v>
      </c>
      <c r="X83" s="15">
        <f>IF(F83="-",X82,X82+C83*SIN(F83*PI()/180))</f>
        <v>113.38</v>
      </c>
    </row>
    <row r="84" spans="1:25" x14ac:dyDescent="0.25">
      <c r="A84" s="104"/>
      <c r="B84" s="105"/>
      <c r="C84" s="132"/>
      <c r="D84" s="132"/>
      <c r="E84" s="133"/>
      <c r="F84" s="134"/>
      <c r="G84" s="134"/>
      <c r="H84" s="134"/>
      <c r="I84" s="134"/>
      <c r="J84" s="104"/>
      <c r="K84" s="104"/>
      <c r="L84" s="104"/>
      <c r="M84" s="105"/>
      <c r="N84" s="105"/>
      <c r="O84" s="105"/>
      <c r="P84" s="105"/>
      <c r="Q84" s="135"/>
      <c r="R84" s="132"/>
      <c r="S84" s="134"/>
      <c r="T84" s="134"/>
      <c r="U84" s="136"/>
      <c r="V84" s="136"/>
      <c r="X84" s="15">
        <f t="shared" ref="X84:X142" si="1">IF(F84="-",X83,X83+C84*SIN(F84*PI()/180))</f>
        <v>113.38</v>
      </c>
    </row>
    <row r="85" spans="1:25" x14ac:dyDescent="0.25">
      <c r="A85" s="104" t="s">
        <v>39</v>
      </c>
      <c r="B85" s="105" t="s">
        <v>38</v>
      </c>
      <c r="C85" s="132" t="s">
        <v>38</v>
      </c>
      <c r="D85" s="132" t="s">
        <v>38</v>
      </c>
      <c r="E85" s="133">
        <v>0</v>
      </c>
      <c r="F85" s="134" t="s">
        <v>38</v>
      </c>
      <c r="G85" s="134" t="s">
        <v>38</v>
      </c>
      <c r="H85" s="134">
        <v>0</v>
      </c>
      <c r="I85" s="134">
        <v>0</v>
      </c>
      <c r="J85" s="104" t="s">
        <v>40</v>
      </c>
      <c r="K85" s="104" t="s">
        <v>38</v>
      </c>
      <c r="L85" s="104" t="s">
        <v>38</v>
      </c>
      <c r="M85" s="105" t="str">
        <f ca="1">OFFSET($A$1,ROW()-3,1)</f>
        <v>TMDV_83</v>
      </c>
      <c r="N85" s="105" t="str">
        <f ca="1">OFFSET($A$1,ROW()+1,1)</f>
        <v>PIPE_87</v>
      </c>
      <c r="O85" s="105">
        <v>2</v>
      </c>
      <c r="P85" s="105">
        <v>1</v>
      </c>
      <c r="Q85" s="135" t="s">
        <v>38</v>
      </c>
      <c r="R85" s="132" t="s">
        <v>38</v>
      </c>
      <c r="S85" s="134" t="s">
        <v>38</v>
      </c>
      <c r="T85" s="134" t="s">
        <v>38</v>
      </c>
      <c r="U85" s="136" t="s">
        <v>38</v>
      </c>
      <c r="V85" s="136" t="s">
        <v>38</v>
      </c>
      <c r="X85" s="15">
        <f t="shared" si="1"/>
        <v>113.38</v>
      </c>
    </row>
    <row r="86" spans="1:25" x14ac:dyDescent="0.25">
      <c r="A86" s="104"/>
      <c r="B86" s="105"/>
      <c r="C86" s="132"/>
      <c r="D86" s="132"/>
      <c r="E86" s="133"/>
      <c r="F86" s="134"/>
      <c r="G86" s="134"/>
      <c r="H86" s="134"/>
      <c r="I86" s="134"/>
      <c r="J86" s="104"/>
      <c r="K86" s="104"/>
      <c r="L86" s="104"/>
      <c r="M86" s="105"/>
      <c r="N86" s="105"/>
      <c r="O86" s="105"/>
      <c r="P86" s="105"/>
      <c r="Q86" s="135"/>
      <c r="R86" s="132"/>
      <c r="S86" s="134"/>
      <c r="T86" s="134"/>
      <c r="U86" s="136"/>
      <c r="V86" s="136"/>
      <c r="X86" s="15">
        <f t="shared" si="1"/>
        <v>113.38</v>
      </c>
    </row>
    <row r="87" spans="1:25" x14ac:dyDescent="0.25">
      <c r="A87" s="104" t="s">
        <v>41</v>
      </c>
      <c r="B87" s="105" t="str">
        <f>CONCATENATE("PIPE_",ROW())</f>
        <v>PIPE_87</v>
      </c>
      <c r="C87" s="132">
        <v>0.83</v>
      </c>
      <c r="D87" s="132">
        <f>dx</f>
        <v>0.2</v>
      </c>
      <c r="E87" s="133">
        <f>(0.27305-2*0.00419)^2*PI()/4</f>
        <v>5.5017305415667593E-2</v>
      </c>
      <c r="F87" s="134">
        <v>0</v>
      </c>
      <c r="G87" s="134">
        <v>0</v>
      </c>
      <c r="H87" s="134">
        <v>0</v>
      </c>
      <c r="I87" s="134">
        <v>0</v>
      </c>
      <c r="J87" s="104" t="s">
        <v>41</v>
      </c>
      <c r="K87" s="104" t="s">
        <v>359</v>
      </c>
      <c r="L87" s="104">
        <v>1</v>
      </c>
      <c r="M87" s="105" t="s">
        <v>38</v>
      </c>
      <c r="N87" s="105" t="s">
        <v>38</v>
      </c>
      <c r="O87" s="105" t="s">
        <v>38</v>
      </c>
      <c r="P87" s="105" t="s">
        <v>38</v>
      </c>
      <c r="Q87" s="135">
        <v>4.5000000000000003E-5</v>
      </c>
      <c r="R87" s="132" t="s">
        <v>38</v>
      </c>
      <c r="S87" s="134" t="s">
        <v>38</v>
      </c>
      <c r="T87" s="134" t="s">
        <v>38</v>
      </c>
      <c r="U87" s="136" t="s">
        <v>38</v>
      </c>
      <c r="V87" s="136" t="s">
        <v>38</v>
      </c>
      <c r="X87" s="15">
        <f t="shared" si="1"/>
        <v>113.38</v>
      </c>
    </row>
    <row r="88" spans="1:25" x14ac:dyDescent="0.25">
      <c r="A88" s="104" t="s">
        <v>41</v>
      </c>
      <c r="B88" s="105" t="str">
        <f>CONCATENATE("PIPE_",ROW())</f>
        <v>PIPE_88</v>
      </c>
      <c r="C88" s="132">
        <f>0.381+0.458+0.15+0.66/2</f>
        <v>1.319</v>
      </c>
      <c r="D88" s="132">
        <f>dx</f>
        <v>0.2</v>
      </c>
      <c r="E88" s="133">
        <f>(0.27305-2*0.00419)^2*PI()/4</f>
        <v>5.5017305415667593E-2</v>
      </c>
      <c r="F88" s="134">
        <v>-90</v>
      </c>
      <c r="G88" s="134">
        <v>0</v>
      </c>
      <c r="H88" s="134">
        <v>0</v>
      </c>
      <c r="I88" s="134">
        <v>0</v>
      </c>
      <c r="J88" s="104" t="s">
        <v>41</v>
      </c>
      <c r="K88" s="104" t="s">
        <v>359</v>
      </c>
      <c r="L88" s="104">
        <f>L87+1</f>
        <v>2</v>
      </c>
      <c r="M88" s="105" t="s">
        <v>38</v>
      </c>
      <c r="N88" s="105" t="s">
        <v>38</v>
      </c>
      <c r="O88" s="105" t="s">
        <v>38</v>
      </c>
      <c r="P88" s="105" t="s">
        <v>38</v>
      </c>
      <c r="Q88" s="135">
        <v>4.5000000000000003E-5</v>
      </c>
      <c r="R88" s="132" t="s">
        <v>38</v>
      </c>
      <c r="S88" s="134" t="s">
        <v>38</v>
      </c>
      <c r="T88" s="134" t="s">
        <v>38</v>
      </c>
      <c r="U88" s="136" t="s">
        <v>38</v>
      </c>
      <c r="V88" s="136" t="s">
        <v>38</v>
      </c>
      <c r="X88" s="15">
        <f t="shared" si="1"/>
        <v>112.06099999999999</v>
      </c>
    </row>
    <row r="89" spans="1:25" x14ac:dyDescent="0.25">
      <c r="A89" s="104"/>
      <c r="B89" s="105"/>
      <c r="C89" s="132"/>
      <c r="D89" s="132"/>
      <c r="E89" s="133"/>
      <c r="F89" s="134"/>
      <c r="G89" s="134"/>
      <c r="H89" s="134"/>
      <c r="I89" s="134"/>
      <c r="J89" s="104"/>
      <c r="K89" s="104"/>
      <c r="L89" s="104"/>
      <c r="M89" s="105"/>
      <c r="N89" s="105"/>
      <c r="O89" s="105"/>
      <c r="P89" s="105"/>
      <c r="Q89" s="135"/>
      <c r="R89" s="132"/>
      <c r="S89" s="134"/>
      <c r="T89" s="134"/>
      <c r="U89" s="136"/>
      <c r="V89" s="136"/>
      <c r="X89" s="15">
        <f t="shared" si="1"/>
        <v>112.06099999999999</v>
      </c>
    </row>
    <row r="90" spans="1:25" x14ac:dyDescent="0.25">
      <c r="A90" s="104" t="s">
        <v>56</v>
      </c>
      <c r="B90" s="105" t="s">
        <v>38</v>
      </c>
      <c r="C90" s="132" t="s">
        <v>38</v>
      </c>
      <c r="D90" s="132" t="s">
        <v>38</v>
      </c>
      <c r="E90" s="133">
        <f>(0.27305-2*0.00419)^2*PI()/4</f>
        <v>5.5017305415667593E-2</v>
      </c>
      <c r="F90" s="134" t="s">
        <v>38</v>
      </c>
      <c r="G90" s="134" t="s">
        <v>38</v>
      </c>
      <c r="H90" s="134">
        <v>0</v>
      </c>
      <c r="I90" s="134">
        <v>0</v>
      </c>
      <c r="J90" s="104" t="s">
        <v>360</v>
      </c>
      <c r="K90" s="104" t="s">
        <v>359</v>
      </c>
      <c r="L90" s="104" t="s">
        <v>38</v>
      </c>
      <c r="M90" s="105" t="str">
        <f ca="1">OFFSET($A$1,ROW()-3,1)</f>
        <v>PIPE_88</v>
      </c>
      <c r="N90" s="105" t="str">
        <f ca="1">OFFSET($A$1,ROW()+1,1)</f>
        <v>PIPE_92</v>
      </c>
      <c r="O90" s="105">
        <v>2</v>
      </c>
      <c r="P90" s="105">
        <v>1</v>
      </c>
      <c r="Q90" s="135" t="s">
        <v>38</v>
      </c>
      <c r="R90" s="132" t="s">
        <v>38</v>
      </c>
      <c r="S90" s="134" t="s">
        <v>38</v>
      </c>
      <c r="T90" s="134">
        <v>0</v>
      </c>
      <c r="U90" s="136" t="s">
        <v>38</v>
      </c>
      <c r="V90" s="136" t="s">
        <v>38</v>
      </c>
      <c r="X90" s="15">
        <f t="shared" si="1"/>
        <v>112.06099999999999</v>
      </c>
    </row>
    <row r="91" spans="1:25" x14ac:dyDescent="0.25">
      <c r="A91" s="104"/>
      <c r="B91" s="105"/>
      <c r="C91" s="132"/>
      <c r="D91" s="132"/>
      <c r="E91" s="133"/>
      <c r="F91" s="134"/>
      <c r="G91" s="134"/>
      <c r="H91" s="134"/>
      <c r="I91" s="134"/>
      <c r="J91" s="104"/>
      <c r="K91" s="104"/>
      <c r="L91" s="104"/>
      <c r="M91" s="105"/>
      <c r="N91" s="105"/>
      <c r="O91" s="105"/>
      <c r="P91" s="105"/>
      <c r="Q91" s="135"/>
      <c r="R91" s="132"/>
      <c r="S91" s="134"/>
      <c r="T91" s="134"/>
      <c r="U91" s="136"/>
      <c r="V91" s="136"/>
      <c r="X91" s="15">
        <f t="shared" si="1"/>
        <v>112.06099999999999</v>
      </c>
    </row>
    <row r="92" spans="1:25" x14ac:dyDescent="0.25">
      <c r="A92" s="104" t="s">
        <v>41</v>
      </c>
      <c r="B92" s="105" t="str">
        <f>CONCATENATE("PIPE_",ROW())</f>
        <v>PIPE_92</v>
      </c>
      <c r="C92" s="132">
        <f>0.66/2+0.15+0.381</f>
        <v>0.86099999999999999</v>
      </c>
      <c r="D92" s="132">
        <f>dx</f>
        <v>0.2</v>
      </c>
      <c r="E92" s="133">
        <f>(0.27305-2*0.00419)^2*PI()/4</f>
        <v>5.5017305415667593E-2</v>
      </c>
      <c r="F92" s="134">
        <v>-90</v>
      </c>
      <c r="G92" s="134">
        <v>0</v>
      </c>
      <c r="H92" s="134">
        <v>0</v>
      </c>
      <c r="I92" s="134">
        <v>0</v>
      </c>
      <c r="J92" s="104" t="s">
        <v>361</v>
      </c>
      <c r="K92" s="104" t="s">
        <v>359</v>
      </c>
      <c r="L92" s="104">
        <f>L88</f>
        <v>2</v>
      </c>
      <c r="M92" s="105" t="s">
        <v>38</v>
      </c>
      <c r="N92" s="105" t="s">
        <v>38</v>
      </c>
      <c r="O92" s="105" t="s">
        <v>38</v>
      </c>
      <c r="P92" s="105" t="s">
        <v>38</v>
      </c>
      <c r="Q92" s="135">
        <v>4.5000000000000003E-5</v>
      </c>
      <c r="R92" s="132" t="s">
        <v>38</v>
      </c>
      <c r="S92" s="134" t="s">
        <v>38</v>
      </c>
      <c r="T92" s="134" t="s">
        <v>38</v>
      </c>
      <c r="U92" s="136" t="s">
        <v>38</v>
      </c>
      <c r="V92" s="136" t="s">
        <v>38</v>
      </c>
      <c r="X92" s="15">
        <f t="shared" si="1"/>
        <v>111.19999999999999</v>
      </c>
    </row>
    <row r="93" spans="1:25" x14ac:dyDescent="0.25">
      <c r="A93" s="104" t="s">
        <v>41</v>
      </c>
      <c r="B93" s="105" t="str">
        <f>CONCATENATE("PIPE_",ROW())</f>
        <v>PIPE_93</v>
      </c>
      <c r="C93" s="132">
        <f>0.381+0.381+0.216</f>
        <v>0.97799999999999998</v>
      </c>
      <c r="D93" s="132">
        <f>dx</f>
        <v>0.2</v>
      </c>
      <c r="E93" s="133">
        <f>(0.27305-2*0.00419)^2*PI()/4</f>
        <v>5.5017305415667593E-2</v>
      </c>
      <c r="F93" s="134">
        <v>0</v>
      </c>
      <c r="G93" s="134">
        <v>0</v>
      </c>
      <c r="H93" s="134">
        <v>0</v>
      </c>
      <c r="I93" s="134">
        <v>0</v>
      </c>
      <c r="J93" s="104" t="s">
        <v>361</v>
      </c>
      <c r="K93" s="104" t="s">
        <v>359</v>
      </c>
      <c r="L93" s="104">
        <f>L92+1</f>
        <v>3</v>
      </c>
      <c r="M93" s="105" t="s">
        <v>38</v>
      </c>
      <c r="N93" s="105" t="s">
        <v>38</v>
      </c>
      <c r="O93" s="105" t="s">
        <v>38</v>
      </c>
      <c r="P93" s="105" t="s">
        <v>38</v>
      </c>
      <c r="Q93" s="135">
        <v>4.5000000000000003E-5</v>
      </c>
      <c r="R93" s="132" t="s">
        <v>38</v>
      </c>
      <c r="S93" s="134" t="s">
        <v>38</v>
      </c>
      <c r="T93" s="134" t="s">
        <v>38</v>
      </c>
      <c r="U93" s="136" t="s">
        <v>38</v>
      </c>
      <c r="V93" s="136" t="s">
        <v>38</v>
      </c>
      <c r="W93" s="11" t="s">
        <v>362</v>
      </c>
      <c r="X93" s="15">
        <f t="shared" si="1"/>
        <v>111.19999999999999</v>
      </c>
    </row>
    <row r="94" spans="1:25" x14ac:dyDescent="0.25">
      <c r="A94" s="104" t="s">
        <v>41</v>
      </c>
      <c r="B94" s="105" t="str">
        <f>CONCATENATE("PIPE_",ROW())</f>
        <v>PIPE_94</v>
      </c>
      <c r="C94" s="132">
        <f>0.216+0.33+0.381</f>
        <v>0.92700000000000005</v>
      </c>
      <c r="D94" s="132">
        <f>dx</f>
        <v>0.2</v>
      </c>
      <c r="E94" s="133">
        <f>(0.27305-2*0.00419)^2*PI()/4</f>
        <v>5.5017305415667593E-2</v>
      </c>
      <c r="F94" s="134">
        <v>0</v>
      </c>
      <c r="G94" s="134">
        <v>0</v>
      </c>
      <c r="H94" s="134">
        <v>0</v>
      </c>
      <c r="I94" s="134">
        <v>0</v>
      </c>
      <c r="J94" s="104" t="s">
        <v>361</v>
      </c>
      <c r="K94" s="104" t="s">
        <v>359</v>
      </c>
      <c r="L94" s="104">
        <f>L93</f>
        <v>3</v>
      </c>
      <c r="M94" s="105" t="s">
        <v>38</v>
      </c>
      <c r="N94" s="105" t="s">
        <v>38</v>
      </c>
      <c r="O94" s="105" t="s">
        <v>38</v>
      </c>
      <c r="P94" s="105" t="s">
        <v>38</v>
      </c>
      <c r="Q94" s="135">
        <v>4.5000000000000003E-5</v>
      </c>
      <c r="R94" s="132" t="s">
        <v>38</v>
      </c>
      <c r="S94" s="134" t="s">
        <v>38</v>
      </c>
      <c r="T94" s="134" t="s">
        <v>38</v>
      </c>
      <c r="U94" s="136" t="s">
        <v>38</v>
      </c>
      <c r="V94" s="136" t="s">
        <v>38</v>
      </c>
      <c r="X94" s="15">
        <f t="shared" si="1"/>
        <v>111.19999999999999</v>
      </c>
    </row>
    <row r="95" spans="1:25" x14ac:dyDescent="0.25">
      <c r="A95" s="104" t="s">
        <v>41</v>
      </c>
      <c r="B95" s="105" t="str">
        <f>CONCATENATE("PIPE_",ROW())</f>
        <v>PIPE_95</v>
      </c>
      <c r="C95" s="132">
        <v>4.3600000000000003</v>
      </c>
      <c r="D95" s="132">
        <f>dx</f>
        <v>0.2</v>
      </c>
      <c r="E95" s="133">
        <f>(0.27305-2*0.00419)^2*PI()/4</f>
        <v>5.5017305415667593E-2</v>
      </c>
      <c r="F95" s="134">
        <v>-90</v>
      </c>
      <c r="G95" s="134">
        <v>0</v>
      </c>
      <c r="H95" s="134">
        <v>0</v>
      </c>
      <c r="I95" s="134">
        <v>0</v>
      </c>
      <c r="J95" s="104" t="s">
        <v>361</v>
      </c>
      <c r="K95" s="104" t="s">
        <v>359</v>
      </c>
      <c r="L95" s="104">
        <f>L94+1</f>
        <v>4</v>
      </c>
      <c r="M95" s="105" t="s">
        <v>38</v>
      </c>
      <c r="N95" s="105" t="s">
        <v>38</v>
      </c>
      <c r="O95" s="105" t="s">
        <v>38</v>
      </c>
      <c r="P95" s="105" t="s">
        <v>38</v>
      </c>
      <c r="Q95" s="135">
        <v>4.5000000000000003E-5</v>
      </c>
      <c r="R95" s="132" t="s">
        <v>38</v>
      </c>
      <c r="S95" s="134" t="s">
        <v>38</v>
      </c>
      <c r="T95" s="134" t="s">
        <v>38</v>
      </c>
      <c r="U95" s="136" t="s">
        <v>38</v>
      </c>
      <c r="V95" s="136" t="s">
        <v>38</v>
      </c>
      <c r="X95" s="15">
        <f t="shared" si="1"/>
        <v>106.83999999999999</v>
      </c>
      <c r="Y95" s="118"/>
    </row>
    <row r="96" spans="1:25" x14ac:dyDescent="0.25">
      <c r="A96" s="104" t="s">
        <v>41</v>
      </c>
      <c r="B96" s="132" t="str">
        <f>CONCATENATE("PIPE_",ROW())</f>
        <v>PIPE_96</v>
      </c>
      <c r="C96" s="132">
        <v>1.385</v>
      </c>
      <c r="D96" s="132">
        <f>dx</f>
        <v>0.2</v>
      </c>
      <c r="E96" s="133">
        <f>(0.27305-2*0.00419)^2*PI()/4</f>
        <v>5.5017305415667593E-2</v>
      </c>
      <c r="F96" s="134">
        <v>0</v>
      </c>
      <c r="G96" s="134">
        <v>0</v>
      </c>
      <c r="H96" s="134">
        <v>0</v>
      </c>
      <c r="I96" s="134">
        <v>0</v>
      </c>
      <c r="J96" s="104" t="s">
        <v>361</v>
      </c>
      <c r="K96" s="104" t="s">
        <v>363</v>
      </c>
      <c r="L96" s="104">
        <f>L95+1</f>
        <v>5</v>
      </c>
      <c r="M96" s="105" t="s">
        <v>38</v>
      </c>
      <c r="N96" s="105" t="s">
        <v>38</v>
      </c>
      <c r="O96" s="105" t="s">
        <v>38</v>
      </c>
      <c r="P96" s="105" t="s">
        <v>38</v>
      </c>
      <c r="Q96" s="135">
        <v>4.5000000000000003E-5</v>
      </c>
      <c r="R96" s="132" t="s">
        <v>38</v>
      </c>
      <c r="S96" s="134" t="s">
        <v>38</v>
      </c>
      <c r="T96" s="134" t="s">
        <v>38</v>
      </c>
      <c r="U96" s="136" t="s">
        <v>38</v>
      </c>
      <c r="V96" s="136" t="s">
        <v>38</v>
      </c>
      <c r="X96" s="15">
        <f t="shared" si="1"/>
        <v>106.83999999999999</v>
      </c>
    </row>
    <row r="97" spans="1:24" x14ac:dyDescent="0.25">
      <c r="A97" s="104"/>
      <c r="B97" s="132"/>
      <c r="C97" s="132"/>
      <c r="D97" s="132"/>
      <c r="E97" s="133"/>
      <c r="F97" s="134"/>
      <c r="G97" s="134"/>
      <c r="H97" s="134"/>
      <c r="I97" s="134"/>
      <c r="J97" s="104"/>
      <c r="K97" s="104"/>
      <c r="L97" s="104"/>
      <c r="M97" s="105"/>
      <c r="N97" s="105"/>
      <c r="O97" s="105"/>
      <c r="P97" s="105"/>
      <c r="Q97" s="135"/>
      <c r="R97" s="132"/>
      <c r="S97" s="134"/>
      <c r="T97" s="134"/>
      <c r="U97" s="136"/>
      <c r="V97" s="136"/>
      <c r="X97" s="15">
        <f t="shared" si="1"/>
        <v>106.83999999999999</v>
      </c>
    </row>
    <row r="98" spans="1:24" x14ac:dyDescent="0.25">
      <c r="A98" s="104" t="s">
        <v>39</v>
      </c>
      <c r="B98" s="132" t="s">
        <v>38</v>
      </c>
      <c r="C98" s="132" t="s">
        <v>38</v>
      </c>
      <c r="D98" s="132" t="s">
        <v>38</v>
      </c>
      <c r="E98" s="133">
        <v>0</v>
      </c>
      <c r="F98" s="134" t="s">
        <v>38</v>
      </c>
      <c r="G98" s="134" t="s">
        <v>38</v>
      </c>
      <c r="H98" s="134">
        <v>0</v>
      </c>
      <c r="I98" s="134">
        <v>0</v>
      </c>
      <c r="J98" s="104" t="s">
        <v>364</v>
      </c>
      <c r="K98" s="104" t="s">
        <v>363</v>
      </c>
      <c r="L98" s="104" t="s">
        <v>38</v>
      </c>
      <c r="M98" s="105" t="str">
        <f ca="1">OFFSET($A$1,ROW()-3,1)</f>
        <v>PIPE_96</v>
      </c>
      <c r="N98" s="105" t="str">
        <f ca="1">OFFSET($A$1,ROW()+1,1)</f>
        <v>PIPE_100</v>
      </c>
      <c r="O98" s="105">
        <v>2</v>
      </c>
      <c r="P98" s="105">
        <v>1</v>
      </c>
      <c r="Q98" s="135" t="s">
        <v>38</v>
      </c>
      <c r="R98" s="132" t="s">
        <v>38</v>
      </c>
      <c r="S98" s="134" t="s">
        <v>38</v>
      </c>
      <c r="T98" s="134" t="s">
        <v>38</v>
      </c>
      <c r="U98" s="136" t="s">
        <v>38</v>
      </c>
      <c r="V98" s="136" t="s">
        <v>38</v>
      </c>
      <c r="X98" s="15">
        <f t="shared" si="1"/>
        <v>106.83999999999999</v>
      </c>
    </row>
    <row r="99" spans="1:24" x14ac:dyDescent="0.25">
      <c r="A99" s="104"/>
      <c r="B99" s="105"/>
      <c r="C99" s="132"/>
      <c r="D99" s="132"/>
      <c r="E99" s="133"/>
      <c r="F99" s="134"/>
      <c r="G99" s="134"/>
      <c r="H99" s="134"/>
      <c r="I99" s="134"/>
      <c r="J99" s="104"/>
      <c r="K99" s="104"/>
      <c r="L99" s="104"/>
      <c r="M99" s="105"/>
      <c r="N99" s="105"/>
      <c r="O99" s="105"/>
      <c r="P99" s="105"/>
      <c r="Q99" s="135"/>
      <c r="R99" s="132"/>
      <c r="S99" s="134"/>
      <c r="T99" s="134"/>
      <c r="U99" s="136"/>
      <c r="V99" s="136"/>
      <c r="X99" s="15">
        <f t="shared" si="1"/>
        <v>106.83999999999999</v>
      </c>
    </row>
    <row r="100" spans="1:24" x14ac:dyDescent="0.25">
      <c r="A100" s="104" t="s">
        <v>41</v>
      </c>
      <c r="B100" s="105" t="str">
        <f>CONCATENATE("PIPE_",ROW())</f>
        <v>PIPE_100</v>
      </c>
      <c r="C100" s="132">
        <v>1.575</v>
      </c>
      <c r="D100" s="132">
        <f>dx</f>
        <v>0.2</v>
      </c>
      <c r="E100" s="133">
        <f>(0.27305-2*0.00419)^2*PI()/4</f>
        <v>5.5017305415667593E-2</v>
      </c>
      <c r="F100" s="134">
        <v>0</v>
      </c>
      <c r="G100" s="134">
        <v>0</v>
      </c>
      <c r="H100" s="134">
        <v>0</v>
      </c>
      <c r="I100" s="134">
        <v>0</v>
      </c>
      <c r="J100" s="104" t="s">
        <v>361</v>
      </c>
      <c r="K100" s="104" t="s">
        <v>365</v>
      </c>
      <c r="L100" s="104">
        <f>L96</f>
        <v>5</v>
      </c>
      <c r="M100" s="105" t="s">
        <v>38</v>
      </c>
      <c r="N100" s="105" t="s">
        <v>38</v>
      </c>
      <c r="O100" s="105" t="s">
        <v>38</v>
      </c>
      <c r="P100" s="105" t="s">
        <v>38</v>
      </c>
      <c r="Q100" s="135">
        <v>4.5000000000000003E-5</v>
      </c>
      <c r="R100" s="132" t="s">
        <v>38</v>
      </c>
      <c r="S100" s="134" t="s">
        <v>38</v>
      </c>
      <c r="T100" s="134" t="s">
        <v>38</v>
      </c>
      <c r="U100" s="136" t="s">
        <v>38</v>
      </c>
      <c r="V100" s="136" t="s">
        <v>38</v>
      </c>
      <c r="X100" s="15">
        <f t="shared" si="1"/>
        <v>106.83999999999999</v>
      </c>
    </row>
    <row r="101" spans="1:24" x14ac:dyDescent="0.25">
      <c r="A101" s="104" t="s">
        <v>41</v>
      </c>
      <c r="B101" s="105" t="str">
        <f>CONCATENATE("PIPE_",ROW())</f>
        <v>PIPE_101</v>
      </c>
      <c r="C101" s="132">
        <f>0.381+1.116+0.15+0.66/2</f>
        <v>1.9770000000000001</v>
      </c>
      <c r="D101" s="132">
        <f>dx</f>
        <v>0.2</v>
      </c>
      <c r="E101" s="133">
        <f>(0.27305-2*0.00419)^2*PI()/4</f>
        <v>5.5017305415667593E-2</v>
      </c>
      <c r="F101" s="134">
        <v>-90</v>
      </c>
      <c r="G101" s="134">
        <v>0</v>
      </c>
      <c r="H101" s="134">
        <v>0</v>
      </c>
      <c r="I101" s="134">
        <v>0</v>
      </c>
      <c r="J101" s="104" t="s">
        <v>361</v>
      </c>
      <c r="K101" s="104" t="s">
        <v>365</v>
      </c>
      <c r="L101" s="104">
        <f>L100+1</f>
        <v>6</v>
      </c>
      <c r="M101" s="105" t="s">
        <v>38</v>
      </c>
      <c r="N101" s="105" t="s">
        <v>38</v>
      </c>
      <c r="O101" s="105" t="s">
        <v>38</v>
      </c>
      <c r="P101" s="105" t="s">
        <v>38</v>
      </c>
      <c r="Q101" s="135">
        <v>4.5000000000000003E-5</v>
      </c>
      <c r="R101" s="132" t="s">
        <v>38</v>
      </c>
      <c r="S101" s="134" t="s">
        <v>38</v>
      </c>
      <c r="T101" s="134" t="s">
        <v>38</v>
      </c>
      <c r="U101" s="136" t="s">
        <v>38</v>
      </c>
      <c r="V101" s="136" t="s">
        <v>38</v>
      </c>
      <c r="X101" s="15">
        <f t="shared" si="1"/>
        <v>104.86299999999999</v>
      </c>
    </row>
    <row r="102" spans="1:24" x14ac:dyDescent="0.25">
      <c r="A102" s="104"/>
      <c r="B102" s="105"/>
      <c r="C102" s="132"/>
      <c r="D102" s="132"/>
      <c r="E102" s="133"/>
      <c r="F102" s="134"/>
      <c r="G102" s="134"/>
      <c r="H102" s="134"/>
      <c r="I102" s="134"/>
      <c r="J102" s="104"/>
      <c r="K102" s="104"/>
      <c r="L102" s="104"/>
      <c r="M102" s="105"/>
      <c r="N102" s="105"/>
      <c r="O102" s="105"/>
      <c r="P102" s="105"/>
      <c r="Q102" s="135"/>
      <c r="R102" s="132"/>
      <c r="S102" s="134"/>
      <c r="T102" s="134"/>
      <c r="U102" s="136"/>
      <c r="V102" s="136"/>
      <c r="X102" s="15">
        <f t="shared" si="1"/>
        <v>104.86299999999999</v>
      </c>
    </row>
    <row r="103" spans="1:24" x14ac:dyDescent="0.25">
      <c r="A103" s="104" t="s">
        <v>56</v>
      </c>
      <c r="B103" s="105" t="s">
        <v>38</v>
      </c>
      <c r="C103" s="132" t="s">
        <v>38</v>
      </c>
      <c r="D103" s="132" t="s">
        <v>38</v>
      </c>
      <c r="E103" s="133">
        <f>(0.27305-2*0.00419)^2*PI()/4</f>
        <v>5.5017305415667593E-2</v>
      </c>
      <c r="F103" s="134" t="s">
        <v>38</v>
      </c>
      <c r="G103" s="134" t="s">
        <v>38</v>
      </c>
      <c r="H103" s="134">
        <v>0</v>
      </c>
      <c r="I103" s="134">
        <v>0</v>
      </c>
      <c r="J103" s="104" t="s">
        <v>366</v>
      </c>
      <c r="K103" s="104" t="s">
        <v>365</v>
      </c>
      <c r="L103" s="104" t="s">
        <v>38</v>
      </c>
      <c r="M103" s="105" t="str">
        <f ca="1">OFFSET($A$1,ROW()-3,1)</f>
        <v>PIPE_101</v>
      </c>
      <c r="N103" s="105" t="str">
        <f ca="1">OFFSET($A$1,ROW()+1,1)</f>
        <v>PIPE_105</v>
      </c>
      <c r="O103" s="105">
        <v>2</v>
      </c>
      <c r="P103" s="105">
        <v>1</v>
      </c>
      <c r="Q103" s="135" t="s">
        <v>38</v>
      </c>
      <c r="R103" s="132" t="s">
        <v>38</v>
      </c>
      <c r="S103" s="134" t="s">
        <v>38</v>
      </c>
      <c r="T103" s="134">
        <v>1</v>
      </c>
      <c r="U103" s="136" t="s">
        <v>38</v>
      </c>
      <c r="V103" s="136" t="s">
        <v>38</v>
      </c>
      <c r="W103" s="15"/>
      <c r="X103" s="15">
        <f t="shared" si="1"/>
        <v>104.86299999999999</v>
      </c>
    </row>
    <row r="104" spans="1:24" x14ac:dyDescent="0.25">
      <c r="A104" s="104"/>
      <c r="B104" s="137"/>
      <c r="C104" s="132"/>
      <c r="D104" s="132"/>
      <c r="E104" s="133"/>
      <c r="F104" s="134"/>
      <c r="G104" s="134"/>
      <c r="H104" s="134"/>
      <c r="I104" s="134"/>
      <c r="J104" s="104"/>
      <c r="K104" s="104"/>
      <c r="L104" s="104"/>
      <c r="M104" s="105"/>
      <c r="N104" s="105"/>
      <c r="O104" s="105"/>
      <c r="P104" s="105"/>
      <c r="Q104" s="135"/>
      <c r="R104" s="132"/>
      <c r="S104" s="134"/>
      <c r="T104" s="134"/>
      <c r="U104" s="136"/>
      <c r="V104" s="136"/>
      <c r="X104" s="15">
        <f t="shared" si="1"/>
        <v>104.86299999999999</v>
      </c>
    </row>
    <row r="105" spans="1:24" x14ac:dyDescent="0.25">
      <c r="A105" s="104" t="s">
        <v>41</v>
      </c>
      <c r="B105" s="105" t="str">
        <f>CONCATENATE("PIPE_",ROW())</f>
        <v>PIPE_105</v>
      </c>
      <c r="C105" s="132">
        <f>0.66/2+0.15+0.101+0.101+0.381</f>
        <v>1.0629999999999999</v>
      </c>
      <c r="D105" s="132">
        <f>dx</f>
        <v>0.2</v>
      </c>
      <c r="E105" s="133">
        <f>(0.27305-2*0.00419)^2*PI()/4</f>
        <v>5.5017305415667593E-2</v>
      </c>
      <c r="F105" s="134">
        <v>-90</v>
      </c>
      <c r="G105" s="134">
        <v>0</v>
      </c>
      <c r="H105" s="134">
        <v>0</v>
      </c>
      <c r="I105" s="134">
        <v>0</v>
      </c>
      <c r="J105" s="104" t="s">
        <v>361</v>
      </c>
      <c r="K105" s="104" t="s">
        <v>365</v>
      </c>
      <c r="L105" s="104">
        <f>L101</f>
        <v>6</v>
      </c>
      <c r="M105" s="105" t="s">
        <v>38</v>
      </c>
      <c r="N105" s="105" t="s">
        <v>38</v>
      </c>
      <c r="O105" s="105" t="s">
        <v>38</v>
      </c>
      <c r="P105" s="105" t="s">
        <v>38</v>
      </c>
      <c r="Q105" s="135">
        <v>4.5000000000000003E-5</v>
      </c>
      <c r="R105" s="132" t="s">
        <v>38</v>
      </c>
      <c r="S105" s="134" t="s">
        <v>38</v>
      </c>
      <c r="T105" s="134" t="s">
        <v>38</v>
      </c>
      <c r="U105" s="136" t="s">
        <v>38</v>
      </c>
      <c r="V105" s="136" t="s">
        <v>38</v>
      </c>
      <c r="X105" s="15">
        <f t="shared" si="1"/>
        <v>103.79999999999998</v>
      </c>
    </row>
    <row r="106" spans="1:24" x14ac:dyDescent="0.25">
      <c r="A106" s="104" t="s">
        <v>41</v>
      </c>
      <c r="B106" s="105" t="str">
        <f>CONCATENATE("PIPE_",ROW())</f>
        <v>PIPE_106</v>
      </c>
      <c r="C106" s="132">
        <v>0.66</v>
      </c>
      <c r="D106" s="132">
        <f>dx</f>
        <v>0.2</v>
      </c>
      <c r="E106" s="133">
        <f>(0.27305-2*0.00419)^2*PI()/4</f>
        <v>5.5017305415667593E-2</v>
      </c>
      <c r="F106" s="134">
        <v>0</v>
      </c>
      <c r="G106" s="134">
        <v>0</v>
      </c>
      <c r="H106" s="134">
        <v>0</v>
      </c>
      <c r="I106" s="134">
        <v>0</v>
      </c>
      <c r="J106" s="104" t="s">
        <v>361</v>
      </c>
      <c r="K106" s="104" t="s">
        <v>365</v>
      </c>
      <c r="L106" s="104">
        <f>L105+1</f>
        <v>7</v>
      </c>
      <c r="M106" s="105" t="s">
        <v>38</v>
      </c>
      <c r="N106" s="105" t="s">
        <v>38</v>
      </c>
      <c r="O106" s="105" t="s">
        <v>38</v>
      </c>
      <c r="P106" s="105" t="s">
        <v>38</v>
      </c>
      <c r="Q106" s="135">
        <v>4.5000000000000003E-5</v>
      </c>
      <c r="R106" s="132" t="s">
        <v>38</v>
      </c>
      <c r="S106" s="134" t="s">
        <v>38</v>
      </c>
      <c r="T106" s="134" t="s">
        <v>38</v>
      </c>
      <c r="U106" s="136" t="s">
        <v>38</v>
      </c>
      <c r="V106" s="136" t="s">
        <v>38</v>
      </c>
      <c r="W106" s="13"/>
      <c r="X106" s="15">
        <f t="shared" si="1"/>
        <v>103.79999999999998</v>
      </c>
    </row>
    <row r="107" spans="1:24" x14ac:dyDescent="0.25">
      <c r="R107" s="13"/>
      <c r="U107" s="36"/>
      <c r="V107" s="36"/>
      <c r="W107" s="13"/>
      <c r="X107" s="15">
        <f t="shared" si="1"/>
        <v>103.79999999999998</v>
      </c>
    </row>
    <row r="108" spans="1:24" x14ac:dyDescent="0.25">
      <c r="A108" s="11" t="s">
        <v>49</v>
      </c>
      <c r="B108" s="12" t="s">
        <v>38</v>
      </c>
      <c r="C108" s="13">
        <v>0.2</v>
      </c>
      <c r="D108" s="13" t="s">
        <v>38</v>
      </c>
      <c r="E108" s="14">
        <f>(0.27305-2*0.00419)^2*PI()/4</f>
        <v>5.5017305415667593E-2</v>
      </c>
      <c r="F108" s="15">
        <v>0</v>
      </c>
      <c r="G108" s="15">
        <v>0</v>
      </c>
      <c r="H108" s="15">
        <v>0</v>
      </c>
      <c r="I108" s="15">
        <v>0</v>
      </c>
      <c r="J108" s="11" t="s">
        <v>367</v>
      </c>
      <c r="K108" s="11" t="s">
        <v>38</v>
      </c>
      <c r="L108" s="11" t="s">
        <v>38</v>
      </c>
      <c r="M108" s="12" t="str">
        <f ca="1">OFFSET($A$1,ROW()-3,1)</f>
        <v>PIPE_106</v>
      </c>
      <c r="N108" s="12" t="str">
        <f ca="1">OFFSET($A$1,ROW()+1,1)</f>
        <v>PIPE_110</v>
      </c>
      <c r="O108" s="12">
        <v>2</v>
      </c>
      <c r="P108" s="12">
        <v>1</v>
      </c>
      <c r="Q108" s="17" t="s">
        <v>38</v>
      </c>
      <c r="R108" s="13">
        <f>0.145</f>
        <v>0.14499999999999999</v>
      </c>
      <c r="S108" s="15">
        <v>37.83</v>
      </c>
      <c r="T108" s="15">
        <v>151.84</v>
      </c>
      <c r="U108" s="36" t="s">
        <v>38</v>
      </c>
      <c r="V108" s="36" t="s">
        <v>38</v>
      </c>
      <c r="W108" s="13">
        <v>103.76</v>
      </c>
      <c r="X108" s="15">
        <f t="shared" si="1"/>
        <v>103.79999999999998</v>
      </c>
    </row>
    <row r="109" spans="1:24" x14ac:dyDescent="0.25">
      <c r="R109" s="13"/>
      <c r="U109" s="36"/>
      <c r="V109" s="36"/>
      <c r="W109" s="13"/>
      <c r="X109" s="15">
        <f t="shared" si="1"/>
        <v>103.79999999999998</v>
      </c>
    </row>
    <row r="110" spans="1:24" x14ac:dyDescent="0.25">
      <c r="A110" s="11" t="s">
        <v>41</v>
      </c>
      <c r="B110" s="12" t="str">
        <f>CONCATENATE("PIPE_",ROW())</f>
        <v>PIPE_110</v>
      </c>
      <c r="C110" s="13">
        <f>0.101+0.152+0.075+0.508/2</f>
        <v>0.58200000000000007</v>
      </c>
      <c r="D110" s="13">
        <f>dx</f>
        <v>0.2</v>
      </c>
      <c r="E110" s="14">
        <f>(0.21907-2*0.00376)^2*PI()/4</f>
        <v>3.5149240129286767E-2</v>
      </c>
      <c r="F110" s="15">
        <v>90</v>
      </c>
      <c r="G110" s="15">
        <v>0</v>
      </c>
      <c r="H110" s="15">
        <v>0</v>
      </c>
      <c r="I110" s="15">
        <v>0</v>
      </c>
      <c r="J110" s="11" t="s">
        <v>368</v>
      </c>
      <c r="K110" s="11" t="s">
        <v>369</v>
      </c>
      <c r="L110" s="11">
        <f>ROUNDUP(L106/10,0)*10</f>
        <v>10</v>
      </c>
      <c r="M110" s="12" t="s">
        <v>38</v>
      </c>
      <c r="N110" s="12" t="s">
        <v>38</v>
      </c>
      <c r="O110" s="12" t="s">
        <v>38</v>
      </c>
      <c r="P110" s="12" t="s">
        <v>38</v>
      </c>
      <c r="Q110" s="17">
        <v>4.5000000000000003E-5</v>
      </c>
      <c r="R110" s="13" t="s">
        <v>38</v>
      </c>
      <c r="S110" s="15" t="s">
        <v>38</v>
      </c>
      <c r="T110" s="15" t="s">
        <v>38</v>
      </c>
      <c r="U110" s="36" t="s">
        <v>38</v>
      </c>
      <c r="V110" s="36" t="s">
        <v>38</v>
      </c>
      <c r="W110" s="13"/>
      <c r="X110" s="15">
        <f t="shared" si="1"/>
        <v>104.38199999999998</v>
      </c>
    </row>
    <row r="111" spans="1:24" x14ac:dyDescent="0.25">
      <c r="R111" s="13"/>
      <c r="U111" s="36"/>
      <c r="V111" s="36"/>
      <c r="W111" s="13"/>
      <c r="X111" s="15">
        <f t="shared" si="1"/>
        <v>104.38199999999998</v>
      </c>
    </row>
    <row r="112" spans="1:24" x14ac:dyDescent="0.25">
      <c r="A112" s="11" t="s">
        <v>51</v>
      </c>
      <c r="B112" s="12" t="s">
        <v>38</v>
      </c>
      <c r="C112" s="13" t="s">
        <v>38</v>
      </c>
      <c r="D112" s="13" t="s">
        <v>38</v>
      </c>
      <c r="E112" s="14">
        <f>(0.21907-2*0.00376)^2*PI()/4</f>
        <v>3.5149240129286767E-2</v>
      </c>
      <c r="F112" s="15" t="s">
        <v>38</v>
      </c>
      <c r="G112" s="15" t="s">
        <v>38</v>
      </c>
      <c r="H112" s="15">
        <v>0</v>
      </c>
      <c r="I112" s="15">
        <v>0</v>
      </c>
      <c r="J112" s="11" t="s">
        <v>370</v>
      </c>
      <c r="K112" s="11" t="s">
        <v>369</v>
      </c>
      <c r="L112" s="11" t="s">
        <v>38</v>
      </c>
      <c r="M112" s="12" t="str">
        <f ca="1">OFFSET($A$1,ROW()-3,1)</f>
        <v>PIPE_110</v>
      </c>
      <c r="N112" s="12" t="str">
        <f ca="1">OFFSET($A$1,ROW()+1,1)</f>
        <v>PIPE_114</v>
      </c>
      <c r="O112" s="12">
        <v>2</v>
      </c>
      <c r="P112" s="12">
        <v>1</v>
      </c>
      <c r="Q112" s="17" t="s">
        <v>38</v>
      </c>
      <c r="R112" s="13" t="s">
        <v>38</v>
      </c>
      <c r="S112" s="15" t="s">
        <v>38</v>
      </c>
      <c r="T112" s="15">
        <v>0</v>
      </c>
      <c r="U112" s="36" t="s">
        <v>38</v>
      </c>
      <c r="V112" s="36" t="s">
        <v>38</v>
      </c>
      <c r="W112" s="13"/>
      <c r="X112" s="15">
        <f t="shared" si="1"/>
        <v>104.38199999999998</v>
      </c>
    </row>
    <row r="113" spans="1:24" x14ac:dyDescent="0.25">
      <c r="R113" s="13"/>
      <c r="U113" s="36"/>
      <c r="V113" s="36"/>
      <c r="W113" s="13"/>
      <c r="X113" s="15">
        <f t="shared" si="1"/>
        <v>104.38199999999998</v>
      </c>
    </row>
    <row r="114" spans="1:24" x14ac:dyDescent="0.25">
      <c r="A114" s="11" t="s">
        <v>41</v>
      </c>
      <c r="B114" s="12" t="str">
        <f>CONCATENATE("PIPE_",ROW())</f>
        <v>PIPE_114</v>
      </c>
      <c r="C114" s="13">
        <f>0.508/2+0.141+0.508/2</f>
        <v>0.64900000000000002</v>
      </c>
      <c r="D114" s="13">
        <f>dx</f>
        <v>0.2</v>
      </c>
      <c r="E114" s="14">
        <f>(0.21907-2*0.00376)^2*PI()/4</f>
        <v>3.5149240129286767E-2</v>
      </c>
      <c r="F114" s="15">
        <v>90</v>
      </c>
      <c r="G114" s="15">
        <v>0</v>
      </c>
      <c r="H114" s="15">
        <v>0</v>
      </c>
      <c r="I114" s="15">
        <v>0</v>
      </c>
      <c r="J114" s="11" t="s">
        <v>368</v>
      </c>
      <c r="K114" s="11" t="s">
        <v>369</v>
      </c>
      <c r="L114" s="11">
        <f>L110</f>
        <v>10</v>
      </c>
      <c r="M114" s="12" t="s">
        <v>38</v>
      </c>
      <c r="N114" s="12" t="s">
        <v>38</v>
      </c>
      <c r="O114" s="12" t="s">
        <v>38</v>
      </c>
      <c r="P114" s="12" t="s">
        <v>38</v>
      </c>
      <c r="Q114" s="17">
        <v>4.5000000000000003E-5</v>
      </c>
      <c r="R114" s="13" t="s">
        <v>38</v>
      </c>
      <c r="S114" s="15" t="s">
        <v>38</v>
      </c>
      <c r="T114" s="15" t="s">
        <v>38</v>
      </c>
      <c r="U114" s="36" t="s">
        <v>38</v>
      </c>
      <c r="V114" s="36" t="s">
        <v>38</v>
      </c>
      <c r="W114" s="13"/>
      <c r="X114" s="15">
        <f t="shared" si="1"/>
        <v>105.03099999999998</v>
      </c>
    </row>
    <row r="115" spans="1:24" x14ac:dyDescent="0.25">
      <c r="R115" s="13"/>
      <c r="U115" s="36"/>
      <c r="V115" s="36"/>
      <c r="W115" s="13"/>
      <c r="X115" s="15">
        <f t="shared" si="1"/>
        <v>105.03099999999998</v>
      </c>
    </row>
    <row r="116" spans="1:24" x14ac:dyDescent="0.25">
      <c r="A116" s="11" t="s">
        <v>56</v>
      </c>
      <c r="B116" s="12" t="s">
        <v>38</v>
      </c>
      <c r="C116" s="13" t="s">
        <v>38</v>
      </c>
      <c r="D116" s="13" t="s">
        <v>38</v>
      </c>
      <c r="E116" s="14">
        <f>(0.21907-2*0.00376)^2*PI()/4</f>
        <v>3.5149240129286767E-2</v>
      </c>
      <c r="F116" s="15" t="s">
        <v>38</v>
      </c>
      <c r="G116" s="15" t="s">
        <v>38</v>
      </c>
      <c r="H116" s="15">
        <v>0</v>
      </c>
      <c r="I116" s="15">
        <v>0</v>
      </c>
      <c r="J116" s="11" t="s">
        <v>371</v>
      </c>
      <c r="K116" s="11" t="s">
        <v>369</v>
      </c>
      <c r="L116" s="11" t="s">
        <v>38</v>
      </c>
      <c r="M116" s="12" t="str">
        <f ca="1">OFFSET($A$1,ROW()-3,1)</f>
        <v>PIPE_114</v>
      </c>
      <c r="N116" s="12" t="str">
        <f ca="1">OFFSET($A$1,ROW()+1,1)</f>
        <v>PIPE_118</v>
      </c>
      <c r="O116" s="12">
        <v>2</v>
      </c>
      <c r="P116" s="12">
        <v>1</v>
      </c>
      <c r="Q116" s="17" t="s">
        <v>38</v>
      </c>
      <c r="R116" s="13" t="s">
        <v>38</v>
      </c>
      <c r="S116" s="15" t="s">
        <v>38</v>
      </c>
      <c r="T116" s="15">
        <f>B50</f>
        <v>0.75</v>
      </c>
      <c r="U116" s="36" t="s">
        <v>38</v>
      </c>
      <c r="V116" s="36" t="s">
        <v>38</v>
      </c>
      <c r="W116" s="13"/>
      <c r="X116" s="15">
        <f t="shared" si="1"/>
        <v>105.03099999999998</v>
      </c>
    </row>
    <row r="117" spans="1:24" x14ac:dyDescent="0.25">
      <c r="R117" s="13"/>
      <c r="U117" s="36"/>
      <c r="V117" s="36"/>
      <c r="W117" s="13"/>
      <c r="X117" s="15">
        <f t="shared" si="1"/>
        <v>105.03099999999998</v>
      </c>
    </row>
    <row r="118" spans="1:24" x14ac:dyDescent="0.25">
      <c r="A118" s="11" t="s">
        <v>41</v>
      </c>
      <c r="B118" s="12" t="str">
        <f>CONCATENATE("PIPE_",ROW())</f>
        <v>PIPE_118</v>
      </c>
      <c r="C118" s="13">
        <f>0.508/2+0.117+0.178</f>
        <v>0.54899999999999993</v>
      </c>
      <c r="D118" s="13">
        <f>dx</f>
        <v>0.2</v>
      </c>
      <c r="E118" s="14">
        <f>(0.21907-2*0.00376)^2*PI()/4</f>
        <v>3.5149240129286767E-2</v>
      </c>
      <c r="F118" s="15">
        <v>90</v>
      </c>
      <c r="G118" s="15">
        <v>0</v>
      </c>
      <c r="H118" s="15">
        <v>0</v>
      </c>
      <c r="I118" s="15">
        <v>0</v>
      </c>
      <c r="J118" s="11" t="s">
        <v>41</v>
      </c>
      <c r="K118" s="11" t="s">
        <v>369</v>
      </c>
      <c r="L118" s="11">
        <f>L114</f>
        <v>10</v>
      </c>
      <c r="M118" s="12" t="s">
        <v>38</v>
      </c>
      <c r="N118" s="12" t="s">
        <v>38</v>
      </c>
      <c r="O118" s="12" t="s">
        <v>38</v>
      </c>
      <c r="P118" s="12" t="s">
        <v>38</v>
      </c>
      <c r="Q118" s="17">
        <v>4.5000000000000003E-5</v>
      </c>
      <c r="R118" s="13" t="s">
        <v>38</v>
      </c>
      <c r="S118" s="15" t="s">
        <v>38</v>
      </c>
      <c r="T118" s="15" t="s">
        <v>38</v>
      </c>
      <c r="U118" s="36" t="s">
        <v>38</v>
      </c>
      <c r="V118" s="36" t="s">
        <v>38</v>
      </c>
      <c r="W118" s="13"/>
      <c r="X118" s="15">
        <f t="shared" si="1"/>
        <v>105.57999999999998</v>
      </c>
    </row>
    <row r="119" spans="1:24" x14ac:dyDescent="0.25">
      <c r="R119" s="13"/>
      <c r="U119" s="36"/>
      <c r="V119" s="36"/>
      <c r="W119" s="13"/>
      <c r="X119" s="15">
        <f t="shared" si="1"/>
        <v>105.57999999999998</v>
      </c>
    </row>
    <row r="120" spans="1:24" x14ac:dyDescent="0.25">
      <c r="A120" s="11" t="s">
        <v>39</v>
      </c>
      <c r="B120" s="12" t="s">
        <v>38</v>
      </c>
      <c r="C120" s="13" t="s">
        <v>38</v>
      </c>
      <c r="D120" s="13" t="s">
        <v>38</v>
      </c>
      <c r="E120" s="14">
        <v>0</v>
      </c>
      <c r="F120" s="15" t="s">
        <v>38</v>
      </c>
      <c r="G120" s="15" t="s">
        <v>38</v>
      </c>
      <c r="H120" s="15">
        <v>0</v>
      </c>
      <c r="I120" s="15">
        <v>0</v>
      </c>
      <c r="J120" s="11" t="s">
        <v>40</v>
      </c>
      <c r="K120" s="11" t="s">
        <v>369</v>
      </c>
      <c r="L120" s="11" t="s">
        <v>38</v>
      </c>
      <c r="M120" s="12" t="str">
        <f ca="1">OFFSET($A$1,ROW()-3,1)</f>
        <v>PIPE_118</v>
      </c>
      <c r="N120" s="12" t="str">
        <f>B184</f>
        <v>PIPE_184</v>
      </c>
      <c r="O120" s="12">
        <v>2</v>
      </c>
      <c r="P120" s="12">
        <v>1</v>
      </c>
      <c r="Q120" s="17" t="s">
        <v>38</v>
      </c>
      <c r="R120" s="13" t="s">
        <v>38</v>
      </c>
      <c r="S120" s="15" t="s">
        <v>38</v>
      </c>
      <c r="T120" s="15" t="s">
        <v>38</v>
      </c>
      <c r="U120" s="36" t="s">
        <v>38</v>
      </c>
      <c r="V120" s="36" t="s">
        <v>38</v>
      </c>
      <c r="W120" s="13">
        <f>X182</f>
        <v>105.57999999999998</v>
      </c>
      <c r="X120" s="15">
        <f t="shared" si="1"/>
        <v>105.57999999999998</v>
      </c>
    </row>
    <row r="121" spans="1:24" x14ac:dyDescent="0.25">
      <c r="A121" s="11" t="s">
        <v>372</v>
      </c>
      <c r="R121" s="13"/>
      <c r="U121" s="36"/>
      <c r="V121" s="36"/>
      <c r="W121" s="13"/>
    </row>
    <row r="122" spans="1:24" x14ac:dyDescent="0.25">
      <c r="E122" s="14">
        <f>E110*1.5</f>
        <v>5.2723860193930147E-2</v>
      </c>
      <c r="R122" s="13"/>
      <c r="U122" s="36"/>
      <c r="V122" s="36"/>
      <c r="W122" s="13"/>
    </row>
    <row r="123" spans="1:24" x14ac:dyDescent="0.25">
      <c r="R123" s="13"/>
      <c r="U123" s="36"/>
      <c r="V123" s="36"/>
      <c r="W123" s="13"/>
    </row>
    <row r="124" spans="1:24" x14ac:dyDescent="0.25">
      <c r="A124" s="11" t="s">
        <v>373</v>
      </c>
      <c r="R124" s="13"/>
      <c r="U124" s="36"/>
      <c r="V124" s="36"/>
      <c r="W124" s="13"/>
    </row>
    <row r="125" spans="1:24" x14ac:dyDescent="0.25">
      <c r="A125" s="11" t="s">
        <v>35</v>
      </c>
      <c r="B125" s="12">
        <v>150</v>
      </c>
      <c r="R125" s="13"/>
      <c r="U125" s="36"/>
      <c r="V125" s="36"/>
      <c r="W125" s="13"/>
    </row>
    <row r="126" spans="1:24" x14ac:dyDescent="0.25">
      <c r="A126" s="11" t="s">
        <v>36</v>
      </c>
      <c r="B126" s="12">
        <f>100000+($B$47-X126)*9.80665*$B$48</f>
        <v>164532.78853413567</v>
      </c>
      <c r="C126" s="13">
        <f>273.15+$B$46</f>
        <v>298.14999999999998</v>
      </c>
      <c r="R126" s="13"/>
      <c r="U126" s="36"/>
      <c r="V126" s="36"/>
      <c r="W126" s="13"/>
      <c r="X126" s="15">
        <v>113.4</v>
      </c>
    </row>
    <row r="127" spans="1:24" x14ac:dyDescent="0.25">
      <c r="A127" s="11" t="s">
        <v>37</v>
      </c>
      <c r="B127" s="12" t="str">
        <f>CONCATENATE("TMDV_",ROW())</f>
        <v>TMDV_127</v>
      </c>
      <c r="C127" s="13">
        <v>1</v>
      </c>
      <c r="D127" s="13" t="s">
        <v>38</v>
      </c>
      <c r="E127" s="14">
        <v>1</v>
      </c>
      <c r="F127" s="15">
        <v>0</v>
      </c>
      <c r="G127" s="15">
        <v>0</v>
      </c>
      <c r="H127" s="15" t="s">
        <v>38</v>
      </c>
      <c r="I127" s="15" t="s">
        <v>38</v>
      </c>
      <c r="J127" s="11" t="s">
        <v>374</v>
      </c>
      <c r="K127" s="11" t="s">
        <v>38</v>
      </c>
      <c r="L127" s="11" t="s">
        <v>38</v>
      </c>
      <c r="M127" s="12" t="s">
        <v>38</v>
      </c>
      <c r="N127" s="12" t="s">
        <v>38</v>
      </c>
      <c r="O127" s="12" t="s">
        <v>38</v>
      </c>
      <c r="P127" s="12" t="s">
        <v>38</v>
      </c>
      <c r="Q127" s="17">
        <f>100000+($B$47-X126)*9.80665*$B$48</f>
        <v>164532.78853413567</v>
      </c>
      <c r="R127" s="13">
        <f>273.15+$B$46</f>
        <v>298.14999999999998</v>
      </c>
      <c r="S127" s="15" t="s">
        <v>38</v>
      </c>
      <c r="T127" s="15" t="s">
        <v>38</v>
      </c>
      <c r="U127" s="36" t="s">
        <v>38</v>
      </c>
      <c r="V127" s="36" t="s">
        <v>38</v>
      </c>
      <c r="W127" s="13"/>
      <c r="X127" s="15">
        <f>IF(F127="-",X126,X126+C127*SIN(F127*PI()/180))</f>
        <v>113.4</v>
      </c>
    </row>
    <row r="128" spans="1:24" x14ac:dyDescent="0.25">
      <c r="R128" s="13"/>
      <c r="U128" s="36"/>
      <c r="V128" s="36"/>
      <c r="W128" s="13"/>
      <c r="X128" s="15">
        <f t="shared" si="1"/>
        <v>113.4</v>
      </c>
    </row>
    <row r="129" spans="1:24" x14ac:dyDescent="0.25">
      <c r="A129" s="11" t="s">
        <v>39</v>
      </c>
      <c r="B129" s="12" t="s">
        <v>38</v>
      </c>
      <c r="C129" s="13" t="s">
        <v>38</v>
      </c>
      <c r="D129" s="13" t="s">
        <v>38</v>
      </c>
      <c r="E129" s="14">
        <v>0</v>
      </c>
      <c r="F129" s="15" t="s">
        <v>38</v>
      </c>
      <c r="G129" s="15" t="s">
        <v>38</v>
      </c>
      <c r="H129" s="15">
        <v>0</v>
      </c>
      <c r="I129" s="15">
        <v>0</v>
      </c>
      <c r="J129" s="11" t="s">
        <v>40</v>
      </c>
      <c r="K129" s="11" t="s">
        <v>38</v>
      </c>
      <c r="L129" s="11" t="s">
        <v>38</v>
      </c>
      <c r="M129" s="12" t="str">
        <f ca="1">OFFSET($A$1,ROW()-3,1)</f>
        <v>TMDV_127</v>
      </c>
      <c r="N129" s="12" t="str">
        <f ca="1">OFFSET($A$1,ROW()+1,1)</f>
        <v>PIPE_131</v>
      </c>
      <c r="O129" s="12">
        <v>2</v>
      </c>
      <c r="P129" s="12">
        <v>1</v>
      </c>
      <c r="Q129" s="17" t="s">
        <v>38</v>
      </c>
      <c r="R129" s="13" t="s">
        <v>38</v>
      </c>
      <c r="S129" s="15" t="s">
        <v>38</v>
      </c>
      <c r="T129" s="15" t="s">
        <v>38</v>
      </c>
      <c r="U129" s="36" t="s">
        <v>38</v>
      </c>
      <c r="V129" s="36" t="s">
        <v>38</v>
      </c>
      <c r="W129" s="13"/>
      <c r="X129" s="15">
        <f t="shared" si="1"/>
        <v>113.4</v>
      </c>
    </row>
    <row r="130" spans="1:24" x14ac:dyDescent="0.25">
      <c r="R130" s="13"/>
      <c r="U130" s="36"/>
      <c r="V130" s="36"/>
      <c r="W130" s="13"/>
      <c r="X130" s="15">
        <f t="shared" si="1"/>
        <v>113.4</v>
      </c>
    </row>
    <row r="131" spans="1:24" x14ac:dyDescent="0.25">
      <c r="A131" s="11" t="s">
        <v>41</v>
      </c>
      <c r="B131" s="12" t="str">
        <f t="shared" ref="B131:B136" si="2">CONCATENATE("PIPE_",ROW())</f>
        <v>PIPE_131</v>
      </c>
      <c r="C131" s="13">
        <f>0.15+0.381</f>
        <v>0.53100000000000003</v>
      </c>
      <c r="D131" s="13">
        <f t="shared" ref="D131:D136" si="3">dx</f>
        <v>0.2</v>
      </c>
      <c r="E131" s="14">
        <f t="shared" ref="E131:E136" si="4">(0.27305-2*0.00419)^2*PI()/4</f>
        <v>5.5017305415667593E-2</v>
      </c>
      <c r="F131" s="15">
        <v>0</v>
      </c>
      <c r="G131" s="15">
        <v>0</v>
      </c>
      <c r="H131" s="15">
        <v>0</v>
      </c>
      <c r="I131" s="15">
        <v>0</v>
      </c>
      <c r="J131" s="11" t="s">
        <v>361</v>
      </c>
      <c r="K131" s="11" t="s">
        <v>38</v>
      </c>
      <c r="L131" s="11">
        <v>20</v>
      </c>
      <c r="M131" s="12" t="s">
        <v>38</v>
      </c>
      <c r="N131" s="12" t="s">
        <v>38</v>
      </c>
      <c r="O131" s="12" t="s">
        <v>38</v>
      </c>
      <c r="P131" s="12" t="s">
        <v>38</v>
      </c>
      <c r="Q131" s="17">
        <v>4.5000000000000003E-5</v>
      </c>
      <c r="R131" s="13" t="s">
        <v>38</v>
      </c>
      <c r="S131" s="15" t="s">
        <v>38</v>
      </c>
      <c r="T131" s="15" t="s">
        <v>38</v>
      </c>
      <c r="U131" s="36" t="s">
        <v>38</v>
      </c>
      <c r="V131" s="36" t="s">
        <v>38</v>
      </c>
      <c r="W131" s="13"/>
      <c r="X131" s="15">
        <f t="shared" si="1"/>
        <v>113.4</v>
      </c>
    </row>
    <row r="132" spans="1:24" x14ac:dyDescent="0.25">
      <c r="A132" s="11" t="s">
        <v>41</v>
      </c>
      <c r="B132" s="12" t="str">
        <f t="shared" si="2"/>
        <v>PIPE_132</v>
      </c>
      <c r="C132" s="13">
        <v>1.6279999999999999</v>
      </c>
      <c r="D132" s="13">
        <f t="shared" si="3"/>
        <v>0.2</v>
      </c>
      <c r="E132" s="14">
        <f t="shared" si="4"/>
        <v>5.5017305415667593E-2</v>
      </c>
      <c r="F132" s="15">
        <v>0</v>
      </c>
      <c r="G132" s="15">
        <v>0</v>
      </c>
      <c r="H132" s="15">
        <v>0</v>
      </c>
      <c r="I132" s="15">
        <v>0</v>
      </c>
      <c r="J132" s="11" t="s">
        <v>361</v>
      </c>
      <c r="K132" s="11" t="s">
        <v>38</v>
      </c>
      <c r="L132" s="11">
        <f>L131+1</f>
        <v>21</v>
      </c>
      <c r="M132" s="12" t="s">
        <v>38</v>
      </c>
      <c r="N132" s="12" t="s">
        <v>38</v>
      </c>
      <c r="O132" s="12" t="s">
        <v>38</v>
      </c>
      <c r="P132" s="12" t="s">
        <v>38</v>
      </c>
      <c r="Q132" s="17">
        <v>4.5000000000000003E-5</v>
      </c>
      <c r="R132" s="13" t="s">
        <v>38</v>
      </c>
      <c r="S132" s="15" t="s">
        <v>38</v>
      </c>
      <c r="T132" s="15" t="s">
        <v>38</v>
      </c>
      <c r="U132" s="36" t="s">
        <v>38</v>
      </c>
      <c r="V132" s="36" t="s">
        <v>38</v>
      </c>
      <c r="W132" s="13"/>
      <c r="X132" s="15">
        <f t="shared" si="1"/>
        <v>113.4</v>
      </c>
    </row>
    <row r="133" spans="1:24" x14ac:dyDescent="0.25">
      <c r="A133" s="11" t="s">
        <v>41</v>
      </c>
      <c r="B133" s="12" t="str">
        <f t="shared" si="2"/>
        <v>PIPE_133</v>
      </c>
      <c r="C133" s="13">
        <v>1.883</v>
      </c>
      <c r="D133" s="13">
        <f t="shared" si="3"/>
        <v>0.2</v>
      </c>
      <c r="E133" s="14">
        <f t="shared" si="4"/>
        <v>5.5017305415667593E-2</v>
      </c>
      <c r="F133" s="15">
        <v>0</v>
      </c>
      <c r="G133" s="15">
        <v>0</v>
      </c>
      <c r="H133" s="15">
        <v>0</v>
      </c>
      <c r="I133" s="15">
        <v>0</v>
      </c>
      <c r="J133" s="11" t="s">
        <v>361</v>
      </c>
      <c r="K133" s="11" t="s">
        <v>38</v>
      </c>
      <c r="L133" s="11">
        <f>L132+1</f>
        <v>22</v>
      </c>
      <c r="M133" s="12" t="s">
        <v>38</v>
      </c>
      <c r="N133" s="12" t="s">
        <v>38</v>
      </c>
      <c r="O133" s="12" t="s">
        <v>38</v>
      </c>
      <c r="P133" s="12" t="s">
        <v>38</v>
      </c>
      <c r="Q133" s="17">
        <v>4.5000000000000003E-5</v>
      </c>
      <c r="R133" s="13" t="s">
        <v>38</v>
      </c>
      <c r="S133" s="15" t="s">
        <v>38</v>
      </c>
      <c r="T133" s="15" t="s">
        <v>38</v>
      </c>
      <c r="U133" s="36" t="s">
        <v>38</v>
      </c>
      <c r="V133" s="36" t="s">
        <v>38</v>
      </c>
      <c r="W133" s="13"/>
      <c r="X133" s="15">
        <f t="shared" si="1"/>
        <v>113.4</v>
      </c>
    </row>
    <row r="134" spans="1:24" x14ac:dyDescent="0.25">
      <c r="A134" s="11" t="s">
        <v>41</v>
      </c>
      <c r="B134" s="12" t="str">
        <f t="shared" si="2"/>
        <v>PIPE_134</v>
      </c>
      <c r="C134" s="13">
        <f>4.05+2.16+0.83</f>
        <v>7.04</v>
      </c>
      <c r="D134" s="13">
        <f t="shared" si="3"/>
        <v>0.2</v>
      </c>
      <c r="E134" s="14">
        <f t="shared" si="4"/>
        <v>5.5017305415667593E-2</v>
      </c>
      <c r="F134" s="15">
        <v>0</v>
      </c>
      <c r="G134" s="15">
        <v>0</v>
      </c>
      <c r="H134" s="15">
        <v>0</v>
      </c>
      <c r="I134" s="15">
        <v>0</v>
      </c>
      <c r="J134" s="11" t="s">
        <v>361</v>
      </c>
      <c r="K134" s="11" t="s">
        <v>38</v>
      </c>
      <c r="L134" s="11">
        <f>L133+1</f>
        <v>23</v>
      </c>
      <c r="M134" s="12" t="s">
        <v>38</v>
      </c>
      <c r="N134" s="12" t="s">
        <v>38</v>
      </c>
      <c r="O134" s="12" t="s">
        <v>38</v>
      </c>
      <c r="P134" s="12" t="s">
        <v>38</v>
      </c>
      <c r="Q134" s="17">
        <v>4.5000000000000003E-5</v>
      </c>
      <c r="R134" s="13" t="s">
        <v>38</v>
      </c>
      <c r="S134" s="15" t="s">
        <v>38</v>
      </c>
      <c r="T134" s="15" t="s">
        <v>38</v>
      </c>
      <c r="U134" s="36" t="s">
        <v>38</v>
      </c>
      <c r="V134" s="36" t="s">
        <v>38</v>
      </c>
      <c r="W134" s="13"/>
      <c r="X134" s="15">
        <f t="shared" si="1"/>
        <v>113.4</v>
      </c>
    </row>
    <row r="135" spans="1:24" x14ac:dyDescent="0.25">
      <c r="A135" s="11" t="s">
        <v>41</v>
      </c>
      <c r="B135" s="12" t="str">
        <f t="shared" si="2"/>
        <v>PIPE_135</v>
      </c>
      <c r="C135" s="13">
        <f>0.381+0.102</f>
        <v>0.48299999999999998</v>
      </c>
      <c r="D135" s="13">
        <f t="shared" si="3"/>
        <v>0.2</v>
      </c>
      <c r="E135" s="14">
        <f t="shared" si="4"/>
        <v>5.5017305415667593E-2</v>
      </c>
      <c r="F135" s="15">
        <f>-60</f>
        <v>-60</v>
      </c>
      <c r="G135" s="15">
        <v>0</v>
      </c>
      <c r="H135" s="15">
        <v>0</v>
      </c>
      <c r="I135" s="15">
        <v>0</v>
      </c>
      <c r="J135" s="11" t="s">
        <v>361</v>
      </c>
      <c r="K135" s="11" t="s">
        <v>38</v>
      </c>
      <c r="L135" s="11">
        <f>L134+1</f>
        <v>24</v>
      </c>
      <c r="M135" s="12" t="s">
        <v>38</v>
      </c>
      <c r="N135" s="12" t="s">
        <v>38</v>
      </c>
      <c r="O135" s="12" t="s">
        <v>38</v>
      </c>
      <c r="P135" s="12" t="s">
        <v>38</v>
      </c>
      <c r="Q135" s="17">
        <v>4.5000000000000003E-5</v>
      </c>
      <c r="R135" s="13" t="s">
        <v>38</v>
      </c>
      <c r="S135" s="15" t="s">
        <v>38</v>
      </c>
      <c r="T135" s="15" t="s">
        <v>38</v>
      </c>
      <c r="U135" s="36" t="s">
        <v>38</v>
      </c>
      <c r="V135" s="36" t="s">
        <v>38</v>
      </c>
      <c r="W135" s="13"/>
      <c r="X135" s="15">
        <f t="shared" si="1"/>
        <v>112.98170972997212</v>
      </c>
    </row>
    <row r="136" spans="1:24" x14ac:dyDescent="0.25">
      <c r="A136" s="11" t="s">
        <v>41</v>
      </c>
      <c r="B136" s="12" t="str">
        <f t="shared" si="2"/>
        <v>PIPE_136</v>
      </c>
      <c r="C136" s="13">
        <f>0.268+0.15+0.66/2</f>
        <v>0.748</v>
      </c>
      <c r="D136" s="13">
        <f t="shared" si="3"/>
        <v>0.2</v>
      </c>
      <c r="E136" s="14">
        <f t="shared" si="4"/>
        <v>5.5017305415667593E-2</v>
      </c>
      <c r="F136" s="15">
        <v>-90</v>
      </c>
      <c r="G136" s="15">
        <v>0</v>
      </c>
      <c r="H136" s="15">
        <v>0</v>
      </c>
      <c r="I136" s="15">
        <v>0</v>
      </c>
      <c r="J136" s="11" t="s">
        <v>361</v>
      </c>
      <c r="K136" s="11" t="s">
        <v>38</v>
      </c>
      <c r="L136" s="11">
        <f>L135+1</f>
        <v>25</v>
      </c>
      <c r="M136" s="12" t="s">
        <v>38</v>
      </c>
      <c r="N136" s="12" t="s">
        <v>38</v>
      </c>
      <c r="O136" s="12" t="s">
        <v>38</v>
      </c>
      <c r="P136" s="12" t="s">
        <v>38</v>
      </c>
      <c r="Q136" s="17">
        <v>4.5000000000000003E-5</v>
      </c>
      <c r="R136" s="13" t="s">
        <v>38</v>
      </c>
      <c r="S136" s="15" t="s">
        <v>38</v>
      </c>
      <c r="T136" s="15" t="s">
        <v>38</v>
      </c>
      <c r="U136" s="36" t="s">
        <v>38</v>
      </c>
      <c r="V136" s="36" t="s">
        <v>38</v>
      </c>
      <c r="W136" s="13"/>
      <c r="X136" s="15">
        <f t="shared" si="1"/>
        <v>112.23370972997212</v>
      </c>
    </row>
    <row r="137" spans="1:24" x14ac:dyDescent="0.25">
      <c r="R137" s="13"/>
      <c r="U137" s="36"/>
      <c r="V137" s="36"/>
      <c r="W137" s="13"/>
      <c r="X137" s="15">
        <f t="shared" si="1"/>
        <v>112.23370972997212</v>
      </c>
    </row>
    <row r="138" spans="1:24" x14ac:dyDescent="0.25">
      <c r="A138" s="11" t="s">
        <v>56</v>
      </c>
      <c r="B138" s="12" t="s">
        <v>38</v>
      </c>
      <c r="C138" s="13" t="s">
        <v>38</v>
      </c>
      <c r="D138" s="13" t="s">
        <v>38</v>
      </c>
      <c r="E138" s="14">
        <f>(0.27305-2*0.00419)^2*PI()/4</f>
        <v>5.5017305415667593E-2</v>
      </c>
      <c r="F138" s="15" t="s">
        <v>38</v>
      </c>
      <c r="G138" s="15" t="s">
        <v>38</v>
      </c>
      <c r="H138" s="15">
        <v>0</v>
      </c>
      <c r="I138" s="15">
        <v>0</v>
      </c>
      <c r="J138" s="11" t="s">
        <v>375</v>
      </c>
      <c r="K138" s="11" t="s">
        <v>38</v>
      </c>
      <c r="L138" s="11" t="s">
        <v>38</v>
      </c>
      <c r="M138" s="12" t="str">
        <f ca="1">OFFSET($A$1,ROW()-3,1)</f>
        <v>PIPE_136</v>
      </c>
      <c r="N138" s="12" t="str">
        <f ca="1">OFFSET($A$1,ROW()+1,1)</f>
        <v>PIPE_140</v>
      </c>
      <c r="O138" s="12">
        <v>2</v>
      </c>
      <c r="P138" s="12">
        <v>1</v>
      </c>
      <c r="Q138" s="17" t="s">
        <v>38</v>
      </c>
      <c r="R138" s="13" t="s">
        <v>38</v>
      </c>
      <c r="S138" s="15" t="s">
        <v>38</v>
      </c>
      <c r="T138" s="15">
        <v>1</v>
      </c>
      <c r="U138" s="36" t="s">
        <v>38</v>
      </c>
      <c r="V138" s="36" t="s">
        <v>38</v>
      </c>
      <c r="W138" s="13"/>
      <c r="X138" s="15">
        <f t="shared" si="1"/>
        <v>112.23370972997212</v>
      </c>
    </row>
    <row r="139" spans="1:24" x14ac:dyDescent="0.25">
      <c r="R139" s="13"/>
      <c r="U139" s="36"/>
      <c r="V139" s="36"/>
      <c r="W139" s="13"/>
      <c r="X139" s="15">
        <f t="shared" si="1"/>
        <v>112.23370972997212</v>
      </c>
    </row>
    <row r="140" spans="1:24" x14ac:dyDescent="0.25">
      <c r="A140" s="11" t="s">
        <v>41</v>
      </c>
      <c r="B140" s="12" t="str">
        <f>CONCATENATE("PIPE_",ROW())</f>
        <v>PIPE_140</v>
      </c>
      <c r="C140" s="13">
        <f>0.66/2+0.15+0.338+0.216</f>
        <v>1.034</v>
      </c>
      <c r="D140" s="13">
        <f>dx</f>
        <v>0.2</v>
      </c>
      <c r="E140" s="14">
        <f>(0.27305-2*0.00419)^2*PI()/4</f>
        <v>5.5017305415667593E-2</v>
      </c>
      <c r="F140" s="15">
        <v>-90</v>
      </c>
      <c r="G140" s="15">
        <v>0</v>
      </c>
      <c r="H140" s="15">
        <v>0</v>
      </c>
      <c r="I140" s="15">
        <v>0</v>
      </c>
      <c r="J140" s="11" t="s">
        <v>361</v>
      </c>
      <c r="K140" s="11" t="s">
        <v>38</v>
      </c>
      <c r="L140" s="11">
        <f>L136</f>
        <v>25</v>
      </c>
      <c r="M140" s="12" t="s">
        <v>38</v>
      </c>
      <c r="N140" s="12" t="s">
        <v>38</v>
      </c>
      <c r="O140" s="12" t="s">
        <v>38</v>
      </c>
      <c r="P140" s="12" t="s">
        <v>38</v>
      </c>
      <c r="Q140" s="17">
        <v>4.5000000000000003E-5</v>
      </c>
      <c r="R140" s="13" t="s">
        <v>38</v>
      </c>
      <c r="S140" s="15" t="s">
        <v>38</v>
      </c>
      <c r="T140" s="15" t="s">
        <v>38</v>
      </c>
      <c r="U140" s="36" t="s">
        <v>38</v>
      </c>
      <c r="V140" s="36" t="s">
        <v>38</v>
      </c>
      <c r="W140" s="13"/>
      <c r="X140" s="15">
        <f t="shared" si="1"/>
        <v>111.19970972997211</v>
      </c>
    </row>
    <row r="141" spans="1:24" x14ac:dyDescent="0.25">
      <c r="R141" s="13"/>
      <c r="U141" s="36"/>
      <c r="V141" s="36"/>
      <c r="W141" s="13"/>
      <c r="X141" s="15">
        <f t="shared" si="1"/>
        <v>111.19970972997211</v>
      </c>
    </row>
    <row r="142" spans="1:24" x14ac:dyDescent="0.25">
      <c r="A142" s="11" t="s">
        <v>39</v>
      </c>
      <c r="B142" s="12" t="s">
        <v>38</v>
      </c>
      <c r="C142" s="13" t="s">
        <v>38</v>
      </c>
      <c r="D142" s="13" t="s">
        <v>38</v>
      </c>
      <c r="E142" s="14">
        <v>0</v>
      </c>
      <c r="F142" s="15" t="s">
        <v>38</v>
      </c>
      <c r="G142" s="15" t="s">
        <v>38</v>
      </c>
      <c r="H142" s="15">
        <v>0</v>
      </c>
      <c r="I142" s="15">
        <v>0</v>
      </c>
      <c r="J142" s="11" t="s">
        <v>40</v>
      </c>
      <c r="K142" s="11" t="s">
        <v>38</v>
      </c>
      <c r="L142" s="11" t="s">
        <v>38</v>
      </c>
      <c r="M142" s="12" t="str">
        <f ca="1">OFFSET($A$1,ROW()-3,1)</f>
        <v>PIPE_140</v>
      </c>
      <c r="N142" s="12" t="str">
        <f>B94</f>
        <v>PIPE_94</v>
      </c>
      <c r="O142" s="12">
        <v>2</v>
      </c>
      <c r="P142" s="12">
        <v>1</v>
      </c>
      <c r="Q142" s="17" t="s">
        <v>38</v>
      </c>
      <c r="R142" s="13" t="s">
        <v>38</v>
      </c>
      <c r="S142" s="15" t="s">
        <v>38</v>
      </c>
      <c r="T142" s="15" t="s">
        <v>38</v>
      </c>
      <c r="U142" s="36" t="s">
        <v>38</v>
      </c>
      <c r="V142" s="36" t="s">
        <v>38</v>
      </c>
      <c r="W142" s="13">
        <f>X94</f>
        <v>111.19999999999999</v>
      </c>
      <c r="X142" s="15">
        <f t="shared" si="1"/>
        <v>111.19970972997211</v>
      </c>
    </row>
    <row r="143" spans="1:24" x14ac:dyDescent="0.25">
      <c r="R143" s="13"/>
      <c r="U143" s="36"/>
      <c r="V143" s="36"/>
      <c r="W143" s="13"/>
    </row>
    <row r="144" spans="1:24" x14ac:dyDescent="0.25">
      <c r="R144" s="13"/>
      <c r="U144" s="36"/>
      <c r="V144" s="36"/>
      <c r="W144" s="13"/>
    </row>
    <row r="145" spans="1:24" x14ac:dyDescent="0.25">
      <c r="R145" s="13"/>
      <c r="U145" s="36"/>
      <c r="V145" s="36"/>
      <c r="W145" s="13"/>
    </row>
    <row r="146" spans="1:24" x14ac:dyDescent="0.25">
      <c r="R146" s="13"/>
      <c r="U146" s="36"/>
      <c r="V146" s="36"/>
      <c r="W146" s="13"/>
    </row>
    <row r="147" spans="1:24" x14ac:dyDescent="0.25">
      <c r="R147" s="13"/>
      <c r="U147" s="36"/>
      <c r="V147" s="36"/>
      <c r="W147" s="13"/>
    </row>
    <row r="148" spans="1:24" x14ac:dyDescent="0.25">
      <c r="R148" s="13"/>
      <c r="U148" s="36"/>
      <c r="V148" s="36"/>
      <c r="W148" s="13"/>
    </row>
    <row r="149" spans="1:24" x14ac:dyDescent="0.25">
      <c r="R149" s="13"/>
      <c r="U149" s="36"/>
      <c r="V149" s="36"/>
      <c r="W149" s="13"/>
    </row>
    <row r="150" spans="1:24" x14ac:dyDescent="0.25">
      <c r="R150" s="13"/>
      <c r="U150" s="36"/>
      <c r="V150" s="36"/>
      <c r="W150" s="13"/>
    </row>
    <row r="151" spans="1:24" x14ac:dyDescent="0.25">
      <c r="R151" s="13"/>
      <c r="U151" s="36"/>
      <c r="V151" s="36"/>
      <c r="W151" s="13"/>
    </row>
    <row r="152" spans="1:24" x14ac:dyDescent="0.25">
      <c r="R152" s="13"/>
      <c r="U152" s="36"/>
      <c r="V152" s="36"/>
      <c r="W152" s="13"/>
    </row>
    <row r="153" spans="1:24" x14ac:dyDescent="0.25">
      <c r="R153" s="13"/>
      <c r="U153" s="36"/>
      <c r="V153" s="36"/>
      <c r="W153" s="13"/>
    </row>
    <row r="154" spans="1:24" x14ac:dyDescent="0.25">
      <c r="R154" s="13"/>
      <c r="U154" s="36"/>
      <c r="V154" s="36"/>
      <c r="W154" s="13"/>
    </row>
    <row r="155" spans="1:24" x14ac:dyDescent="0.25">
      <c r="R155" s="13"/>
      <c r="U155" s="36"/>
      <c r="V155" s="36"/>
      <c r="W155" s="13"/>
    </row>
    <row r="156" spans="1:24" x14ac:dyDescent="0.25">
      <c r="A156" s="11" t="s">
        <v>376</v>
      </c>
      <c r="R156" s="13"/>
      <c r="U156" s="36"/>
      <c r="V156" s="36"/>
      <c r="W156" s="13"/>
    </row>
    <row r="157" spans="1:24" x14ac:dyDescent="0.25">
      <c r="A157" s="11" t="s">
        <v>35</v>
      </c>
      <c r="B157" s="12">
        <v>205</v>
      </c>
      <c r="R157" s="13"/>
      <c r="U157" s="36"/>
      <c r="V157" s="36"/>
      <c r="W157" s="13"/>
    </row>
    <row r="158" spans="1:24" x14ac:dyDescent="0.25">
      <c r="A158" s="11" t="s">
        <v>36</v>
      </c>
      <c r="B158" s="12">
        <f>100000+($B$47-X160)*9.80665*$B$48</f>
        <v>228674.46925897378</v>
      </c>
      <c r="C158" s="13">
        <f>273.15+$B$46</f>
        <v>298.14999999999998</v>
      </c>
      <c r="R158" s="13"/>
      <c r="U158" s="36"/>
      <c r="V158" s="36"/>
      <c r="W158" s="13"/>
    </row>
    <row r="159" spans="1:24" x14ac:dyDescent="0.25">
      <c r="A159" s="11" t="s">
        <v>377</v>
      </c>
      <c r="R159" s="13"/>
      <c r="U159" s="36"/>
      <c r="V159" s="36"/>
      <c r="W159" s="13"/>
    </row>
    <row r="160" spans="1:24" x14ac:dyDescent="0.25">
      <c r="A160" s="11" t="s">
        <v>39</v>
      </c>
      <c r="B160" s="12" t="s">
        <v>38</v>
      </c>
      <c r="C160" s="13" t="s">
        <v>38</v>
      </c>
      <c r="D160" s="13" t="s">
        <v>38</v>
      </c>
      <c r="E160" s="14">
        <v>0</v>
      </c>
      <c r="F160" s="15" t="s">
        <v>38</v>
      </c>
      <c r="G160" s="15" t="s">
        <v>38</v>
      </c>
      <c r="H160" s="15">
        <v>0</v>
      </c>
      <c r="I160" s="15">
        <v>0</v>
      </c>
      <c r="J160" s="11" t="s">
        <v>40</v>
      </c>
      <c r="K160" s="11" t="s">
        <v>38</v>
      </c>
      <c r="L160" s="11" t="s">
        <v>38</v>
      </c>
      <c r="M160" s="12" t="str">
        <f>B96</f>
        <v>PIPE_96</v>
      </c>
      <c r="N160" s="12" t="str">
        <f ca="1">OFFSET($A$1,ROW()+1,1)</f>
        <v>PIPE_162</v>
      </c>
      <c r="O160" s="12">
        <v>2</v>
      </c>
      <c r="P160" s="12">
        <v>1</v>
      </c>
      <c r="Q160" s="17" t="s">
        <v>38</v>
      </c>
      <c r="R160" s="13" t="s">
        <v>38</v>
      </c>
      <c r="S160" s="15" t="s">
        <v>38</v>
      </c>
      <c r="T160" s="15" t="s">
        <v>38</v>
      </c>
      <c r="U160" s="36" t="s">
        <v>38</v>
      </c>
      <c r="V160" s="36" t="s">
        <v>38</v>
      </c>
      <c r="W160" s="13"/>
      <c r="X160" s="15">
        <f>X98</f>
        <v>106.83999999999999</v>
      </c>
    </row>
    <row r="161" spans="1:25" x14ac:dyDescent="0.25">
      <c r="R161" s="13"/>
      <c r="U161" s="36"/>
      <c r="V161" s="36"/>
      <c r="W161" s="13"/>
      <c r="X161" s="15">
        <f t="shared" ref="X161:X224" si="5">IF(F161="-",X160,X160+C161*SIN(F161*PI()/180))</f>
        <v>106.83999999999999</v>
      </c>
    </row>
    <row r="162" spans="1:25" x14ac:dyDescent="0.25">
      <c r="A162" s="11" t="s">
        <v>41</v>
      </c>
      <c r="B162" s="12" t="str">
        <f>CONCATENATE("PIPE_",ROW())</f>
        <v>PIPE_162</v>
      </c>
      <c r="C162" s="13">
        <f>0.216+1.291+0.15+0.66/2</f>
        <v>1.9869999999999999</v>
      </c>
      <c r="D162" s="13">
        <f>dx</f>
        <v>0.2</v>
      </c>
      <c r="E162" s="14">
        <f>(0.27305-2*0.00419)^2*PI()/4</f>
        <v>5.5017305415667593E-2</v>
      </c>
      <c r="F162" s="15">
        <v>-90</v>
      </c>
      <c r="G162" s="15">
        <v>0</v>
      </c>
      <c r="H162" s="15">
        <v>0</v>
      </c>
      <c r="I162" s="15">
        <v>0</v>
      </c>
      <c r="J162" s="11" t="s">
        <v>361</v>
      </c>
      <c r="K162" s="11" t="s">
        <v>363</v>
      </c>
      <c r="L162" s="11">
        <v>30</v>
      </c>
      <c r="M162" s="12" t="s">
        <v>38</v>
      </c>
      <c r="N162" s="12" t="s">
        <v>38</v>
      </c>
      <c r="O162" s="12" t="s">
        <v>38</v>
      </c>
      <c r="P162" s="12" t="s">
        <v>38</v>
      </c>
      <c r="Q162" s="17">
        <v>4.5000000000000003E-5</v>
      </c>
      <c r="R162" s="13" t="s">
        <v>38</v>
      </c>
      <c r="S162" s="15" t="s">
        <v>38</v>
      </c>
      <c r="T162" s="15" t="s">
        <v>38</v>
      </c>
      <c r="U162" s="36" t="s">
        <v>38</v>
      </c>
      <c r="V162" s="36" t="s">
        <v>38</v>
      </c>
      <c r="W162" s="13"/>
      <c r="X162" s="15">
        <f t="shared" si="5"/>
        <v>104.85299999999999</v>
      </c>
    </row>
    <row r="163" spans="1:25" x14ac:dyDescent="0.25">
      <c r="R163" s="13"/>
      <c r="U163" s="36"/>
      <c r="V163" s="36"/>
      <c r="W163" s="13"/>
      <c r="X163" s="15">
        <f t="shared" si="5"/>
        <v>104.85299999999999</v>
      </c>
    </row>
    <row r="164" spans="1:25" x14ac:dyDescent="0.25">
      <c r="A164" s="11" t="s">
        <v>56</v>
      </c>
      <c r="B164" s="12" t="s">
        <v>38</v>
      </c>
      <c r="C164" s="13" t="s">
        <v>38</v>
      </c>
      <c r="D164" s="13" t="s">
        <v>38</v>
      </c>
      <c r="E164" s="14">
        <f>(0.27305-2*0.00419)^2*PI()/4</f>
        <v>5.5017305415667593E-2</v>
      </c>
      <c r="F164" s="15" t="s">
        <v>38</v>
      </c>
      <c r="G164" s="15" t="s">
        <v>38</v>
      </c>
      <c r="H164" s="15">
        <v>0</v>
      </c>
      <c r="I164" s="15">
        <v>0</v>
      </c>
      <c r="J164" s="11" t="s">
        <v>378</v>
      </c>
      <c r="K164" s="11" t="s">
        <v>363</v>
      </c>
      <c r="L164" s="11" t="s">
        <v>38</v>
      </c>
      <c r="M164" s="12" t="str">
        <f ca="1">OFFSET($A$1,ROW()-3,1)</f>
        <v>PIPE_162</v>
      </c>
      <c r="N164" s="12" t="str">
        <f ca="1">OFFSET($A$1,ROW()+1,1)</f>
        <v>PIPE_166</v>
      </c>
      <c r="O164" s="12">
        <v>2</v>
      </c>
      <c r="P164" s="12">
        <v>1</v>
      </c>
      <c r="Q164" s="17" t="s">
        <v>38</v>
      </c>
      <c r="R164" s="13" t="s">
        <v>38</v>
      </c>
      <c r="S164" s="15" t="s">
        <v>38</v>
      </c>
      <c r="T164" s="15">
        <v>1</v>
      </c>
      <c r="U164" s="36" t="s">
        <v>38</v>
      </c>
      <c r="V164" s="36" t="s">
        <v>38</v>
      </c>
      <c r="W164" s="13"/>
      <c r="X164" s="15">
        <f t="shared" si="5"/>
        <v>104.85299999999999</v>
      </c>
    </row>
    <row r="165" spans="1:25" x14ac:dyDescent="0.25">
      <c r="R165" s="13"/>
      <c r="U165" s="36"/>
      <c r="V165" s="36"/>
      <c r="W165" s="13"/>
      <c r="X165" s="15">
        <f t="shared" si="5"/>
        <v>104.85299999999999</v>
      </c>
    </row>
    <row r="166" spans="1:25" x14ac:dyDescent="0.25">
      <c r="A166" s="11" t="s">
        <v>41</v>
      </c>
      <c r="B166" s="12" t="str">
        <f>CONCATENATE("PIPE_",ROW())</f>
        <v>PIPE_166</v>
      </c>
      <c r="C166" s="13">
        <f>0.66/2+0.15+0.101+0.101+0.381</f>
        <v>1.0629999999999999</v>
      </c>
      <c r="D166" s="13">
        <f>dx</f>
        <v>0.2</v>
      </c>
      <c r="E166" s="14">
        <f>(0.27305-2*0.00419)^2*PI()/4</f>
        <v>5.5017305415667593E-2</v>
      </c>
      <c r="F166" s="15">
        <v>-90</v>
      </c>
      <c r="G166" s="15">
        <v>0</v>
      </c>
      <c r="H166" s="15">
        <v>0</v>
      </c>
      <c r="I166" s="15">
        <v>0</v>
      </c>
      <c r="J166" s="11" t="s">
        <v>361</v>
      </c>
      <c r="K166" s="11" t="s">
        <v>363</v>
      </c>
      <c r="L166" s="11">
        <f>L162</f>
        <v>30</v>
      </c>
      <c r="M166" s="12" t="s">
        <v>38</v>
      </c>
      <c r="N166" s="12" t="s">
        <v>38</v>
      </c>
      <c r="O166" s="12" t="s">
        <v>38</v>
      </c>
      <c r="P166" s="12" t="s">
        <v>38</v>
      </c>
      <c r="Q166" s="17">
        <v>4.5000000000000003E-5</v>
      </c>
      <c r="R166" s="13" t="s">
        <v>38</v>
      </c>
      <c r="S166" s="15" t="s">
        <v>38</v>
      </c>
      <c r="T166" s="15" t="s">
        <v>38</v>
      </c>
      <c r="U166" s="36" t="s">
        <v>38</v>
      </c>
      <c r="V166" s="36" t="s">
        <v>38</v>
      </c>
      <c r="W166" s="13"/>
      <c r="X166" s="15">
        <f t="shared" si="5"/>
        <v>103.78999999999999</v>
      </c>
    </row>
    <row r="167" spans="1:25" x14ac:dyDescent="0.25">
      <c r="A167" s="11" t="s">
        <v>41</v>
      </c>
      <c r="B167" s="12" t="str">
        <f>CONCATENATE("PIPE_",ROW())</f>
        <v>PIPE_167</v>
      </c>
      <c r="C167" s="13">
        <v>0.71</v>
      </c>
      <c r="D167" s="13">
        <f>dx</f>
        <v>0.2</v>
      </c>
      <c r="E167" s="14">
        <f>(0.27305-2*0.00419)^2*PI()/4</f>
        <v>5.5017305415667593E-2</v>
      </c>
      <c r="F167" s="15">
        <v>0</v>
      </c>
      <c r="G167" s="15">
        <v>0</v>
      </c>
      <c r="H167" s="15">
        <v>0</v>
      </c>
      <c r="I167" s="15">
        <v>0</v>
      </c>
      <c r="J167" s="11" t="s">
        <v>361</v>
      </c>
      <c r="K167" s="11" t="s">
        <v>363</v>
      </c>
      <c r="L167" s="11">
        <f>L166+1</f>
        <v>31</v>
      </c>
      <c r="M167" s="12" t="s">
        <v>38</v>
      </c>
      <c r="N167" s="12" t="s">
        <v>38</v>
      </c>
      <c r="O167" s="12" t="s">
        <v>38</v>
      </c>
      <c r="P167" s="12" t="s">
        <v>38</v>
      </c>
      <c r="Q167" s="17">
        <v>4.5000000000000003E-5</v>
      </c>
      <c r="R167" s="13" t="s">
        <v>38</v>
      </c>
      <c r="S167" s="15" t="s">
        <v>38</v>
      </c>
      <c r="T167" s="15" t="s">
        <v>38</v>
      </c>
      <c r="U167" s="36" t="s">
        <v>38</v>
      </c>
      <c r="V167" s="36" t="s">
        <v>38</v>
      </c>
      <c r="W167" s="13"/>
      <c r="X167" s="15">
        <f t="shared" si="5"/>
        <v>103.78999999999999</v>
      </c>
    </row>
    <row r="168" spans="1:25" x14ac:dyDescent="0.25">
      <c r="R168" s="13"/>
      <c r="U168" s="36"/>
      <c r="V168" s="36"/>
      <c r="W168" s="13"/>
      <c r="X168" s="15">
        <f t="shared" si="5"/>
        <v>103.78999999999999</v>
      </c>
    </row>
    <row r="169" spans="1:25" x14ac:dyDescent="0.25">
      <c r="A169" s="11" t="s">
        <v>49</v>
      </c>
      <c r="B169" s="12" t="s">
        <v>38</v>
      </c>
      <c r="C169" s="13">
        <v>0.2</v>
      </c>
      <c r="D169" s="13" t="s">
        <v>38</v>
      </c>
      <c r="E169" s="14">
        <f>(0.27305-2*0.00419)^2*PI()/4</f>
        <v>5.5017305415667593E-2</v>
      </c>
      <c r="F169" s="15">
        <v>0</v>
      </c>
      <c r="G169" s="15">
        <v>0</v>
      </c>
      <c r="H169" s="15">
        <v>0</v>
      </c>
      <c r="I169" s="15">
        <v>0</v>
      </c>
      <c r="J169" s="11" t="s">
        <v>379</v>
      </c>
      <c r="K169" s="11" t="s">
        <v>38</v>
      </c>
      <c r="L169" s="11" t="s">
        <v>38</v>
      </c>
      <c r="M169" s="12" t="str">
        <f ca="1">OFFSET($A$1,ROW()-3,1)</f>
        <v>PIPE_167</v>
      </c>
      <c r="N169" s="12" t="str">
        <f ca="1">OFFSET($A$1,ROW()+1,1)</f>
        <v>PIPE_171</v>
      </c>
      <c r="O169" s="12">
        <v>2</v>
      </c>
      <c r="P169" s="12">
        <v>1</v>
      </c>
      <c r="Q169" s="17" t="s">
        <v>38</v>
      </c>
      <c r="R169" s="13">
        <f>0.145</f>
        <v>0.14499999999999999</v>
      </c>
      <c r="S169" s="15">
        <v>37.83</v>
      </c>
      <c r="T169" s="15">
        <v>151.84</v>
      </c>
      <c r="U169" s="36" t="s">
        <v>38</v>
      </c>
      <c r="V169" s="36" t="s">
        <v>38</v>
      </c>
      <c r="W169" s="13"/>
      <c r="X169" s="15">
        <f t="shared" si="5"/>
        <v>103.78999999999999</v>
      </c>
    </row>
    <row r="170" spans="1:25" x14ac:dyDescent="0.25">
      <c r="R170" s="13"/>
      <c r="U170" s="36"/>
      <c r="V170" s="36"/>
      <c r="W170" s="13"/>
      <c r="X170" s="15">
        <f t="shared" si="5"/>
        <v>103.78999999999999</v>
      </c>
    </row>
    <row r="171" spans="1:25" x14ac:dyDescent="0.25">
      <c r="A171" s="11" t="s">
        <v>41</v>
      </c>
      <c r="B171" s="12" t="str">
        <f>CONCATENATE("PIPE_",ROW())</f>
        <v>PIPE_171</v>
      </c>
      <c r="C171" s="13">
        <f>0.101+0.152+0.075+0.508/2</f>
        <v>0.58200000000000007</v>
      </c>
      <c r="D171" s="13">
        <f>dx</f>
        <v>0.2</v>
      </c>
      <c r="E171" s="14">
        <f>(0.21907-2*0.00376)^2*PI()/4</f>
        <v>3.5149240129286767E-2</v>
      </c>
      <c r="F171" s="15">
        <v>90</v>
      </c>
      <c r="G171" s="15">
        <v>0</v>
      </c>
      <c r="H171" s="15">
        <v>0</v>
      </c>
      <c r="I171" s="15">
        <v>0</v>
      </c>
      <c r="J171" s="11" t="s">
        <v>368</v>
      </c>
      <c r="K171" s="11" t="s">
        <v>369</v>
      </c>
      <c r="L171" s="11">
        <f>ROUNDUP(L167/10,0)*10</f>
        <v>40</v>
      </c>
      <c r="M171" s="12" t="s">
        <v>38</v>
      </c>
      <c r="N171" s="12" t="s">
        <v>38</v>
      </c>
      <c r="O171" s="12" t="s">
        <v>38</v>
      </c>
      <c r="P171" s="12" t="s">
        <v>38</v>
      </c>
      <c r="Q171" s="17">
        <v>4.5000000000000003E-5</v>
      </c>
      <c r="R171" s="13" t="s">
        <v>38</v>
      </c>
      <c r="S171" s="15" t="s">
        <v>38</v>
      </c>
      <c r="T171" s="15" t="s">
        <v>38</v>
      </c>
      <c r="U171" s="36" t="s">
        <v>38</v>
      </c>
      <c r="V171" s="36" t="s">
        <v>38</v>
      </c>
      <c r="W171" s="13"/>
      <c r="X171" s="15">
        <f t="shared" si="5"/>
        <v>104.37199999999999</v>
      </c>
      <c r="Y171" s="118">
        <f>X171-W171</f>
        <v>104.37199999999999</v>
      </c>
    </row>
    <row r="172" spans="1:25" x14ac:dyDescent="0.25">
      <c r="R172" s="13"/>
      <c r="U172" s="36"/>
      <c r="V172" s="36"/>
      <c r="W172" s="13"/>
      <c r="X172" s="15">
        <f t="shared" si="5"/>
        <v>104.37199999999999</v>
      </c>
    </row>
    <row r="173" spans="1:25" x14ac:dyDescent="0.25">
      <c r="A173" s="11" t="s">
        <v>51</v>
      </c>
      <c r="B173" s="12" t="s">
        <v>38</v>
      </c>
      <c r="C173" s="13" t="s">
        <v>38</v>
      </c>
      <c r="D173" s="13" t="s">
        <v>38</v>
      </c>
      <c r="E173" s="14">
        <f>(0.21907-2*0.00376)^2*PI()/4</f>
        <v>3.5149240129286767E-2</v>
      </c>
      <c r="F173" s="15" t="s">
        <v>38</v>
      </c>
      <c r="G173" s="15" t="s">
        <v>38</v>
      </c>
      <c r="H173" s="15">
        <v>0</v>
      </c>
      <c r="I173" s="15">
        <v>0</v>
      </c>
      <c r="J173" s="11" t="s">
        <v>380</v>
      </c>
      <c r="K173" s="11" t="s">
        <v>369</v>
      </c>
      <c r="L173" s="11" t="s">
        <v>38</v>
      </c>
      <c r="M173" s="12" t="str">
        <f ca="1">OFFSET($A$1,ROW()-3,1)</f>
        <v>PIPE_171</v>
      </c>
      <c r="N173" s="12" t="str">
        <f ca="1">OFFSET($A$1,ROW()+1,1)</f>
        <v>PIPE_175</v>
      </c>
      <c r="O173" s="12">
        <v>2</v>
      </c>
      <c r="P173" s="12">
        <v>1</v>
      </c>
      <c r="Q173" s="17" t="s">
        <v>38</v>
      </c>
      <c r="R173" s="13" t="s">
        <v>38</v>
      </c>
      <c r="S173" s="15" t="s">
        <v>38</v>
      </c>
      <c r="T173" s="15">
        <v>0</v>
      </c>
      <c r="U173" s="36" t="s">
        <v>38</v>
      </c>
      <c r="V173" s="36" t="s">
        <v>38</v>
      </c>
      <c r="W173" s="13"/>
      <c r="X173" s="15">
        <f t="shared" si="5"/>
        <v>104.37199999999999</v>
      </c>
    </row>
    <row r="174" spans="1:25" x14ac:dyDescent="0.25">
      <c r="R174" s="13"/>
      <c r="U174" s="36"/>
      <c r="V174" s="36"/>
      <c r="W174" s="13"/>
      <c r="X174" s="15">
        <f t="shared" si="5"/>
        <v>104.37199999999999</v>
      </c>
    </row>
    <row r="175" spans="1:25" x14ac:dyDescent="0.25">
      <c r="A175" s="11" t="s">
        <v>41</v>
      </c>
      <c r="B175" s="12" t="str">
        <f>CONCATENATE("PIPE_",ROW())</f>
        <v>PIPE_175</v>
      </c>
      <c r="C175" s="13">
        <f>0.508/2+0.141+0.508/2</f>
        <v>0.64900000000000002</v>
      </c>
      <c r="D175" s="13">
        <f>dx</f>
        <v>0.2</v>
      </c>
      <c r="E175" s="14">
        <f>(0.21907-2*0.00376)^2*PI()/4</f>
        <v>3.5149240129286767E-2</v>
      </c>
      <c r="F175" s="15">
        <v>90</v>
      </c>
      <c r="G175" s="15">
        <v>0</v>
      </c>
      <c r="H175" s="15">
        <v>0</v>
      </c>
      <c r="I175" s="15">
        <v>0</v>
      </c>
      <c r="J175" s="11" t="s">
        <v>368</v>
      </c>
      <c r="K175" s="11" t="s">
        <v>369</v>
      </c>
      <c r="L175" s="11">
        <f>L171</f>
        <v>40</v>
      </c>
      <c r="M175" s="12" t="s">
        <v>38</v>
      </c>
      <c r="N175" s="12" t="s">
        <v>38</v>
      </c>
      <c r="O175" s="12" t="s">
        <v>38</v>
      </c>
      <c r="P175" s="12" t="s">
        <v>38</v>
      </c>
      <c r="Q175" s="17">
        <v>4.5000000000000003E-5</v>
      </c>
      <c r="R175" s="13" t="s">
        <v>38</v>
      </c>
      <c r="S175" s="15" t="s">
        <v>38</v>
      </c>
      <c r="T175" s="15" t="s">
        <v>38</v>
      </c>
      <c r="U175" s="36" t="s">
        <v>38</v>
      </c>
      <c r="V175" s="36" t="s">
        <v>38</v>
      </c>
      <c r="W175" s="13"/>
      <c r="X175" s="15">
        <f t="shared" si="5"/>
        <v>105.02099999999999</v>
      </c>
    </row>
    <row r="176" spans="1:25" x14ac:dyDescent="0.25">
      <c r="R176" s="13"/>
      <c r="U176" s="36"/>
      <c r="V176" s="36"/>
      <c r="W176" s="13"/>
      <c r="X176" s="15">
        <f t="shared" si="5"/>
        <v>105.02099999999999</v>
      </c>
    </row>
    <row r="177" spans="1:24" x14ac:dyDescent="0.25">
      <c r="A177" s="11" t="s">
        <v>56</v>
      </c>
      <c r="B177" s="12" t="s">
        <v>38</v>
      </c>
      <c r="C177" s="13" t="s">
        <v>38</v>
      </c>
      <c r="D177" s="13" t="s">
        <v>38</v>
      </c>
      <c r="E177" s="14">
        <f>(0.21907-2*0.00376)^2*PI()/4</f>
        <v>3.5149240129286767E-2</v>
      </c>
      <c r="F177" s="15" t="s">
        <v>38</v>
      </c>
      <c r="G177" s="15" t="s">
        <v>38</v>
      </c>
      <c r="H177" s="15">
        <v>0</v>
      </c>
      <c r="I177" s="15">
        <v>0</v>
      </c>
      <c r="J177" s="11" t="s">
        <v>381</v>
      </c>
      <c r="K177" s="11" t="s">
        <v>369</v>
      </c>
      <c r="L177" s="11" t="s">
        <v>38</v>
      </c>
      <c r="M177" s="12" t="str">
        <f ca="1">OFFSET($A$1,ROW()-3,1)</f>
        <v>PIPE_175</v>
      </c>
      <c r="N177" s="12" t="str">
        <f ca="1">OFFSET($A$1,ROW()+1,1)</f>
        <v>PIPE_179</v>
      </c>
      <c r="O177" s="12">
        <v>2</v>
      </c>
      <c r="P177" s="12">
        <v>1</v>
      </c>
      <c r="Q177" s="17" t="s">
        <v>38</v>
      </c>
      <c r="R177" s="13" t="s">
        <v>38</v>
      </c>
      <c r="S177" s="15" t="s">
        <v>38</v>
      </c>
      <c r="T177" s="15">
        <f>B51</f>
        <v>0.75</v>
      </c>
      <c r="U177" s="36" t="s">
        <v>38</v>
      </c>
      <c r="V177" s="36" t="s">
        <v>38</v>
      </c>
      <c r="W177" s="13"/>
      <c r="X177" s="15">
        <f t="shared" si="5"/>
        <v>105.02099999999999</v>
      </c>
    </row>
    <row r="178" spans="1:24" x14ac:dyDescent="0.25">
      <c r="R178" s="13"/>
      <c r="U178" s="36"/>
      <c r="V178" s="36"/>
      <c r="W178" s="13"/>
      <c r="X178" s="15">
        <f t="shared" si="5"/>
        <v>105.02099999999999</v>
      </c>
    </row>
    <row r="179" spans="1:24" x14ac:dyDescent="0.25">
      <c r="A179" s="11" t="s">
        <v>41</v>
      </c>
      <c r="B179" s="12" t="str">
        <f>CONCATENATE("PIPE_",ROW())</f>
        <v>PIPE_179</v>
      </c>
      <c r="C179" s="13">
        <f>0.508/2+0.305</f>
        <v>0.55899999999999994</v>
      </c>
      <c r="D179" s="13">
        <f>dx</f>
        <v>0.2</v>
      </c>
      <c r="E179" s="14">
        <f>(0.21907-2*0.00376)^2*PI()/4</f>
        <v>3.5149240129286767E-2</v>
      </c>
      <c r="F179" s="15">
        <v>90</v>
      </c>
      <c r="G179" s="15">
        <v>0</v>
      </c>
      <c r="H179" s="15">
        <v>0</v>
      </c>
      <c r="I179" s="15">
        <v>0</v>
      </c>
      <c r="J179" s="11" t="s">
        <v>41</v>
      </c>
      <c r="K179" s="11" t="s">
        <v>369</v>
      </c>
      <c r="L179" s="11">
        <f>L175</f>
        <v>40</v>
      </c>
      <c r="M179" s="12" t="s">
        <v>38</v>
      </c>
      <c r="N179" s="12" t="s">
        <v>38</v>
      </c>
      <c r="O179" s="12" t="s">
        <v>38</v>
      </c>
      <c r="P179" s="12" t="s">
        <v>38</v>
      </c>
      <c r="Q179" s="17">
        <v>4.5000000000000003E-5</v>
      </c>
      <c r="R179" s="13" t="s">
        <v>38</v>
      </c>
      <c r="S179" s="15" t="s">
        <v>38</v>
      </c>
      <c r="T179" s="15" t="s">
        <v>38</v>
      </c>
      <c r="U179" s="36" t="s">
        <v>38</v>
      </c>
      <c r="V179" s="36" t="s">
        <v>38</v>
      </c>
      <c r="W179" s="13"/>
      <c r="X179" s="15">
        <f t="shared" si="5"/>
        <v>105.57999999999998</v>
      </c>
    </row>
    <row r="180" spans="1:24" x14ac:dyDescent="0.25">
      <c r="A180" s="11" t="s">
        <v>41</v>
      </c>
      <c r="B180" s="12" t="str">
        <f>CONCATENATE("PIPE_",ROW())</f>
        <v>PIPE_180</v>
      </c>
      <c r="C180" s="13">
        <f>0.305+1.167+0.178</f>
        <v>1.65</v>
      </c>
      <c r="D180" s="13">
        <f>dx</f>
        <v>0.2</v>
      </c>
      <c r="E180" s="14">
        <f>(0.21907-2*0.00376)^2*PI()/4</f>
        <v>3.5149240129286767E-2</v>
      </c>
      <c r="F180" s="15">
        <v>0</v>
      </c>
      <c r="G180" s="15">
        <v>0</v>
      </c>
      <c r="H180" s="15">
        <v>0</v>
      </c>
      <c r="I180" s="15">
        <v>0</v>
      </c>
      <c r="J180" s="11" t="s">
        <v>41</v>
      </c>
      <c r="K180" s="11" t="s">
        <v>369</v>
      </c>
      <c r="L180" s="11">
        <f>L179+1</f>
        <v>41</v>
      </c>
      <c r="M180" s="12" t="s">
        <v>38</v>
      </c>
      <c r="N180" s="12" t="s">
        <v>38</v>
      </c>
      <c r="O180" s="12" t="s">
        <v>38</v>
      </c>
      <c r="P180" s="12" t="s">
        <v>38</v>
      </c>
      <c r="Q180" s="17">
        <v>4.5000000000000003E-5</v>
      </c>
      <c r="R180" s="13" t="s">
        <v>38</v>
      </c>
      <c r="S180" s="15" t="s">
        <v>38</v>
      </c>
      <c r="T180" s="15" t="s">
        <v>38</v>
      </c>
      <c r="U180" s="36" t="s">
        <v>38</v>
      </c>
      <c r="V180" s="36" t="s">
        <v>38</v>
      </c>
      <c r="W180" s="13"/>
      <c r="X180" s="15">
        <f t="shared" si="5"/>
        <v>105.57999999999998</v>
      </c>
    </row>
    <row r="181" spans="1:24" x14ac:dyDescent="0.25">
      <c r="R181" s="13"/>
      <c r="U181" s="36"/>
      <c r="V181" s="36"/>
      <c r="W181" s="13"/>
      <c r="X181" s="15">
        <f t="shared" si="5"/>
        <v>105.57999999999998</v>
      </c>
    </row>
    <row r="182" spans="1:24" x14ac:dyDescent="0.25">
      <c r="A182" s="11" t="s">
        <v>39</v>
      </c>
      <c r="B182" s="12" t="s">
        <v>38</v>
      </c>
      <c r="C182" s="13" t="s">
        <v>38</v>
      </c>
      <c r="D182" s="13" t="s">
        <v>38</v>
      </c>
      <c r="E182" s="14">
        <v>0</v>
      </c>
      <c r="F182" s="15" t="s">
        <v>38</v>
      </c>
      <c r="G182" s="15" t="s">
        <v>38</v>
      </c>
      <c r="H182" s="15">
        <v>0</v>
      </c>
      <c r="I182" s="15">
        <v>0</v>
      </c>
      <c r="J182" s="11" t="s">
        <v>364</v>
      </c>
      <c r="K182" s="11" t="s">
        <v>369</v>
      </c>
      <c r="L182" s="11" t="s">
        <v>38</v>
      </c>
      <c r="M182" s="12" t="str">
        <f ca="1">OFFSET($A$1,ROW()-3,1)</f>
        <v>PIPE_180</v>
      </c>
      <c r="N182" s="12" t="str">
        <f ca="1">OFFSET($A$1,ROW()+1,1)</f>
        <v>PIPE_184</v>
      </c>
      <c r="O182" s="12">
        <v>2</v>
      </c>
      <c r="P182" s="12">
        <v>1</v>
      </c>
      <c r="Q182" s="17" t="s">
        <v>38</v>
      </c>
      <c r="R182" s="13" t="s">
        <v>38</v>
      </c>
      <c r="S182" s="15" t="s">
        <v>38</v>
      </c>
      <c r="T182" s="15" t="s">
        <v>38</v>
      </c>
      <c r="U182" s="36" t="s">
        <v>38</v>
      </c>
      <c r="V182" s="36" t="s">
        <v>38</v>
      </c>
      <c r="W182" s="13"/>
      <c r="X182" s="15">
        <f t="shared" si="5"/>
        <v>105.57999999999998</v>
      </c>
    </row>
    <row r="183" spans="1:24" x14ac:dyDescent="0.25">
      <c r="R183" s="13"/>
      <c r="U183" s="36"/>
      <c r="V183" s="36"/>
      <c r="W183" s="13"/>
      <c r="X183" s="15">
        <f t="shared" si="5"/>
        <v>105.57999999999998</v>
      </c>
    </row>
    <row r="184" spans="1:24" x14ac:dyDescent="0.25">
      <c r="A184" s="11" t="s">
        <v>41</v>
      </c>
      <c r="B184" s="12" t="str">
        <f>CONCATENATE("PIPE_",ROW())</f>
        <v>PIPE_184</v>
      </c>
      <c r="C184" s="13">
        <f>0.178+0.305</f>
        <v>0.48299999999999998</v>
      </c>
      <c r="D184" s="13">
        <f>dx</f>
        <v>0.2</v>
      </c>
      <c r="E184" s="14">
        <f>(0.21907-2*0.00376)^2*PI()/4</f>
        <v>3.5149240129286767E-2</v>
      </c>
      <c r="F184" s="15">
        <v>0</v>
      </c>
      <c r="G184" s="15">
        <v>0</v>
      </c>
      <c r="H184" s="15">
        <v>0</v>
      </c>
      <c r="I184" s="15">
        <v>0</v>
      </c>
      <c r="J184" s="11" t="s">
        <v>41</v>
      </c>
      <c r="K184" s="11" t="s">
        <v>382</v>
      </c>
      <c r="L184" s="11">
        <f>L180</f>
        <v>41</v>
      </c>
      <c r="M184" s="12" t="s">
        <v>38</v>
      </c>
      <c r="N184" s="12" t="s">
        <v>38</v>
      </c>
      <c r="O184" s="12" t="s">
        <v>38</v>
      </c>
      <c r="P184" s="12" t="s">
        <v>38</v>
      </c>
      <c r="Q184" s="17">
        <v>4.5000000000000003E-5</v>
      </c>
      <c r="R184" s="13" t="s">
        <v>38</v>
      </c>
      <c r="S184" s="15" t="s">
        <v>38</v>
      </c>
      <c r="T184" s="15" t="s">
        <v>38</v>
      </c>
      <c r="U184" s="36" t="s">
        <v>38</v>
      </c>
      <c r="V184" s="36" t="s">
        <v>38</v>
      </c>
      <c r="W184" s="13"/>
      <c r="X184" s="15">
        <f t="shared" si="5"/>
        <v>105.57999999999998</v>
      </c>
    </row>
    <row r="185" spans="1:24" x14ac:dyDescent="0.25">
      <c r="A185" s="11" t="s">
        <v>41</v>
      </c>
      <c r="B185" s="12" t="str">
        <f>CONCATENATE("PIPE_",ROW())</f>
        <v>PIPE_185</v>
      </c>
      <c r="C185" s="13">
        <v>1.3</v>
      </c>
      <c r="D185" s="13">
        <f>dx</f>
        <v>0.2</v>
      </c>
      <c r="E185" s="14">
        <f>(0.21907-2*0.00376)^2*PI()/4</f>
        <v>3.5149240129286767E-2</v>
      </c>
      <c r="F185" s="15">
        <v>0</v>
      </c>
      <c r="G185" s="15">
        <v>0</v>
      </c>
      <c r="H185" s="15">
        <v>0</v>
      </c>
      <c r="I185" s="15">
        <v>0</v>
      </c>
      <c r="J185" s="11" t="s">
        <v>41</v>
      </c>
      <c r="K185" s="11" t="s">
        <v>382</v>
      </c>
      <c r="L185" s="11">
        <f>L184+1</f>
        <v>42</v>
      </c>
      <c r="M185" s="12" t="s">
        <v>38</v>
      </c>
      <c r="N185" s="12" t="s">
        <v>38</v>
      </c>
      <c r="O185" s="12" t="s">
        <v>38</v>
      </c>
      <c r="P185" s="12" t="s">
        <v>38</v>
      </c>
      <c r="Q185" s="17">
        <v>4.5000000000000003E-5</v>
      </c>
      <c r="R185" s="13" t="s">
        <v>38</v>
      </c>
      <c r="S185" s="15" t="s">
        <v>38</v>
      </c>
      <c r="T185" s="15" t="s">
        <v>38</v>
      </c>
      <c r="U185" s="36" t="s">
        <v>38</v>
      </c>
      <c r="V185" s="36" t="s">
        <v>38</v>
      </c>
      <c r="W185" s="13"/>
      <c r="X185" s="15">
        <f t="shared" si="5"/>
        <v>105.57999999999998</v>
      </c>
    </row>
    <row r="186" spans="1:24" x14ac:dyDescent="0.25">
      <c r="A186" s="11" t="s">
        <v>41</v>
      </c>
      <c r="B186" s="12" t="str">
        <f>CONCATENATE("PIPE_",ROW())</f>
        <v>PIPE_186</v>
      </c>
      <c r="C186" s="13">
        <v>6.24</v>
      </c>
      <c r="D186" s="13">
        <f>dx</f>
        <v>0.2</v>
      </c>
      <c r="E186" s="14">
        <f>(0.21907-2*0.00376)^2*PI()/4</f>
        <v>3.5149240129286767E-2</v>
      </c>
      <c r="F186" s="15">
        <v>0</v>
      </c>
      <c r="G186" s="15">
        <v>0</v>
      </c>
      <c r="H186" s="15">
        <v>0</v>
      </c>
      <c r="I186" s="15">
        <v>0</v>
      </c>
      <c r="J186" s="11" t="s">
        <v>41</v>
      </c>
      <c r="K186" s="11" t="s">
        <v>382</v>
      </c>
      <c r="L186" s="11">
        <f>L185+1</f>
        <v>43</v>
      </c>
      <c r="M186" s="12" t="s">
        <v>38</v>
      </c>
      <c r="N186" s="12" t="s">
        <v>38</v>
      </c>
      <c r="O186" s="12" t="s">
        <v>38</v>
      </c>
      <c r="P186" s="12" t="s">
        <v>38</v>
      </c>
      <c r="Q186" s="17">
        <v>4.5000000000000003E-5</v>
      </c>
      <c r="R186" s="13" t="s">
        <v>38</v>
      </c>
      <c r="S186" s="15" t="s">
        <v>38</v>
      </c>
      <c r="T186" s="15" t="s">
        <v>38</v>
      </c>
      <c r="U186" s="36" t="s">
        <v>38</v>
      </c>
      <c r="V186" s="36" t="s">
        <v>38</v>
      </c>
      <c r="W186" s="13"/>
      <c r="X186" s="15">
        <f t="shared" si="5"/>
        <v>105.57999999999998</v>
      </c>
    </row>
    <row r="187" spans="1:24" x14ac:dyDescent="0.25">
      <c r="A187" s="11" t="s">
        <v>41</v>
      </c>
      <c r="B187" s="12" t="str">
        <f>CONCATENATE("PIPE_",ROW())</f>
        <v>PIPE_187</v>
      </c>
      <c r="C187" s="13">
        <f>2.14</f>
        <v>2.14</v>
      </c>
      <c r="D187" s="13">
        <f>dx</f>
        <v>0.2</v>
      </c>
      <c r="E187" s="14">
        <f>(0.21907-2*0.00376)^2*PI()/4</f>
        <v>3.5149240129286767E-2</v>
      </c>
      <c r="F187" s="15">
        <v>0</v>
      </c>
      <c r="G187" s="15">
        <v>0</v>
      </c>
      <c r="H187" s="15">
        <v>0</v>
      </c>
      <c r="I187" s="15">
        <v>0</v>
      </c>
      <c r="J187" s="11" t="s">
        <v>41</v>
      </c>
      <c r="K187" s="11" t="s">
        <v>383</v>
      </c>
      <c r="L187" s="11">
        <f>L186+1</f>
        <v>44</v>
      </c>
      <c r="M187" s="12" t="s">
        <v>38</v>
      </c>
      <c r="N187" s="12" t="s">
        <v>38</v>
      </c>
      <c r="O187" s="12" t="s">
        <v>38</v>
      </c>
      <c r="P187" s="12" t="s">
        <v>38</v>
      </c>
      <c r="Q187" s="17">
        <v>4.5000000000000003E-5</v>
      </c>
      <c r="R187" s="13" t="s">
        <v>38</v>
      </c>
      <c r="S187" s="15" t="s">
        <v>38</v>
      </c>
      <c r="T187" s="15" t="s">
        <v>38</v>
      </c>
      <c r="U187" s="36" t="s">
        <v>38</v>
      </c>
      <c r="V187" s="36" t="s">
        <v>38</v>
      </c>
      <c r="W187" s="13" t="s">
        <v>362</v>
      </c>
      <c r="X187" s="15">
        <f t="shared" si="5"/>
        <v>105.57999999999998</v>
      </c>
    </row>
    <row r="188" spans="1:24" x14ac:dyDescent="0.25">
      <c r="A188" s="11" t="s">
        <v>41</v>
      </c>
      <c r="B188" s="12" t="str">
        <f>CONCATENATE("PIPE_",ROW())</f>
        <v>PIPE_188</v>
      </c>
      <c r="C188" s="13">
        <f>0.396+0.808/2</f>
        <v>0.8</v>
      </c>
      <c r="D188" s="13">
        <f>dx</f>
        <v>0.2</v>
      </c>
      <c r="E188" s="14">
        <f>(0.21907-2*0.00376)^2*PI()/4</f>
        <v>3.5149240129286767E-2</v>
      </c>
      <c r="F188" s="15">
        <v>0</v>
      </c>
      <c r="G188" s="15">
        <v>0</v>
      </c>
      <c r="H188" s="15">
        <v>0</v>
      </c>
      <c r="I188" s="15">
        <v>0</v>
      </c>
      <c r="J188" s="11" t="s">
        <v>41</v>
      </c>
      <c r="K188" s="11" t="s">
        <v>383</v>
      </c>
      <c r="L188" s="11">
        <f>L187</f>
        <v>44</v>
      </c>
      <c r="M188" s="12" t="s">
        <v>38</v>
      </c>
      <c r="N188" s="12" t="s">
        <v>38</v>
      </c>
      <c r="O188" s="12" t="s">
        <v>38</v>
      </c>
      <c r="P188" s="12" t="s">
        <v>38</v>
      </c>
      <c r="Q188" s="17">
        <v>4.5000000000000003E-5</v>
      </c>
      <c r="R188" s="13" t="s">
        <v>38</v>
      </c>
      <c r="S188" s="15" t="s">
        <v>38</v>
      </c>
      <c r="T188" s="15" t="s">
        <v>38</v>
      </c>
      <c r="U188" s="36" t="s">
        <v>38</v>
      </c>
      <c r="V188" s="36" t="s">
        <v>38</v>
      </c>
      <c r="W188" s="13"/>
      <c r="X188" s="15">
        <f t="shared" si="5"/>
        <v>105.57999999999998</v>
      </c>
    </row>
    <row r="189" spans="1:24" x14ac:dyDescent="0.25">
      <c r="R189" s="13"/>
      <c r="U189" s="36"/>
      <c r="V189" s="36"/>
      <c r="W189" s="13"/>
      <c r="X189" s="15">
        <f t="shared" si="5"/>
        <v>105.57999999999998</v>
      </c>
    </row>
    <row r="190" spans="1:24" x14ac:dyDescent="0.25">
      <c r="A190" s="11" t="s">
        <v>56</v>
      </c>
      <c r="B190" s="12" t="s">
        <v>38</v>
      </c>
      <c r="C190" s="13" t="s">
        <v>38</v>
      </c>
      <c r="D190" s="13" t="s">
        <v>38</v>
      </c>
      <c r="E190" s="14">
        <f>(0.21907-2*0.00376)^2*PI()/4</f>
        <v>3.5149240129286767E-2</v>
      </c>
      <c r="F190" s="15" t="s">
        <v>38</v>
      </c>
      <c r="G190" s="15" t="s">
        <v>38</v>
      </c>
      <c r="H190" s="15">
        <v>0</v>
      </c>
      <c r="I190" s="15">
        <v>0</v>
      </c>
      <c r="J190" s="11" t="s">
        <v>384</v>
      </c>
      <c r="K190" s="11" t="s">
        <v>383</v>
      </c>
      <c r="L190" s="11" t="s">
        <v>38</v>
      </c>
      <c r="M190" s="12" t="str">
        <f ca="1">OFFSET($A$1,ROW()-3,1)</f>
        <v>PIPE_188</v>
      </c>
      <c r="N190" s="12" t="str">
        <f ca="1">OFFSET($A$1,ROW()+1,1)</f>
        <v>PIPE_192</v>
      </c>
      <c r="O190" s="12">
        <v>2</v>
      </c>
      <c r="P190" s="12">
        <v>1</v>
      </c>
      <c r="Q190" s="17" t="s">
        <v>38</v>
      </c>
      <c r="R190" s="13" t="s">
        <v>38</v>
      </c>
      <c r="S190" s="15" t="s">
        <v>38</v>
      </c>
      <c r="T190" s="15">
        <f>B52</f>
        <v>7.4999999999999997E-2</v>
      </c>
      <c r="U190" s="36" t="s">
        <v>38</v>
      </c>
      <c r="V190" s="36" t="s">
        <v>38</v>
      </c>
      <c r="W190" s="13"/>
      <c r="X190" s="15">
        <f t="shared" si="5"/>
        <v>105.57999999999998</v>
      </c>
    </row>
    <row r="191" spans="1:24" x14ac:dyDescent="0.25">
      <c r="R191" s="13"/>
      <c r="U191" s="36"/>
      <c r="V191" s="36"/>
      <c r="W191" s="13"/>
      <c r="X191" s="15">
        <f t="shared" si="5"/>
        <v>105.57999999999998</v>
      </c>
    </row>
    <row r="192" spans="1:24" x14ac:dyDescent="0.25">
      <c r="A192" s="11" t="s">
        <v>41</v>
      </c>
      <c r="B192" s="12" t="str">
        <f>CONCATENATE("PIPE_",ROW())</f>
        <v>PIPE_192</v>
      </c>
      <c r="C192" s="13">
        <f>4.42-0.396-0.808/2</f>
        <v>3.62</v>
      </c>
      <c r="D192" s="13">
        <f>dx</f>
        <v>0.2</v>
      </c>
      <c r="E192" s="14">
        <f>(0.21907-2*0.00376)^2*PI()/4</f>
        <v>3.5149240129286767E-2</v>
      </c>
      <c r="F192" s="15">
        <v>0</v>
      </c>
      <c r="G192" s="15">
        <v>0</v>
      </c>
      <c r="H192" s="15">
        <v>0</v>
      </c>
      <c r="I192" s="15">
        <v>0</v>
      </c>
      <c r="J192" s="11" t="s">
        <v>41</v>
      </c>
      <c r="K192" s="11" t="s">
        <v>383</v>
      </c>
      <c r="L192" s="11">
        <f>L188</f>
        <v>44</v>
      </c>
      <c r="M192" s="12" t="s">
        <v>38</v>
      </c>
      <c r="N192" s="12" t="s">
        <v>38</v>
      </c>
      <c r="O192" s="12" t="s">
        <v>38</v>
      </c>
      <c r="P192" s="12" t="s">
        <v>38</v>
      </c>
      <c r="Q192" s="17">
        <v>4.5000000000000003E-5</v>
      </c>
      <c r="R192" s="13" t="s">
        <v>38</v>
      </c>
      <c r="S192" s="15" t="s">
        <v>38</v>
      </c>
      <c r="T192" s="15" t="s">
        <v>38</v>
      </c>
      <c r="U192" s="36" t="s">
        <v>38</v>
      </c>
      <c r="V192" s="36" t="s">
        <v>38</v>
      </c>
      <c r="W192" s="13"/>
      <c r="X192" s="15">
        <f t="shared" si="5"/>
        <v>105.57999999999998</v>
      </c>
    </row>
    <row r="193" spans="1:24" x14ac:dyDescent="0.25">
      <c r="A193" s="11" t="s">
        <v>41</v>
      </c>
      <c r="B193" s="12" t="str">
        <f>CONCATENATE("PIPE_",ROW())</f>
        <v>PIPE_193</v>
      </c>
      <c r="C193" s="13">
        <v>2.3450000000000002</v>
      </c>
      <c r="D193" s="13">
        <f>dx</f>
        <v>0.2</v>
      </c>
      <c r="E193" s="14">
        <f>(0.21907-2*0.00376)^2*PI()/4</f>
        <v>3.5149240129286767E-2</v>
      </c>
      <c r="F193" s="15">
        <v>-90</v>
      </c>
      <c r="G193" s="15">
        <v>0</v>
      </c>
      <c r="H193" s="15">
        <v>0</v>
      </c>
      <c r="I193" s="15">
        <v>0</v>
      </c>
      <c r="J193" s="11" t="s">
        <v>41</v>
      </c>
      <c r="K193" s="11" t="s">
        <v>383</v>
      </c>
      <c r="L193" s="11">
        <f>L192+1</f>
        <v>45</v>
      </c>
      <c r="M193" s="12" t="s">
        <v>38</v>
      </c>
      <c r="N193" s="12" t="s">
        <v>38</v>
      </c>
      <c r="O193" s="12" t="s">
        <v>38</v>
      </c>
      <c r="P193" s="12" t="s">
        <v>38</v>
      </c>
      <c r="Q193" s="17">
        <v>4.5000000000000003E-5</v>
      </c>
      <c r="R193" s="13" t="s">
        <v>38</v>
      </c>
      <c r="S193" s="15" t="s">
        <v>38</v>
      </c>
      <c r="T193" s="15" t="s">
        <v>38</v>
      </c>
      <c r="U193" s="36" t="s">
        <v>38</v>
      </c>
      <c r="V193" s="36" t="s">
        <v>38</v>
      </c>
      <c r="W193" s="13"/>
      <c r="X193" s="15">
        <f t="shared" si="5"/>
        <v>103.23499999999999</v>
      </c>
    </row>
    <row r="194" spans="1:24" x14ac:dyDescent="0.25">
      <c r="A194" s="11" t="s">
        <v>41</v>
      </c>
      <c r="B194" s="12" t="str">
        <f>CONCATENATE("PIPE_",ROW())</f>
        <v>PIPE_194</v>
      </c>
      <c r="C194" s="13">
        <v>0.73</v>
      </c>
      <c r="D194" s="13">
        <f>dx</f>
        <v>0.2</v>
      </c>
      <c r="E194" s="14">
        <f>(0.21907-2*0.00376)^2*PI()/4</f>
        <v>3.5149240129286767E-2</v>
      </c>
      <c r="F194" s="15">
        <v>0</v>
      </c>
      <c r="G194" s="15">
        <v>0</v>
      </c>
      <c r="H194" s="15">
        <v>0</v>
      </c>
      <c r="I194" s="15">
        <v>0</v>
      </c>
      <c r="J194" s="11" t="s">
        <v>41</v>
      </c>
      <c r="K194" s="11" t="s">
        <v>383</v>
      </c>
      <c r="L194" s="11">
        <f>L193+1</f>
        <v>46</v>
      </c>
      <c r="M194" s="12" t="s">
        <v>38</v>
      </c>
      <c r="N194" s="12" t="s">
        <v>38</v>
      </c>
      <c r="O194" s="12" t="s">
        <v>38</v>
      </c>
      <c r="P194" s="12" t="s">
        <v>38</v>
      </c>
      <c r="Q194" s="17">
        <v>4.5000000000000003E-5</v>
      </c>
      <c r="R194" s="13" t="s">
        <v>38</v>
      </c>
      <c r="S194" s="15" t="s">
        <v>38</v>
      </c>
      <c r="T194" s="15" t="s">
        <v>38</v>
      </c>
      <c r="U194" s="36" t="s">
        <v>38</v>
      </c>
      <c r="V194" s="36" t="s">
        <v>38</v>
      </c>
      <c r="W194" s="13"/>
      <c r="X194" s="15">
        <f t="shared" si="5"/>
        <v>103.23499999999999</v>
      </c>
    </row>
    <row r="195" spans="1:24" x14ac:dyDescent="0.25">
      <c r="A195" s="11" t="s">
        <v>41</v>
      </c>
      <c r="B195" s="12" t="str">
        <f>CONCATENATE("PIPE_",ROW())</f>
        <v>PIPE_195</v>
      </c>
      <c r="C195" s="13">
        <v>0.58599999999999997</v>
      </c>
      <c r="D195" s="13">
        <f>dx</f>
        <v>0.2</v>
      </c>
      <c r="E195" s="14">
        <f>(0.21907-2*0.00376)^2*PI()/4</f>
        <v>3.5149240129286767E-2</v>
      </c>
      <c r="F195" s="15">
        <v>0</v>
      </c>
      <c r="G195" s="15">
        <v>0</v>
      </c>
      <c r="H195" s="15">
        <v>0</v>
      </c>
      <c r="I195" s="15">
        <v>0</v>
      </c>
      <c r="J195" s="11" t="s">
        <v>41</v>
      </c>
      <c r="K195" s="11" t="s">
        <v>383</v>
      </c>
      <c r="L195" s="11">
        <f>L194+1</f>
        <v>47</v>
      </c>
      <c r="M195" s="12" t="s">
        <v>38</v>
      </c>
      <c r="N195" s="12" t="s">
        <v>38</v>
      </c>
      <c r="O195" s="12" t="s">
        <v>38</v>
      </c>
      <c r="P195" s="12" t="s">
        <v>38</v>
      </c>
      <c r="Q195" s="17">
        <v>4.5000000000000003E-5</v>
      </c>
      <c r="R195" s="13" t="s">
        <v>38</v>
      </c>
      <c r="S195" s="15" t="s">
        <v>38</v>
      </c>
      <c r="T195" s="15" t="s">
        <v>38</v>
      </c>
      <c r="U195" s="36" t="s">
        <v>38</v>
      </c>
      <c r="V195" s="36" t="s">
        <v>38</v>
      </c>
      <c r="W195" s="13"/>
      <c r="X195" s="15">
        <f t="shared" si="5"/>
        <v>103.23499999999999</v>
      </c>
    </row>
    <row r="196" spans="1:24" x14ac:dyDescent="0.25">
      <c r="R196" s="13"/>
      <c r="U196" s="36"/>
      <c r="V196" s="36"/>
      <c r="W196" s="13"/>
      <c r="X196" s="15">
        <f t="shared" si="5"/>
        <v>103.23499999999999</v>
      </c>
    </row>
    <row r="197" spans="1:24" x14ac:dyDescent="0.25">
      <c r="A197" s="11" t="s">
        <v>39</v>
      </c>
      <c r="B197" s="12" t="s">
        <v>38</v>
      </c>
      <c r="C197" s="13" t="s">
        <v>38</v>
      </c>
      <c r="D197" s="13" t="s">
        <v>38</v>
      </c>
      <c r="E197" s="14">
        <f>(0.21907-2*0.00376)^2*PI()/4</f>
        <v>3.5149240129286767E-2</v>
      </c>
      <c r="F197" s="15" t="s">
        <v>38</v>
      </c>
      <c r="G197" s="15" t="s">
        <v>38</v>
      </c>
      <c r="H197" s="15">
        <f>2*44500*995*E197^2/133^2</f>
        <v>6.1850282394118343</v>
      </c>
      <c r="I197" s="15">
        <f>2*44500*995*E197^2/133^2</f>
        <v>6.1850282394118343</v>
      </c>
      <c r="J197" s="11" t="s">
        <v>385</v>
      </c>
      <c r="K197" s="11" t="s">
        <v>383</v>
      </c>
      <c r="L197" s="11" t="s">
        <v>38</v>
      </c>
      <c r="M197" s="12" t="str">
        <f ca="1">OFFSET($A$1,ROW()-3,1)</f>
        <v>PIPE_195</v>
      </c>
      <c r="N197" s="12" t="str">
        <f ca="1">OFFSET($A$1,ROW()+1,1)</f>
        <v>PIPE_199</v>
      </c>
      <c r="O197" s="12">
        <v>2</v>
      </c>
      <c r="P197" s="12">
        <v>1</v>
      </c>
      <c r="Q197" s="17" t="s">
        <v>38</v>
      </c>
      <c r="R197" s="13" t="s">
        <v>38</v>
      </c>
      <c r="S197" s="15" t="s">
        <v>38</v>
      </c>
      <c r="T197" s="15" t="s">
        <v>38</v>
      </c>
      <c r="U197" s="36" t="s">
        <v>38</v>
      </c>
      <c r="V197" s="36" t="s">
        <v>38</v>
      </c>
      <c r="W197" s="13"/>
      <c r="X197" s="15">
        <f t="shared" si="5"/>
        <v>103.23499999999999</v>
      </c>
    </row>
    <row r="198" spans="1:24" x14ac:dyDescent="0.25">
      <c r="R198" s="13"/>
      <c r="U198" s="36"/>
      <c r="V198" s="36"/>
      <c r="W198" s="13"/>
      <c r="X198" s="15">
        <f t="shared" si="5"/>
        <v>103.23499999999999</v>
      </c>
    </row>
    <row r="199" spans="1:24" x14ac:dyDescent="0.25">
      <c r="A199" s="11" t="s">
        <v>41</v>
      </c>
      <c r="B199" s="12" t="str">
        <f>CONCATENATE("PIPE_",ROW())</f>
        <v>PIPE_199</v>
      </c>
      <c r="C199" s="13">
        <f>(105.474-103.535)</f>
        <v>1.9390000000000072</v>
      </c>
      <c r="D199" s="13">
        <f>dx</f>
        <v>0.2</v>
      </c>
      <c r="E199" s="14">
        <f>(0.5*(7714-6017)/995)/C199</f>
        <v>0.43979567771814038</v>
      </c>
      <c r="F199" s="15">
        <v>90</v>
      </c>
      <c r="G199" s="15">
        <v>0</v>
      </c>
      <c r="H199" s="15">
        <v>0</v>
      </c>
      <c r="I199" s="15">
        <v>0</v>
      </c>
      <c r="J199" s="11" t="s">
        <v>386</v>
      </c>
      <c r="K199" s="11" t="s">
        <v>383</v>
      </c>
      <c r="L199" s="11" t="s">
        <v>38</v>
      </c>
      <c r="M199" s="12" t="s">
        <v>38</v>
      </c>
      <c r="N199" s="12" t="s">
        <v>38</v>
      </c>
      <c r="O199" s="12" t="s">
        <v>38</v>
      </c>
      <c r="P199" s="12" t="s">
        <v>38</v>
      </c>
      <c r="Q199" s="17">
        <v>4.5000000000000003E-5</v>
      </c>
      <c r="R199" s="13" t="s">
        <v>38</v>
      </c>
      <c r="S199" s="15" t="s">
        <v>38</v>
      </c>
      <c r="T199" s="15" t="s">
        <v>38</v>
      </c>
      <c r="U199" s="36" t="s">
        <v>38</v>
      </c>
      <c r="V199" s="36" t="s">
        <v>38</v>
      </c>
      <c r="W199" s="13"/>
      <c r="X199" s="15">
        <f t="shared" si="5"/>
        <v>105.17399999999999</v>
      </c>
    </row>
    <row r="200" spans="1:24" x14ac:dyDescent="0.25">
      <c r="R200" s="13"/>
      <c r="U200" s="36"/>
      <c r="V200" s="36"/>
      <c r="W200" s="13"/>
      <c r="X200" s="15">
        <f t="shared" si="5"/>
        <v>105.17399999999999</v>
      </c>
    </row>
    <row r="201" spans="1:24" x14ac:dyDescent="0.25">
      <c r="A201" s="11" t="s">
        <v>39</v>
      </c>
      <c r="B201" s="12" t="s">
        <v>38</v>
      </c>
      <c r="C201" s="13" t="s">
        <v>38</v>
      </c>
      <c r="D201" s="13" t="s">
        <v>38</v>
      </c>
      <c r="E201" s="14">
        <f>(0.21907-2*0.00376)^2*PI()/4</f>
        <v>3.5149240129286767E-2</v>
      </c>
      <c r="F201" s="15" t="s">
        <v>38</v>
      </c>
      <c r="G201" s="15" t="s">
        <v>38</v>
      </c>
      <c r="H201" s="15">
        <v>0</v>
      </c>
      <c r="I201" s="15">
        <v>0</v>
      </c>
      <c r="J201" s="11" t="s">
        <v>387</v>
      </c>
      <c r="K201" s="11" t="s">
        <v>383</v>
      </c>
      <c r="L201" s="11" t="s">
        <v>38</v>
      </c>
      <c r="M201" s="12" t="str">
        <f ca="1">OFFSET($A$1,ROW()-3,1)</f>
        <v>PIPE_199</v>
      </c>
      <c r="N201" s="12" t="str">
        <f ca="1">OFFSET($A$1,ROW()+1,1)</f>
        <v>PIPE_203</v>
      </c>
      <c r="O201" s="12">
        <v>2</v>
      </c>
      <c r="P201" s="12">
        <v>1</v>
      </c>
      <c r="Q201" s="17" t="s">
        <v>38</v>
      </c>
      <c r="R201" s="13" t="s">
        <v>38</v>
      </c>
      <c r="S201" s="15" t="s">
        <v>38</v>
      </c>
      <c r="T201" s="15" t="s">
        <v>38</v>
      </c>
      <c r="U201" s="36" t="s">
        <v>38</v>
      </c>
      <c r="V201" s="36" t="s">
        <v>38</v>
      </c>
      <c r="W201" s="13"/>
      <c r="X201" s="15">
        <f t="shared" si="5"/>
        <v>105.17399999999999</v>
      </c>
    </row>
    <row r="202" spans="1:24" x14ac:dyDescent="0.25">
      <c r="R202" s="13"/>
      <c r="U202" s="36"/>
      <c r="V202" s="36"/>
      <c r="W202" s="13"/>
      <c r="X202" s="15">
        <f t="shared" si="5"/>
        <v>105.17399999999999</v>
      </c>
    </row>
    <row r="203" spans="1:24" x14ac:dyDescent="0.25">
      <c r="A203" s="11" t="s">
        <v>41</v>
      </c>
      <c r="B203" s="12" t="str">
        <f>CONCATENATE("PIPE_",ROW())</f>
        <v>PIPE_203</v>
      </c>
      <c r="C203" s="13">
        <v>1.125</v>
      </c>
      <c r="D203" s="13">
        <f>dx</f>
        <v>0.2</v>
      </c>
      <c r="E203" s="14">
        <f>(0.21907-2*0.00376)^2*PI()/4</f>
        <v>3.5149240129286767E-2</v>
      </c>
      <c r="F203" s="15">
        <v>50</v>
      </c>
      <c r="G203" s="15">
        <v>0</v>
      </c>
      <c r="H203" s="15">
        <v>0</v>
      </c>
      <c r="I203" s="15">
        <v>0</v>
      </c>
      <c r="J203" s="11" t="s">
        <v>41</v>
      </c>
      <c r="K203" s="11" t="s">
        <v>388</v>
      </c>
      <c r="L203" s="11">
        <f>ROUNDUP(L195/10,0)*10</f>
        <v>50</v>
      </c>
      <c r="M203" s="12" t="s">
        <v>38</v>
      </c>
      <c r="N203" s="12" t="s">
        <v>38</v>
      </c>
      <c r="O203" s="12" t="s">
        <v>38</v>
      </c>
      <c r="P203" s="12" t="s">
        <v>38</v>
      </c>
      <c r="Q203" s="17">
        <v>4.5000000000000003E-5</v>
      </c>
      <c r="R203" s="13" t="s">
        <v>38</v>
      </c>
      <c r="S203" s="15" t="s">
        <v>38</v>
      </c>
      <c r="T203" s="15" t="s">
        <v>38</v>
      </c>
      <c r="U203" s="36" t="s">
        <v>38</v>
      </c>
      <c r="V203" s="36" t="s">
        <v>38</v>
      </c>
      <c r="W203" s="13"/>
      <c r="X203" s="15">
        <f t="shared" si="5"/>
        <v>106.03579999850885</v>
      </c>
    </row>
    <row r="204" spans="1:24" x14ac:dyDescent="0.25">
      <c r="A204" s="11" t="s">
        <v>41</v>
      </c>
      <c r="B204" s="12" t="str">
        <f>CONCATENATE("PIPE_",ROW())</f>
        <v>PIPE_204</v>
      </c>
      <c r="C204" s="13">
        <f>0.407+0.09/2</f>
        <v>0.45199999999999996</v>
      </c>
      <c r="D204" s="13">
        <f>dx</f>
        <v>0.2</v>
      </c>
      <c r="E204" s="14">
        <f>(0.21907-2*0.00376)^2*PI()/4</f>
        <v>3.5149240129286767E-2</v>
      </c>
      <c r="F204" s="15">
        <v>0</v>
      </c>
      <c r="G204" s="15">
        <v>0</v>
      </c>
      <c r="H204" s="15">
        <v>0</v>
      </c>
      <c r="I204" s="15">
        <v>0</v>
      </c>
      <c r="J204" s="11" t="s">
        <v>41</v>
      </c>
      <c r="K204" s="11" t="s">
        <v>388</v>
      </c>
      <c r="L204" s="11">
        <f>L203+1</f>
        <v>51</v>
      </c>
      <c r="M204" s="12" t="s">
        <v>38</v>
      </c>
      <c r="N204" s="12" t="s">
        <v>38</v>
      </c>
      <c r="O204" s="12" t="s">
        <v>38</v>
      </c>
      <c r="P204" s="12" t="s">
        <v>38</v>
      </c>
      <c r="Q204" s="17">
        <v>4.5000000000000003E-5</v>
      </c>
      <c r="R204" s="13" t="s">
        <v>38</v>
      </c>
      <c r="S204" s="15" t="s">
        <v>38</v>
      </c>
      <c r="T204" s="15" t="s">
        <v>38</v>
      </c>
      <c r="U204" s="36" t="s">
        <v>38</v>
      </c>
      <c r="V204" s="36" t="s">
        <v>38</v>
      </c>
      <c r="W204" s="13"/>
    </row>
    <row r="205" spans="1:24" x14ac:dyDescent="0.25">
      <c r="R205" s="13"/>
      <c r="U205" s="36"/>
      <c r="V205" s="36"/>
      <c r="W205" s="13"/>
    </row>
    <row r="206" spans="1:24" x14ac:dyDescent="0.25">
      <c r="A206" s="11" t="s">
        <v>56</v>
      </c>
      <c r="B206" s="12" t="s">
        <v>38</v>
      </c>
      <c r="C206" s="13" t="s">
        <v>38</v>
      </c>
      <c r="D206" s="13" t="s">
        <v>38</v>
      </c>
      <c r="E206" s="14">
        <f>(0.21907-2*0.00376)^2*PI()/4</f>
        <v>3.5149240129286767E-2</v>
      </c>
      <c r="F206" s="15" t="s">
        <v>38</v>
      </c>
      <c r="G206" s="15" t="s">
        <v>38</v>
      </c>
      <c r="H206" s="15">
        <v>0</v>
      </c>
      <c r="I206" s="15">
        <v>0</v>
      </c>
      <c r="J206" s="11" t="s">
        <v>389</v>
      </c>
      <c r="K206" s="11" t="s">
        <v>388</v>
      </c>
      <c r="L206" s="11" t="s">
        <v>38</v>
      </c>
      <c r="M206" s="12" t="str">
        <f ca="1">OFFSET($A$1,ROW()-3,1)</f>
        <v>PIPE_204</v>
      </c>
      <c r="N206" s="12" t="str">
        <f ca="1">OFFSET($A$1,ROW()+1,1)</f>
        <v>PIPE_208</v>
      </c>
      <c r="O206" s="12">
        <v>2</v>
      </c>
      <c r="P206" s="12">
        <v>1</v>
      </c>
      <c r="Q206" s="17" t="s">
        <v>38</v>
      </c>
      <c r="R206" s="13" t="s">
        <v>38</v>
      </c>
      <c r="S206" s="15" t="s">
        <v>38</v>
      </c>
      <c r="T206" s="15">
        <f>B39</f>
        <v>1</v>
      </c>
      <c r="U206" s="36" t="s">
        <v>38</v>
      </c>
      <c r="V206" s="36" t="s">
        <v>38</v>
      </c>
      <c r="W206" s="13"/>
    </row>
    <row r="207" spans="1:24" x14ac:dyDescent="0.25">
      <c r="R207" s="13"/>
      <c r="U207" s="36"/>
      <c r="V207" s="36"/>
      <c r="W207" s="13"/>
    </row>
    <row r="208" spans="1:24" x14ac:dyDescent="0.25">
      <c r="A208" s="11" t="s">
        <v>41</v>
      </c>
      <c r="B208" s="12" t="str">
        <f>CONCATENATE("PIPE_",ROW())</f>
        <v>PIPE_208</v>
      </c>
      <c r="C208" s="13">
        <f>4.02-C204</f>
        <v>3.5679999999999996</v>
      </c>
      <c r="D208" s="13">
        <f>dx</f>
        <v>0.2</v>
      </c>
      <c r="E208" s="14">
        <f>(0.21907-2*0.00376)^2*PI()/4</f>
        <v>3.5149240129286767E-2</v>
      </c>
      <c r="F208" s="15">
        <v>0</v>
      </c>
      <c r="G208" s="15">
        <v>0</v>
      </c>
      <c r="H208" s="15">
        <v>0</v>
      </c>
      <c r="I208" s="15">
        <v>0</v>
      </c>
      <c r="J208" s="11" t="s">
        <v>41</v>
      </c>
      <c r="K208" s="11" t="s">
        <v>388</v>
      </c>
      <c r="L208" s="11">
        <f>L204</f>
        <v>51</v>
      </c>
      <c r="M208" s="12" t="s">
        <v>38</v>
      </c>
      <c r="N208" s="12" t="s">
        <v>38</v>
      </c>
      <c r="O208" s="12" t="s">
        <v>38</v>
      </c>
      <c r="P208" s="12" t="s">
        <v>38</v>
      </c>
      <c r="Q208" s="17">
        <v>4.5000000000000003E-5</v>
      </c>
      <c r="R208" s="13" t="s">
        <v>38</v>
      </c>
      <c r="S208" s="15" t="s">
        <v>38</v>
      </c>
      <c r="T208" s="15" t="s">
        <v>38</v>
      </c>
      <c r="U208" s="36" t="s">
        <v>38</v>
      </c>
      <c r="V208" s="36" t="s">
        <v>38</v>
      </c>
      <c r="W208" s="13" t="s">
        <v>390</v>
      </c>
      <c r="X208" s="15">
        <f>IF(F208="-",X203,X203+C208*SIN(F208*PI()/180))</f>
        <v>106.03579999850885</v>
      </c>
    </row>
    <row r="209" spans="1:29" x14ac:dyDescent="0.25">
      <c r="A209" s="11" t="s">
        <v>41</v>
      </c>
      <c r="B209" s="12" t="str">
        <f>CONCATENATE("PIPE_",ROW())</f>
        <v>PIPE_209</v>
      </c>
      <c r="C209" s="13">
        <v>2.54</v>
      </c>
      <c r="D209" s="13">
        <f>dx</f>
        <v>0.2</v>
      </c>
      <c r="E209" s="14">
        <f>(0.21907-2*0.00376)^2*PI()/4</f>
        <v>3.5149240129286767E-2</v>
      </c>
      <c r="F209" s="15">
        <v>0</v>
      </c>
      <c r="G209" s="15">
        <v>0</v>
      </c>
      <c r="H209" s="15">
        <v>0</v>
      </c>
      <c r="I209" s="15">
        <v>0</v>
      </c>
      <c r="J209" s="11" t="s">
        <v>41</v>
      </c>
      <c r="K209" s="11" t="s">
        <v>388</v>
      </c>
      <c r="L209" s="11">
        <f>L208</f>
        <v>51</v>
      </c>
      <c r="M209" s="12" t="s">
        <v>38</v>
      </c>
      <c r="N209" s="12" t="s">
        <v>38</v>
      </c>
      <c r="O209" s="12" t="s">
        <v>38</v>
      </c>
      <c r="P209" s="12" t="s">
        <v>38</v>
      </c>
      <c r="Q209" s="17">
        <v>4.5000000000000003E-5</v>
      </c>
      <c r="R209" s="13" t="s">
        <v>38</v>
      </c>
      <c r="S209" s="15" t="s">
        <v>38</v>
      </c>
      <c r="T209" s="15" t="s">
        <v>38</v>
      </c>
      <c r="U209" s="36" t="s">
        <v>38</v>
      </c>
      <c r="V209" s="36" t="s">
        <v>38</v>
      </c>
      <c r="W209" s="13"/>
      <c r="X209" s="15">
        <f t="shared" si="5"/>
        <v>106.03579999850885</v>
      </c>
    </row>
    <row r="210" spans="1:29" x14ac:dyDescent="0.25">
      <c r="A210" s="11" t="s">
        <v>41</v>
      </c>
      <c r="B210" s="12" t="str">
        <f>CONCATENATE("PIPE_",ROW())</f>
        <v>PIPE_210</v>
      </c>
      <c r="C210" s="13">
        <f>0.305+1.127+0.178</f>
        <v>1.6099999999999999</v>
      </c>
      <c r="D210" s="13">
        <f>dx</f>
        <v>0.2</v>
      </c>
      <c r="E210" s="14">
        <f>(0.21907-2*0.00376)^2*PI()/4</f>
        <v>3.5149240129286767E-2</v>
      </c>
      <c r="F210" s="15">
        <v>0</v>
      </c>
      <c r="G210" s="15">
        <v>0</v>
      </c>
      <c r="H210" s="15">
        <v>0</v>
      </c>
      <c r="I210" s="15">
        <v>0</v>
      </c>
      <c r="J210" s="11" t="s">
        <v>41</v>
      </c>
      <c r="K210" s="11" t="s">
        <v>391</v>
      </c>
      <c r="L210" s="11">
        <f>L209+1</f>
        <v>52</v>
      </c>
      <c r="M210" s="12" t="s">
        <v>38</v>
      </c>
      <c r="N210" s="12" t="s">
        <v>38</v>
      </c>
      <c r="O210" s="12" t="s">
        <v>38</v>
      </c>
      <c r="P210" s="12" t="s">
        <v>38</v>
      </c>
      <c r="Q210" s="17">
        <v>4.5000000000000003E-5</v>
      </c>
      <c r="R210" s="13" t="s">
        <v>38</v>
      </c>
      <c r="S210" s="15" t="s">
        <v>38</v>
      </c>
      <c r="T210" s="15" t="s">
        <v>38</v>
      </c>
      <c r="U210" s="36" t="s">
        <v>38</v>
      </c>
      <c r="V210" s="36" t="s">
        <v>38</v>
      </c>
      <c r="W210" s="13" t="s">
        <v>392</v>
      </c>
      <c r="X210" s="15">
        <f t="shared" si="5"/>
        <v>106.03579999850885</v>
      </c>
    </row>
    <row r="211" spans="1:29" x14ac:dyDescent="0.25">
      <c r="A211" s="11" t="s">
        <v>41</v>
      </c>
      <c r="B211" s="12" t="str">
        <f>CONCATENATE("PIPE_",ROW())</f>
        <v>PIPE_211</v>
      </c>
      <c r="C211" s="13">
        <f>0.178+0.421</f>
        <v>0.59899999999999998</v>
      </c>
      <c r="D211" s="13">
        <f>dx</f>
        <v>0.2</v>
      </c>
      <c r="E211" s="14">
        <f>(0.21907-2*0.00376)^2*PI()/4</f>
        <v>3.5149240129286767E-2</v>
      </c>
      <c r="F211" s="15">
        <v>0</v>
      </c>
      <c r="G211" s="15">
        <v>0</v>
      </c>
      <c r="H211" s="15">
        <v>0</v>
      </c>
      <c r="I211" s="15">
        <v>0</v>
      </c>
      <c r="J211" s="11" t="s">
        <v>41</v>
      </c>
      <c r="K211" s="11" t="s">
        <v>391</v>
      </c>
      <c r="L211" s="11">
        <f>L210</f>
        <v>52</v>
      </c>
      <c r="M211" s="12" t="s">
        <v>38</v>
      </c>
      <c r="N211" s="12" t="s">
        <v>38</v>
      </c>
      <c r="O211" s="12" t="s">
        <v>38</v>
      </c>
      <c r="P211" s="12" t="s">
        <v>38</v>
      </c>
      <c r="Q211" s="17">
        <v>4.5000000000000003E-5</v>
      </c>
      <c r="R211" s="13" t="s">
        <v>38</v>
      </c>
      <c r="S211" s="15" t="s">
        <v>38</v>
      </c>
      <c r="T211" s="15" t="s">
        <v>38</v>
      </c>
      <c r="U211" s="36" t="s">
        <v>38</v>
      </c>
      <c r="V211" s="36" t="s">
        <v>38</v>
      </c>
      <c r="W211" s="13"/>
      <c r="X211" s="15">
        <f t="shared" si="5"/>
        <v>106.03579999850885</v>
      </c>
    </row>
    <row r="212" spans="1:29" ht="26.25" x14ac:dyDescent="0.4">
      <c r="A212" s="120"/>
      <c r="R212" s="13"/>
      <c r="U212" s="36"/>
      <c r="V212" s="36"/>
      <c r="W212" s="13"/>
      <c r="X212" s="15">
        <f t="shared" si="5"/>
        <v>106.03579999850885</v>
      </c>
    </row>
    <row r="213" spans="1:29" x14ac:dyDescent="0.25">
      <c r="A213" s="11" t="s">
        <v>56</v>
      </c>
      <c r="B213" s="12" t="s">
        <v>38</v>
      </c>
      <c r="C213" s="13" t="s">
        <v>38</v>
      </c>
      <c r="D213" s="13" t="s">
        <v>38</v>
      </c>
      <c r="E213" s="14">
        <f>(0.21907-2*0.00376)^2*PI()/4</f>
        <v>3.5149240129286767E-2</v>
      </c>
      <c r="F213" s="15" t="s">
        <v>38</v>
      </c>
      <c r="G213" s="15" t="s">
        <v>38</v>
      </c>
      <c r="H213" s="15">
        <v>0</v>
      </c>
      <c r="I213" s="15">
        <v>0</v>
      </c>
      <c r="J213" s="11" t="s">
        <v>393</v>
      </c>
      <c r="K213" s="11" t="s">
        <v>394</v>
      </c>
      <c r="L213" s="11" t="s">
        <v>38</v>
      </c>
      <c r="M213" s="12" t="str">
        <f ca="1">OFFSET($A$1,ROW()-3,1)</f>
        <v>PIPE_211</v>
      </c>
      <c r="N213" s="12" t="str">
        <f ca="1">OFFSET($A$1,ROW()+1,1)</f>
        <v>PIPE_215</v>
      </c>
      <c r="O213" s="12">
        <v>2</v>
      </c>
      <c r="P213" s="12">
        <v>1</v>
      </c>
      <c r="Q213" s="17" t="s">
        <v>38</v>
      </c>
      <c r="R213" s="13" t="s">
        <v>38</v>
      </c>
      <c r="S213" s="15" t="s">
        <v>38</v>
      </c>
      <c r="T213" s="15">
        <v>0</v>
      </c>
      <c r="U213" s="36" t="s">
        <v>38</v>
      </c>
      <c r="V213" s="36" t="s">
        <v>38</v>
      </c>
      <c r="W213" s="13"/>
      <c r="X213" s="15">
        <f t="shared" si="5"/>
        <v>106.03579999850885</v>
      </c>
    </row>
    <row r="214" spans="1:29" x14ac:dyDescent="0.25">
      <c r="R214" s="13"/>
      <c r="U214" s="36"/>
      <c r="V214" s="36"/>
      <c r="W214" s="13"/>
      <c r="X214" s="15">
        <f t="shared" si="5"/>
        <v>106.03579999850885</v>
      </c>
    </row>
    <row r="215" spans="1:29" x14ac:dyDescent="0.25">
      <c r="A215" s="11" t="s">
        <v>41</v>
      </c>
      <c r="B215" s="12" t="str">
        <f t="shared" ref="B215:B223" si="6">CONCATENATE("PIPE_",ROW())</f>
        <v>PIPE_215</v>
      </c>
      <c r="C215" s="13">
        <v>6.0149999999999997</v>
      </c>
      <c r="D215" s="13">
        <f t="shared" ref="D215:D223" si="7">dx</f>
        <v>0.2</v>
      </c>
      <c r="E215" s="14">
        <f t="shared" ref="E215:E223" si="8">(0.21907-2*0.00376)^2*PI()/4</f>
        <v>3.5149240129286767E-2</v>
      </c>
      <c r="F215" s="15">
        <v>0</v>
      </c>
      <c r="G215" s="15">
        <v>0</v>
      </c>
      <c r="H215" s="15">
        <v>0</v>
      </c>
      <c r="I215" s="15">
        <v>0</v>
      </c>
      <c r="J215" s="11" t="s">
        <v>41</v>
      </c>
      <c r="K215" s="11" t="s">
        <v>394</v>
      </c>
      <c r="L215" s="11">
        <f>L211</f>
        <v>52</v>
      </c>
      <c r="M215" s="12" t="s">
        <v>38</v>
      </c>
      <c r="N215" s="12" t="s">
        <v>38</v>
      </c>
      <c r="O215" s="12" t="s">
        <v>38</v>
      </c>
      <c r="P215" s="12" t="s">
        <v>38</v>
      </c>
      <c r="Q215" s="17">
        <v>4.5000000000000003E-5</v>
      </c>
      <c r="R215" s="13" t="s">
        <v>38</v>
      </c>
      <c r="S215" s="15" t="s">
        <v>38</v>
      </c>
      <c r="T215" s="15" t="s">
        <v>38</v>
      </c>
      <c r="U215" s="36" t="s">
        <v>38</v>
      </c>
      <c r="V215" s="36" t="s">
        <v>38</v>
      </c>
      <c r="W215" s="13"/>
      <c r="X215" s="15">
        <f t="shared" si="5"/>
        <v>106.03579999850885</v>
      </c>
    </row>
    <row r="216" spans="1:29" x14ac:dyDescent="0.25">
      <c r="A216" s="11" t="s">
        <v>41</v>
      </c>
      <c r="B216" s="12" t="str">
        <f t="shared" si="6"/>
        <v>PIPE_216</v>
      </c>
      <c r="C216" s="13">
        <v>7.45</v>
      </c>
      <c r="D216" s="13">
        <f t="shared" si="7"/>
        <v>0.2</v>
      </c>
      <c r="E216" s="14">
        <f t="shared" si="8"/>
        <v>3.5149240129286767E-2</v>
      </c>
      <c r="F216" s="15">
        <v>90</v>
      </c>
      <c r="G216" s="15">
        <v>0</v>
      </c>
      <c r="H216" s="15">
        <v>0</v>
      </c>
      <c r="I216" s="15">
        <v>0</v>
      </c>
      <c r="J216" s="11" t="s">
        <v>41</v>
      </c>
      <c r="K216" s="11" t="s">
        <v>394</v>
      </c>
      <c r="L216" s="11">
        <f t="shared" ref="L216:L223" si="9">L215+1</f>
        <v>53</v>
      </c>
      <c r="M216" s="12" t="s">
        <v>38</v>
      </c>
      <c r="N216" s="12" t="s">
        <v>38</v>
      </c>
      <c r="O216" s="12" t="s">
        <v>38</v>
      </c>
      <c r="P216" s="12" t="s">
        <v>38</v>
      </c>
      <c r="Q216" s="17">
        <v>4.5000000000000003E-5</v>
      </c>
      <c r="R216" s="13" t="s">
        <v>38</v>
      </c>
      <c r="S216" s="15" t="s">
        <v>38</v>
      </c>
      <c r="T216" s="15" t="s">
        <v>38</v>
      </c>
      <c r="U216" s="36" t="s">
        <v>38</v>
      </c>
      <c r="V216" s="36" t="s">
        <v>38</v>
      </c>
      <c r="W216" s="13"/>
      <c r="X216" s="15">
        <f t="shared" si="5"/>
        <v>113.48579999850885</v>
      </c>
      <c r="AC216" s="116"/>
    </row>
    <row r="217" spans="1:29" x14ac:dyDescent="0.25">
      <c r="A217" s="11" t="s">
        <v>41</v>
      </c>
      <c r="B217" s="12" t="str">
        <f t="shared" si="6"/>
        <v>PIPE_217</v>
      </c>
      <c r="C217" s="13">
        <v>0.36399999999999999</v>
      </c>
      <c r="D217" s="13">
        <f t="shared" si="7"/>
        <v>0.2</v>
      </c>
      <c r="E217" s="14">
        <f t="shared" si="8"/>
        <v>3.5149240129286767E-2</v>
      </c>
      <c r="F217" s="15">
        <v>0</v>
      </c>
      <c r="G217" s="15">
        <v>0</v>
      </c>
      <c r="H217" s="15">
        <v>0</v>
      </c>
      <c r="I217" s="15">
        <v>0</v>
      </c>
      <c r="J217" s="11" t="s">
        <v>41</v>
      </c>
      <c r="K217" s="11" t="s">
        <v>394</v>
      </c>
      <c r="L217" s="11">
        <f t="shared" si="9"/>
        <v>54</v>
      </c>
      <c r="M217" s="12" t="s">
        <v>38</v>
      </c>
      <c r="N217" s="12" t="s">
        <v>38</v>
      </c>
      <c r="O217" s="12" t="s">
        <v>38</v>
      </c>
      <c r="P217" s="12" t="s">
        <v>38</v>
      </c>
      <c r="Q217" s="17">
        <v>4.5000000000000003E-5</v>
      </c>
      <c r="R217" s="13" t="s">
        <v>38</v>
      </c>
      <c r="S217" s="15" t="s">
        <v>38</v>
      </c>
      <c r="T217" s="15" t="s">
        <v>38</v>
      </c>
      <c r="U217" s="36" t="s">
        <v>38</v>
      </c>
      <c r="V217" s="36" t="s">
        <v>38</v>
      </c>
      <c r="W217" s="13"/>
      <c r="X217" s="15">
        <f t="shared" si="5"/>
        <v>113.48579999850885</v>
      </c>
    </row>
    <row r="218" spans="1:29" x14ac:dyDescent="0.25">
      <c r="A218" s="11" t="s">
        <v>41</v>
      </c>
      <c r="B218" s="12" t="str">
        <f t="shared" si="6"/>
        <v>PIPE_218</v>
      </c>
      <c r="C218" s="13">
        <v>1.294</v>
      </c>
      <c r="D218" s="13">
        <f t="shared" si="7"/>
        <v>0.2</v>
      </c>
      <c r="E218" s="14">
        <f t="shared" si="8"/>
        <v>3.5149240129286767E-2</v>
      </c>
      <c r="F218" s="15">
        <v>0</v>
      </c>
      <c r="G218" s="15">
        <v>0</v>
      </c>
      <c r="H218" s="15">
        <v>0</v>
      </c>
      <c r="I218" s="15">
        <v>0</v>
      </c>
      <c r="J218" s="11" t="s">
        <v>41</v>
      </c>
      <c r="K218" s="11" t="s">
        <v>394</v>
      </c>
      <c r="L218" s="11">
        <f t="shared" si="9"/>
        <v>55</v>
      </c>
      <c r="M218" s="12" t="s">
        <v>38</v>
      </c>
      <c r="N218" s="12" t="s">
        <v>38</v>
      </c>
      <c r="O218" s="12" t="s">
        <v>38</v>
      </c>
      <c r="P218" s="12" t="s">
        <v>38</v>
      </c>
      <c r="Q218" s="17">
        <v>4.5000000000000003E-5</v>
      </c>
      <c r="R218" s="13" t="s">
        <v>38</v>
      </c>
      <c r="S218" s="15" t="s">
        <v>38</v>
      </c>
      <c r="T218" s="15" t="s">
        <v>38</v>
      </c>
      <c r="U218" s="36" t="s">
        <v>38</v>
      </c>
      <c r="V218" s="36" t="s">
        <v>38</v>
      </c>
      <c r="W218" s="13"/>
      <c r="X218" s="15">
        <f t="shared" si="5"/>
        <v>113.48579999850885</v>
      </c>
    </row>
    <row r="219" spans="1:29" x14ac:dyDescent="0.25">
      <c r="A219" s="11" t="s">
        <v>41</v>
      </c>
      <c r="B219" s="12" t="str">
        <f t="shared" si="6"/>
        <v>PIPE_219</v>
      </c>
      <c r="C219" s="13">
        <v>4.7960000000000003</v>
      </c>
      <c r="D219" s="13">
        <f t="shared" si="7"/>
        <v>0.2</v>
      </c>
      <c r="E219" s="14">
        <f t="shared" si="8"/>
        <v>3.5149240129286767E-2</v>
      </c>
      <c r="F219" s="15">
        <v>0</v>
      </c>
      <c r="G219" s="15">
        <v>0</v>
      </c>
      <c r="H219" s="15">
        <v>0</v>
      </c>
      <c r="I219" s="15">
        <v>0</v>
      </c>
      <c r="J219" s="103" t="s">
        <v>41</v>
      </c>
      <c r="K219" s="11" t="s">
        <v>394</v>
      </c>
      <c r="L219" s="11">
        <f t="shared" si="9"/>
        <v>56</v>
      </c>
      <c r="M219" s="12" t="s">
        <v>38</v>
      </c>
      <c r="N219" s="12" t="s">
        <v>38</v>
      </c>
      <c r="O219" s="12" t="s">
        <v>38</v>
      </c>
      <c r="P219" s="12" t="s">
        <v>38</v>
      </c>
      <c r="Q219" s="17">
        <v>4.5000000000000003E-5</v>
      </c>
      <c r="R219" s="13" t="s">
        <v>38</v>
      </c>
      <c r="S219" s="15" t="s">
        <v>38</v>
      </c>
      <c r="T219" s="15" t="s">
        <v>38</v>
      </c>
      <c r="U219" s="36" t="s">
        <v>38</v>
      </c>
      <c r="V219" s="36" t="s">
        <v>38</v>
      </c>
      <c r="W219" s="13"/>
      <c r="X219" s="15">
        <f t="shared" si="5"/>
        <v>113.48579999850885</v>
      </c>
    </row>
    <row r="220" spans="1:29" x14ac:dyDescent="0.25">
      <c r="A220" s="11" t="s">
        <v>41</v>
      </c>
      <c r="B220" s="12" t="str">
        <f t="shared" si="6"/>
        <v>PIPE_220</v>
      </c>
      <c r="C220" s="13">
        <v>1.6559999999999999</v>
      </c>
      <c r="D220" s="13">
        <f t="shared" si="7"/>
        <v>0.2</v>
      </c>
      <c r="E220" s="14">
        <f t="shared" si="8"/>
        <v>3.5149240129286767E-2</v>
      </c>
      <c r="F220" s="15">
        <v>0</v>
      </c>
      <c r="G220" s="15">
        <v>0</v>
      </c>
      <c r="H220" s="15">
        <v>0</v>
      </c>
      <c r="I220" s="15">
        <v>0</v>
      </c>
      <c r="J220" s="103" t="s">
        <v>41</v>
      </c>
      <c r="K220" s="11" t="s">
        <v>394</v>
      </c>
      <c r="L220" s="11">
        <f t="shared" si="9"/>
        <v>57</v>
      </c>
      <c r="M220" s="12" t="s">
        <v>38</v>
      </c>
      <c r="N220" s="12" t="s">
        <v>38</v>
      </c>
      <c r="O220" s="12" t="s">
        <v>38</v>
      </c>
      <c r="P220" s="12" t="s">
        <v>38</v>
      </c>
      <c r="Q220" s="17">
        <v>4.5000000000000003E-5</v>
      </c>
      <c r="R220" s="13" t="s">
        <v>38</v>
      </c>
      <c r="S220" s="15" t="s">
        <v>38</v>
      </c>
      <c r="T220" s="15" t="s">
        <v>38</v>
      </c>
      <c r="U220" s="36" t="s">
        <v>38</v>
      </c>
      <c r="V220" s="36" t="s">
        <v>38</v>
      </c>
      <c r="W220" s="13"/>
      <c r="X220" s="15">
        <f t="shared" si="5"/>
        <v>113.48579999850885</v>
      </c>
    </row>
    <row r="221" spans="1:29" x14ac:dyDescent="0.25">
      <c r="A221" s="11" t="s">
        <v>41</v>
      </c>
      <c r="B221" s="12" t="str">
        <f t="shared" si="6"/>
        <v>PIPE_221</v>
      </c>
      <c r="C221" s="13">
        <v>8.74</v>
      </c>
      <c r="D221" s="13">
        <f t="shared" si="7"/>
        <v>0.2</v>
      </c>
      <c r="E221" s="14">
        <f t="shared" si="8"/>
        <v>3.5149240129286767E-2</v>
      </c>
      <c r="F221" s="15">
        <v>0</v>
      </c>
      <c r="G221" s="15">
        <v>0</v>
      </c>
      <c r="H221" s="15">
        <v>0</v>
      </c>
      <c r="I221" s="15">
        <v>0</v>
      </c>
      <c r="J221" s="11" t="s">
        <v>41</v>
      </c>
      <c r="K221" s="11" t="s">
        <v>394</v>
      </c>
      <c r="L221" s="11">
        <f t="shared" si="9"/>
        <v>58</v>
      </c>
      <c r="M221" s="12" t="s">
        <v>38</v>
      </c>
      <c r="N221" s="12" t="s">
        <v>38</v>
      </c>
      <c r="O221" s="12" t="s">
        <v>38</v>
      </c>
      <c r="P221" s="12" t="s">
        <v>38</v>
      </c>
      <c r="Q221" s="17">
        <v>4.5000000000000003E-5</v>
      </c>
      <c r="R221" s="13" t="s">
        <v>38</v>
      </c>
      <c r="S221" s="15" t="s">
        <v>38</v>
      </c>
      <c r="T221" s="15" t="s">
        <v>38</v>
      </c>
      <c r="U221" s="36" t="s">
        <v>38</v>
      </c>
      <c r="V221" s="36" t="s">
        <v>38</v>
      </c>
      <c r="W221" s="13"/>
      <c r="X221" s="15">
        <f t="shared" si="5"/>
        <v>113.48579999850885</v>
      </c>
    </row>
    <row r="222" spans="1:29" x14ac:dyDescent="0.25">
      <c r="A222" s="11" t="s">
        <v>41</v>
      </c>
      <c r="B222" s="12" t="str">
        <f t="shared" si="6"/>
        <v>PIPE_222</v>
      </c>
      <c r="C222" s="13">
        <v>4.67</v>
      </c>
      <c r="D222" s="13">
        <f t="shared" si="7"/>
        <v>0.2</v>
      </c>
      <c r="E222" s="14">
        <f t="shared" si="8"/>
        <v>3.5149240129286767E-2</v>
      </c>
      <c r="F222" s="15">
        <v>-90</v>
      </c>
      <c r="G222" s="15">
        <v>0</v>
      </c>
      <c r="H222" s="15">
        <v>0</v>
      </c>
      <c r="I222" s="15">
        <v>0</v>
      </c>
      <c r="J222" s="11" t="s">
        <v>41</v>
      </c>
      <c r="K222" s="11" t="s">
        <v>394</v>
      </c>
      <c r="L222" s="11">
        <f t="shared" si="9"/>
        <v>59</v>
      </c>
      <c r="M222" s="12" t="s">
        <v>38</v>
      </c>
      <c r="N222" s="12" t="s">
        <v>38</v>
      </c>
      <c r="O222" s="12" t="s">
        <v>38</v>
      </c>
      <c r="P222" s="12" t="s">
        <v>38</v>
      </c>
      <c r="Q222" s="17">
        <v>4.5000000000000003E-5</v>
      </c>
      <c r="R222" s="13" t="s">
        <v>38</v>
      </c>
      <c r="S222" s="15" t="s">
        <v>38</v>
      </c>
      <c r="T222" s="15" t="s">
        <v>38</v>
      </c>
      <c r="U222" s="36" t="s">
        <v>38</v>
      </c>
      <c r="V222" s="36" t="s">
        <v>38</v>
      </c>
      <c r="W222" s="13"/>
      <c r="X222" s="15">
        <f t="shared" si="5"/>
        <v>108.81579999850885</v>
      </c>
    </row>
    <row r="223" spans="1:29" x14ac:dyDescent="0.25">
      <c r="A223" s="11" t="s">
        <v>41</v>
      </c>
      <c r="B223" s="12" t="str">
        <f t="shared" si="6"/>
        <v>PIPE_223</v>
      </c>
      <c r="C223" s="13">
        <v>6.8570000000000002</v>
      </c>
      <c r="D223" s="13">
        <f t="shared" si="7"/>
        <v>0.2</v>
      </c>
      <c r="E223" s="14">
        <f t="shared" si="8"/>
        <v>3.5149240129286767E-2</v>
      </c>
      <c r="F223" s="15">
        <v>0</v>
      </c>
      <c r="G223" s="15">
        <v>0</v>
      </c>
      <c r="H223" s="15">
        <v>0</v>
      </c>
      <c r="I223" s="15">
        <v>0</v>
      </c>
      <c r="J223" s="11" t="s">
        <v>41</v>
      </c>
      <c r="K223" s="11" t="s">
        <v>395</v>
      </c>
      <c r="L223" s="11">
        <f t="shared" si="9"/>
        <v>60</v>
      </c>
      <c r="M223" s="12" t="s">
        <v>38</v>
      </c>
      <c r="N223" s="12" t="s">
        <v>38</v>
      </c>
      <c r="O223" s="12" t="s">
        <v>38</v>
      </c>
      <c r="P223" s="12" t="s">
        <v>38</v>
      </c>
      <c r="Q223" s="17">
        <v>4.5000000000000003E-5</v>
      </c>
      <c r="R223" s="13" t="s">
        <v>38</v>
      </c>
      <c r="S223" s="15" t="s">
        <v>38</v>
      </c>
      <c r="T223" s="15" t="s">
        <v>38</v>
      </c>
      <c r="U223" s="36" t="s">
        <v>38</v>
      </c>
      <c r="V223" s="36" t="s">
        <v>38</v>
      </c>
      <c r="W223" s="13"/>
      <c r="X223" s="15">
        <f t="shared" si="5"/>
        <v>108.81579999850885</v>
      </c>
    </row>
    <row r="224" spans="1:29" x14ac:dyDescent="0.25">
      <c r="R224" s="13"/>
      <c r="U224" s="36"/>
      <c r="V224" s="36"/>
      <c r="W224" s="13"/>
      <c r="X224" s="15">
        <f t="shared" si="5"/>
        <v>108.81579999850885</v>
      </c>
    </row>
    <row r="225" spans="1:29" s="15" customFormat="1" x14ac:dyDescent="0.25">
      <c r="A225" s="11" t="s">
        <v>39</v>
      </c>
      <c r="B225" s="12" t="s">
        <v>38</v>
      </c>
      <c r="C225" s="13" t="s">
        <v>38</v>
      </c>
      <c r="D225" s="13" t="s">
        <v>38</v>
      </c>
      <c r="E225" s="14">
        <v>0</v>
      </c>
      <c r="F225" s="15" t="s">
        <v>38</v>
      </c>
      <c r="G225" s="15" t="s">
        <v>38</v>
      </c>
      <c r="H225" s="15">
        <v>0</v>
      </c>
      <c r="I225" s="15">
        <v>0</v>
      </c>
      <c r="J225" s="11" t="s">
        <v>40</v>
      </c>
      <c r="K225" s="11" t="s">
        <v>394</v>
      </c>
      <c r="L225" s="11" t="s">
        <v>38</v>
      </c>
      <c r="M225" s="12" t="str">
        <f ca="1">OFFSET($A$1,ROW()-3,1)</f>
        <v>PIPE_223</v>
      </c>
      <c r="N225" s="12" t="str">
        <f ca="1">OFFSET($A$1,ROW()+1,1)</f>
        <v>TMDV_227</v>
      </c>
      <c r="O225" s="12">
        <v>2</v>
      </c>
      <c r="P225" s="12">
        <v>1</v>
      </c>
      <c r="Q225" s="17" t="s">
        <v>38</v>
      </c>
      <c r="R225" s="13" t="s">
        <v>38</v>
      </c>
      <c r="S225" s="15" t="s">
        <v>38</v>
      </c>
      <c r="T225" s="15" t="s">
        <v>38</v>
      </c>
      <c r="U225" s="36" t="s">
        <v>38</v>
      </c>
      <c r="V225" s="36" t="s">
        <v>38</v>
      </c>
      <c r="W225" s="13"/>
      <c r="X225" s="15">
        <f t="shared" ref="X225:X227" si="10">IF(F225="-",X224,X224+C225*SIN(F225*PI()/180))</f>
        <v>108.81579999850885</v>
      </c>
      <c r="Z225" s="11"/>
      <c r="AA225" s="11"/>
      <c r="AB225" s="11"/>
      <c r="AC225" s="11"/>
    </row>
    <row r="226" spans="1:29" s="15" customFormat="1" x14ac:dyDescent="0.25">
      <c r="A226" s="11"/>
      <c r="B226" s="12"/>
      <c r="C226" s="13"/>
      <c r="D226" s="13"/>
      <c r="E226" s="14"/>
      <c r="J226" s="11"/>
      <c r="K226" s="11"/>
      <c r="L226" s="11"/>
      <c r="M226" s="12"/>
      <c r="N226" s="12"/>
      <c r="O226" s="12"/>
      <c r="P226" s="12"/>
      <c r="Q226" s="17"/>
      <c r="R226" s="13"/>
      <c r="U226" s="36"/>
      <c r="V226" s="36"/>
      <c r="W226" s="13"/>
      <c r="X226" s="15">
        <f t="shared" si="10"/>
        <v>108.81579999850885</v>
      </c>
      <c r="Z226" s="11"/>
      <c r="AA226" s="11"/>
      <c r="AB226" s="11"/>
      <c r="AC226" s="11"/>
    </row>
    <row r="227" spans="1:29" s="15" customFormat="1" x14ac:dyDescent="0.25">
      <c r="A227" s="11" t="s">
        <v>37</v>
      </c>
      <c r="B227" s="12" t="str">
        <f>CONCATENATE("TMDV_",ROW())</f>
        <v>TMDV_227</v>
      </c>
      <c r="C227" s="13">
        <v>1</v>
      </c>
      <c r="D227" s="13" t="s">
        <v>38</v>
      </c>
      <c r="E227" s="14">
        <v>1</v>
      </c>
      <c r="F227" s="15">
        <v>0</v>
      </c>
      <c r="G227" s="15">
        <v>0</v>
      </c>
      <c r="H227" s="15" t="s">
        <v>38</v>
      </c>
      <c r="I227" s="15" t="s">
        <v>38</v>
      </c>
      <c r="J227" s="11" t="s">
        <v>374</v>
      </c>
      <c r="K227" s="11" t="s">
        <v>38</v>
      </c>
      <c r="L227" s="11" t="s">
        <v>38</v>
      </c>
      <c r="M227" s="12" t="s">
        <v>38</v>
      </c>
      <c r="N227" s="12" t="s">
        <v>38</v>
      </c>
      <c r="O227" s="12" t="s">
        <v>38</v>
      </c>
      <c r="P227" s="12" t="s">
        <v>38</v>
      </c>
      <c r="Q227" s="17">
        <f>100000+($B$47-X226)*9.80665*$B$48</f>
        <v>209355.69903328922</v>
      </c>
      <c r="R227" s="13">
        <f>273.15+$B$46</f>
        <v>298.14999999999998</v>
      </c>
      <c r="S227" s="15" t="s">
        <v>38</v>
      </c>
      <c r="T227" s="15" t="s">
        <v>38</v>
      </c>
      <c r="U227" s="36" t="s">
        <v>38</v>
      </c>
      <c r="V227" s="36" t="s">
        <v>38</v>
      </c>
      <c r="W227" s="13"/>
      <c r="X227" s="15">
        <f t="shared" si="10"/>
        <v>108.81579999850885</v>
      </c>
      <c r="Z227" s="11"/>
      <c r="AA227" s="11"/>
      <c r="AB227" s="11"/>
      <c r="AC227" s="11"/>
    </row>
    <row r="228" spans="1:29" s="15" customFormat="1" x14ac:dyDescent="0.25">
      <c r="A228" s="11"/>
      <c r="B228" s="12"/>
      <c r="C228" s="13"/>
      <c r="D228" s="13"/>
      <c r="E228" s="14"/>
      <c r="J228" s="11"/>
      <c r="K228" s="11"/>
      <c r="L228" s="11"/>
      <c r="M228" s="12"/>
      <c r="N228" s="12"/>
      <c r="O228" s="12"/>
      <c r="P228" s="12"/>
      <c r="Q228" s="17"/>
      <c r="R228" s="13"/>
      <c r="U228" s="36"/>
      <c r="V228" s="36"/>
      <c r="W228" s="13"/>
      <c r="Z228" s="11"/>
      <c r="AA228" s="11"/>
      <c r="AB228" s="11"/>
      <c r="AC228" s="11"/>
    </row>
    <row r="229" spans="1:29" s="15" customFormat="1" x14ac:dyDescent="0.25">
      <c r="A229" s="11"/>
      <c r="B229" s="12"/>
      <c r="C229" s="13"/>
      <c r="D229" s="13"/>
      <c r="E229" s="14"/>
      <c r="J229" s="11"/>
      <c r="K229" s="11"/>
      <c r="L229" s="11"/>
      <c r="M229" s="12"/>
      <c r="N229" s="12"/>
      <c r="O229" s="12"/>
      <c r="P229" s="12"/>
      <c r="Q229" s="17"/>
      <c r="R229" s="13"/>
      <c r="U229" s="36"/>
      <c r="V229" s="36"/>
      <c r="W229" s="13"/>
      <c r="Z229" s="11"/>
      <c r="AA229" s="11"/>
      <c r="AB229" s="11"/>
      <c r="AC229" s="11"/>
    </row>
    <row r="230" spans="1:29" s="15" customFormat="1" x14ac:dyDescent="0.25">
      <c r="A230" s="11"/>
      <c r="B230" s="12"/>
      <c r="C230" s="13"/>
      <c r="D230" s="13"/>
      <c r="E230" s="14"/>
      <c r="J230" s="11"/>
      <c r="K230" s="11"/>
      <c r="L230" s="11"/>
      <c r="M230" s="12"/>
      <c r="N230" s="12"/>
      <c r="O230" s="12"/>
      <c r="P230" s="12"/>
      <c r="Q230" s="17"/>
      <c r="R230" s="13"/>
      <c r="U230" s="36"/>
      <c r="V230" s="36"/>
      <c r="W230" s="13"/>
      <c r="Z230" s="11"/>
      <c r="AA230" s="11"/>
      <c r="AB230" s="11"/>
      <c r="AC230" s="11"/>
    </row>
    <row r="231" spans="1:29" s="15" customFormat="1" x14ac:dyDescent="0.25">
      <c r="A231" s="11" t="s">
        <v>396</v>
      </c>
      <c r="B231" s="12"/>
      <c r="C231" s="13"/>
      <c r="D231" s="13"/>
      <c r="E231" s="14"/>
      <c r="J231" s="11"/>
      <c r="K231" s="11"/>
      <c r="L231" s="11"/>
      <c r="M231" s="12"/>
      <c r="N231" s="12"/>
      <c r="O231" s="12"/>
      <c r="P231" s="12"/>
      <c r="Q231" s="17"/>
      <c r="R231" s="13"/>
      <c r="U231" s="36"/>
      <c r="V231" s="36"/>
      <c r="W231" s="13"/>
      <c r="Z231" s="11"/>
      <c r="AA231" s="11"/>
      <c r="AB231" s="11"/>
      <c r="AC231" s="11"/>
    </row>
    <row r="232" spans="1:29" s="15" customFormat="1" x14ac:dyDescent="0.25">
      <c r="A232" s="11" t="s">
        <v>35</v>
      </c>
      <c r="B232" s="12">
        <v>261</v>
      </c>
      <c r="C232" s="13"/>
      <c r="D232" s="13"/>
      <c r="E232" s="14"/>
      <c r="J232" s="11"/>
      <c r="K232" s="11"/>
      <c r="L232" s="11"/>
      <c r="M232" s="12"/>
      <c r="N232" s="12"/>
      <c r="O232" s="12"/>
      <c r="P232" s="12"/>
      <c r="Q232" s="17"/>
      <c r="R232" s="13"/>
      <c r="U232" s="36"/>
      <c r="V232" s="36"/>
      <c r="W232" s="13"/>
      <c r="Z232" s="11"/>
      <c r="AA232" s="11"/>
      <c r="AB232" s="11"/>
      <c r="AC232" s="11"/>
    </row>
    <row r="233" spans="1:29" s="15" customFormat="1" x14ac:dyDescent="0.25">
      <c r="A233" s="11" t="s">
        <v>36</v>
      </c>
      <c r="B233" s="12">
        <f>100000+($B$47-X235)*9.80665*$B$48</f>
        <v>240994.36525185427</v>
      </c>
      <c r="C233" s="13">
        <f>273.15+$B$46</f>
        <v>298.14999999999998</v>
      </c>
      <c r="D233" s="13"/>
      <c r="E233" s="14"/>
      <c r="J233" s="11"/>
      <c r="K233" s="11"/>
      <c r="L233" s="11"/>
      <c r="M233" s="12"/>
      <c r="N233" s="12"/>
      <c r="O233" s="12"/>
      <c r="P233" s="12"/>
      <c r="Q233" s="17"/>
      <c r="R233" s="13"/>
      <c r="U233" s="36"/>
      <c r="V233" s="36"/>
      <c r="W233" s="13"/>
      <c r="Z233" s="11"/>
      <c r="AA233" s="11"/>
      <c r="AB233" s="11"/>
      <c r="AC233" s="11"/>
    </row>
    <row r="234" spans="1:29" s="15" customFormat="1" x14ac:dyDescent="0.25">
      <c r="A234" s="11" t="s">
        <v>397</v>
      </c>
      <c r="B234" s="12"/>
      <c r="C234" s="13"/>
      <c r="D234" s="13"/>
      <c r="E234" s="14"/>
      <c r="J234" s="11"/>
      <c r="K234" s="11"/>
      <c r="L234" s="11"/>
      <c r="M234" s="12"/>
      <c r="N234" s="12"/>
      <c r="O234" s="12"/>
      <c r="P234" s="12"/>
      <c r="Q234" s="17"/>
      <c r="R234" s="13"/>
      <c r="U234" s="36"/>
      <c r="V234" s="36"/>
      <c r="W234" s="13"/>
      <c r="Z234" s="11"/>
      <c r="AA234" s="11"/>
      <c r="AB234" s="11"/>
      <c r="AC234" s="11"/>
    </row>
    <row r="235" spans="1:29" s="15" customFormat="1" x14ac:dyDescent="0.25">
      <c r="A235" s="11" t="s">
        <v>39</v>
      </c>
      <c r="B235" s="12" t="s">
        <v>38</v>
      </c>
      <c r="C235" s="13" t="s">
        <v>38</v>
      </c>
      <c r="D235" s="13" t="s">
        <v>38</v>
      </c>
      <c r="E235" s="14">
        <v>0</v>
      </c>
      <c r="F235" s="15" t="s">
        <v>38</v>
      </c>
      <c r="G235" s="15" t="s">
        <v>38</v>
      </c>
      <c r="H235" s="15">
        <v>0</v>
      </c>
      <c r="I235" s="15">
        <v>0</v>
      </c>
      <c r="J235" s="11" t="s">
        <v>40</v>
      </c>
      <c r="K235" s="11" t="s">
        <v>38</v>
      </c>
      <c r="L235" s="11" t="s">
        <v>38</v>
      </c>
      <c r="M235" s="12" t="str">
        <f>B187</f>
        <v>PIPE_187</v>
      </c>
      <c r="N235" s="12" t="str">
        <f ca="1">OFFSET($A$1,ROW()+1,1)</f>
        <v>PIPE_237</v>
      </c>
      <c r="O235" s="12">
        <v>2</v>
      </c>
      <c r="P235" s="12">
        <v>1</v>
      </c>
      <c r="Q235" s="17" t="s">
        <v>38</v>
      </c>
      <c r="R235" s="13" t="s">
        <v>38</v>
      </c>
      <c r="S235" s="15" t="s">
        <v>38</v>
      </c>
      <c r="T235" s="15" t="s">
        <v>38</v>
      </c>
      <c r="U235" s="36" t="s">
        <v>38</v>
      </c>
      <c r="V235" s="36" t="s">
        <v>38</v>
      </c>
      <c r="W235" s="13"/>
      <c r="X235" s="15">
        <f>X187</f>
        <v>105.57999999999998</v>
      </c>
      <c r="Z235" s="11"/>
      <c r="AA235" s="11"/>
      <c r="AB235" s="11"/>
      <c r="AC235" s="11"/>
    </row>
    <row r="236" spans="1:29" s="15" customFormat="1" x14ac:dyDescent="0.25">
      <c r="A236" s="11"/>
      <c r="B236" s="12"/>
      <c r="C236" s="13"/>
      <c r="D236" s="13"/>
      <c r="E236" s="14"/>
      <c r="J236" s="11"/>
      <c r="K236" s="11"/>
      <c r="L236" s="11"/>
      <c r="M236" s="12"/>
      <c r="N236" s="12"/>
      <c r="O236" s="12"/>
      <c r="P236" s="12"/>
      <c r="Q236" s="17"/>
      <c r="R236" s="13"/>
      <c r="U236" s="36"/>
      <c r="V236" s="36"/>
      <c r="W236" s="13"/>
      <c r="X236" s="15">
        <f t="shared" ref="X236:X260" si="11">IF(F236="-",X235,X235+C236*SIN(F236*PI()/180))</f>
        <v>105.57999999999998</v>
      </c>
      <c r="Z236" s="11"/>
      <c r="AA236" s="11"/>
      <c r="AB236" s="11"/>
      <c r="AC236" s="11"/>
    </row>
    <row r="237" spans="1:29" s="15" customFormat="1" x14ac:dyDescent="0.25">
      <c r="A237" s="11" t="s">
        <v>41</v>
      </c>
      <c r="B237" s="12" t="str">
        <f>CONCATENATE("PIPE_",ROW())</f>
        <v>PIPE_237</v>
      </c>
      <c r="C237" s="13">
        <v>1</v>
      </c>
      <c r="D237" s="13">
        <f>dx</f>
        <v>0.2</v>
      </c>
      <c r="E237" s="14">
        <f>(0.21907-2*0.00376)^2*PI()/4</f>
        <v>3.5149240129286767E-2</v>
      </c>
      <c r="F237" s="15">
        <v>0</v>
      </c>
      <c r="G237" s="15">
        <v>0</v>
      </c>
      <c r="H237" s="15">
        <v>0</v>
      </c>
      <c r="I237" s="15">
        <v>0</v>
      </c>
      <c r="J237" s="11" t="s">
        <v>41</v>
      </c>
      <c r="K237" s="11" t="s">
        <v>382</v>
      </c>
      <c r="L237" s="11">
        <v>70</v>
      </c>
      <c r="M237" s="12" t="s">
        <v>38</v>
      </c>
      <c r="N237" s="12" t="s">
        <v>38</v>
      </c>
      <c r="O237" s="12" t="s">
        <v>38</v>
      </c>
      <c r="P237" s="12" t="s">
        <v>38</v>
      </c>
      <c r="Q237" s="17">
        <v>4.5000000000000003E-5</v>
      </c>
      <c r="R237" s="13" t="s">
        <v>38</v>
      </c>
      <c r="S237" s="15" t="s">
        <v>38</v>
      </c>
      <c r="T237" s="15" t="s">
        <v>38</v>
      </c>
      <c r="U237" s="36" t="s">
        <v>38</v>
      </c>
      <c r="V237" s="36" t="s">
        <v>38</v>
      </c>
      <c r="W237" s="13"/>
      <c r="X237" s="15">
        <f t="shared" si="11"/>
        <v>105.57999999999998</v>
      </c>
      <c r="Z237" s="11"/>
      <c r="AA237" s="11"/>
      <c r="AB237" s="11"/>
      <c r="AC237" s="11"/>
    </row>
    <row r="238" spans="1:29" s="15" customFormat="1" x14ac:dyDescent="0.25">
      <c r="A238" s="11" t="s">
        <v>41</v>
      </c>
      <c r="B238" s="12" t="str">
        <f>CONCATENATE("PIPE_",ROW())</f>
        <v>PIPE_238</v>
      </c>
      <c r="C238" s="13">
        <f>1.5*0.219+0.808/2</f>
        <v>0.73250000000000004</v>
      </c>
      <c r="D238" s="13">
        <f>dx</f>
        <v>0.2</v>
      </c>
      <c r="E238" s="14">
        <f>(0.21907-2*0.00376)^2*PI()/4</f>
        <v>3.5149240129286767E-2</v>
      </c>
      <c r="F238" s="15">
        <v>-90</v>
      </c>
      <c r="G238" s="15">
        <v>0</v>
      </c>
      <c r="H238" s="15">
        <v>0</v>
      </c>
      <c r="I238" s="15">
        <v>0</v>
      </c>
      <c r="J238" s="11" t="s">
        <v>41</v>
      </c>
      <c r="K238" s="11" t="s">
        <v>382</v>
      </c>
      <c r="L238" s="11">
        <f>L237+1</f>
        <v>71</v>
      </c>
      <c r="M238" s="12" t="s">
        <v>38</v>
      </c>
      <c r="N238" s="12" t="s">
        <v>38</v>
      </c>
      <c r="O238" s="12" t="s">
        <v>38</v>
      </c>
      <c r="P238" s="12" t="s">
        <v>38</v>
      </c>
      <c r="Q238" s="17">
        <v>4.5000000000000003E-5</v>
      </c>
      <c r="R238" s="13" t="s">
        <v>38</v>
      </c>
      <c r="S238" s="15" t="s">
        <v>38</v>
      </c>
      <c r="T238" s="15" t="s">
        <v>38</v>
      </c>
      <c r="U238" s="36" t="s">
        <v>38</v>
      </c>
      <c r="V238" s="36" t="s">
        <v>38</v>
      </c>
      <c r="W238" s="13"/>
      <c r="X238" s="15">
        <f t="shared" si="11"/>
        <v>104.84749999999998</v>
      </c>
      <c r="Z238" s="11"/>
      <c r="AA238" s="11"/>
      <c r="AB238" s="11"/>
      <c r="AC238" s="11"/>
    </row>
    <row r="239" spans="1:29" s="15" customFormat="1" x14ac:dyDescent="0.25">
      <c r="A239" s="11"/>
      <c r="B239" s="12"/>
      <c r="C239" s="13"/>
      <c r="D239" s="13"/>
      <c r="E239" s="14"/>
      <c r="J239" s="11"/>
      <c r="K239" s="11"/>
      <c r="L239" s="11"/>
      <c r="M239" s="12"/>
      <c r="N239" s="12"/>
      <c r="O239" s="12"/>
      <c r="P239" s="12"/>
      <c r="Q239" s="17"/>
      <c r="R239" s="13"/>
      <c r="U239" s="36"/>
      <c r="V239" s="36"/>
      <c r="W239" s="13"/>
      <c r="X239" s="15">
        <f t="shared" si="11"/>
        <v>104.84749999999998</v>
      </c>
      <c r="Z239" s="11"/>
      <c r="AA239" s="11"/>
      <c r="AB239" s="11"/>
      <c r="AC239" s="11"/>
    </row>
    <row r="240" spans="1:29" s="15" customFormat="1" x14ac:dyDescent="0.25">
      <c r="A240" s="11" t="s">
        <v>56</v>
      </c>
      <c r="B240" s="12" t="s">
        <v>38</v>
      </c>
      <c r="C240" s="13" t="s">
        <v>38</v>
      </c>
      <c r="D240" s="13" t="s">
        <v>38</v>
      </c>
      <c r="E240" s="14">
        <f>(0.21907-2*0.00376)^2*PI()/4</f>
        <v>3.5149240129286767E-2</v>
      </c>
      <c r="F240" s="15" t="s">
        <v>38</v>
      </c>
      <c r="G240" s="15" t="s">
        <v>38</v>
      </c>
      <c r="H240" s="15">
        <v>0</v>
      </c>
      <c r="I240" s="15">
        <v>0</v>
      </c>
      <c r="J240" s="11" t="s">
        <v>398</v>
      </c>
      <c r="K240" s="11" t="s">
        <v>369</v>
      </c>
      <c r="L240" s="11" t="s">
        <v>38</v>
      </c>
      <c r="M240" s="12" t="str">
        <f ca="1">OFFSET($A$1,ROW()-3,1)</f>
        <v>PIPE_238</v>
      </c>
      <c r="N240" s="12" t="str">
        <f ca="1">OFFSET($A$1,ROW()+1,1)</f>
        <v>PIPE_242</v>
      </c>
      <c r="O240" s="12">
        <v>2</v>
      </c>
      <c r="P240" s="12">
        <v>1</v>
      </c>
      <c r="Q240" s="17" t="s">
        <v>38</v>
      </c>
      <c r="R240" s="13" t="s">
        <v>38</v>
      </c>
      <c r="S240" s="15" t="s">
        <v>38</v>
      </c>
      <c r="T240" s="15">
        <f>B53</f>
        <v>7.4999999999999997E-2</v>
      </c>
      <c r="U240" s="36" t="s">
        <v>38</v>
      </c>
      <c r="V240" s="36" t="s">
        <v>38</v>
      </c>
      <c r="W240" s="13"/>
      <c r="X240" s="15">
        <f t="shared" si="11"/>
        <v>104.84749999999998</v>
      </c>
      <c r="Z240" s="11"/>
      <c r="AA240" s="11"/>
      <c r="AB240" s="11"/>
      <c r="AC240" s="11"/>
    </row>
    <row r="241" spans="1:29" x14ac:dyDescent="0.25">
      <c r="R241" s="13"/>
      <c r="U241" s="36"/>
      <c r="V241" s="36"/>
      <c r="W241" s="13"/>
      <c r="X241" s="15">
        <f t="shared" si="11"/>
        <v>104.84749999999998</v>
      </c>
    </row>
    <row r="242" spans="1:29" x14ac:dyDescent="0.25">
      <c r="A242" s="11" t="s">
        <v>41</v>
      </c>
      <c r="B242" s="12" t="str">
        <f>CONCATENATE("PIPE_",ROW())</f>
        <v>PIPE_242</v>
      </c>
      <c r="C242" s="13">
        <f>2.38-(1.5*0.219+0.808/2)</f>
        <v>1.6475</v>
      </c>
      <c r="D242" s="13">
        <f>dx</f>
        <v>0.2</v>
      </c>
      <c r="E242" s="14">
        <f>(0.21907-2*0.00376)^2*PI()/4</f>
        <v>3.5149240129286767E-2</v>
      </c>
      <c r="F242" s="15">
        <v>-90</v>
      </c>
      <c r="G242" s="15">
        <v>0</v>
      </c>
      <c r="H242" s="15">
        <v>0</v>
      </c>
      <c r="I242" s="15">
        <v>0</v>
      </c>
      <c r="J242" s="11" t="s">
        <v>41</v>
      </c>
      <c r="K242" s="11" t="s">
        <v>382</v>
      </c>
      <c r="L242" s="11">
        <f>L238</f>
        <v>71</v>
      </c>
      <c r="M242" s="12" t="s">
        <v>38</v>
      </c>
      <c r="N242" s="12" t="s">
        <v>38</v>
      </c>
      <c r="O242" s="12" t="s">
        <v>38</v>
      </c>
      <c r="P242" s="12" t="s">
        <v>38</v>
      </c>
      <c r="Q242" s="17">
        <v>4.5000000000000003E-5</v>
      </c>
      <c r="R242" s="13" t="s">
        <v>38</v>
      </c>
      <c r="S242" s="15" t="s">
        <v>38</v>
      </c>
      <c r="T242" s="15" t="s">
        <v>38</v>
      </c>
      <c r="U242" s="36" t="s">
        <v>38</v>
      </c>
      <c r="V242" s="36" t="s">
        <v>38</v>
      </c>
      <c r="W242" s="13"/>
      <c r="X242" s="15">
        <f t="shared" si="11"/>
        <v>103.19999999999999</v>
      </c>
    </row>
    <row r="243" spans="1:29" x14ac:dyDescent="0.25">
      <c r="A243" s="11" t="s">
        <v>41</v>
      </c>
      <c r="B243" s="12" t="str">
        <f>CONCATENATE("PIPE_",ROW())</f>
        <v>PIPE_243</v>
      </c>
      <c r="C243" s="13">
        <v>2.4500000000000002</v>
      </c>
      <c r="D243" s="13">
        <f>dx</f>
        <v>0.2</v>
      </c>
      <c r="E243" s="14">
        <f>(0.21907-2*0.00376)^2*PI()/4</f>
        <v>3.5149240129286767E-2</v>
      </c>
      <c r="F243" s="15">
        <v>0</v>
      </c>
      <c r="G243" s="15">
        <v>0</v>
      </c>
      <c r="H243" s="15">
        <v>0</v>
      </c>
      <c r="I243" s="15">
        <v>0</v>
      </c>
      <c r="J243" s="11" t="s">
        <v>41</v>
      </c>
      <c r="K243" s="11" t="s">
        <v>382</v>
      </c>
      <c r="L243" s="11">
        <f>L242+1</f>
        <v>72</v>
      </c>
      <c r="M243" s="12" t="s">
        <v>38</v>
      </c>
      <c r="N243" s="12" t="s">
        <v>38</v>
      </c>
      <c r="O243" s="12" t="s">
        <v>38</v>
      </c>
      <c r="P243" s="12" t="s">
        <v>38</v>
      </c>
      <c r="Q243" s="17">
        <v>4.5000000000000003E-5</v>
      </c>
      <c r="R243" s="13" t="s">
        <v>38</v>
      </c>
      <c r="S243" s="15" t="s">
        <v>38</v>
      </c>
      <c r="T243" s="15" t="s">
        <v>38</v>
      </c>
      <c r="U243" s="36" t="s">
        <v>38</v>
      </c>
      <c r="V243" s="36" t="s">
        <v>38</v>
      </c>
      <c r="W243" s="13"/>
      <c r="X243" s="15">
        <f t="shared" si="11"/>
        <v>103.19999999999999</v>
      </c>
    </row>
    <row r="244" spans="1:29" x14ac:dyDescent="0.25">
      <c r="R244" s="13"/>
      <c r="U244" s="36"/>
      <c r="V244" s="36"/>
      <c r="W244" s="13"/>
      <c r="X244" s="15">
        <f t="shared" si="11"/>
        <v>103.19999999999999</v>
      </c>
    </row>
    <row r="245" spans="1:29" x14ac:dyDescent="0.25">
      <c r="A245" s="11" t="s">
        <v>39</v>
      </c>
      <c r="B245" s="12" t="s">
        <v>38</v>
      </c>
      <c r="C245" s="13" t="s">
        <v>38</v>
      </c>
      <c r="D245" s="13" t="s">
        <v>38</v>
      </c>
      <c r="E245" s="14">
        <f>(0.21907-2*0.00376)^2*PI()/4</f>
        <v>3.5149240129286767E-2</v>
      </c>
      <c r="F245" s="15" t="s">
        <v>38</v>
      </c>
      <c r="G245" s="15" t="s">
        <v>38</v>
      </c>
      <c r="H245" s="15">
        <f>2*44500*995*E197^2/133^2</f>
        <v>6.1850282394118343</v>
      </c>
      <c r="I245" s="15">
        <f>2*44500*995*E197^2/133^2</f>
        <v>6.1850282394118343</v>
      </c>
      <c r="J245" s="11" t="s">
        <v>399</v>
      </c>
      <c r="K245" s="11" t="s">
        <v>383</v>
      </c>
      <c r="L245" s="11" t="s">
        <v>38</v>
      </c>
      <c r="M245" s="12" t="str">
        <f ca="1">OFFSET($A$1,ROW()-3,1)</f>
        <v>PIPE_243</v>
      </c>
      <c r="N245" s="12" t="str">
        <f ca="1">OFFSET($A$1,ROW()+1,1)</f>
        <v>PIPE_247</v>
      </c>
      <c r="O245" s="12">
        <v>2</v>
      </c>
      <c r="P245" s="12">
        <v>1</v>
      </c>
      <c r="Q245" s="17" t="s">
        <v>38</v>
      </c>
      <c r="R245" s="13" t="s">
        <v>38</v>
      </c>
      <c r="S245" s="15" t="s">
        <v>38</v>
      </c>
      <c r="T245" s="15" t="s">
        <v>38</v>
      </c>
      <c r="U245" s="36" t="s">
        <v>38</v>
      </c>
      <c r="V245" s="36" t="s">
        <v>38</v>
      </c>
      <c r="W245" s="13"/>
      <c r="X245" s="15">
        <f t="shared" si="11"/>
        <v>103.19999999999999</v>
      </c>
    </row>
    <row r="246" spans="1:29" x14ac:dyDescent="0.25">
      <c r="R246" s="13"/>
      <c r="U246" s="36"/>
      <c r="V246" s="36"/>
      <c r="W246" s="13"/>
      <c r="X246" s="15">
        <f t="shared" si="11"/>
        <v>103.19999999999999</v>
      </c>
    </row>
    <row r="247" spans="1:29" x14ac:dyDescent="0.25">
      <c r="A247" s="11" t="s">
        <v>41</v>
      </c>
      <c r="B247" s="12" t="str">
        <f>CONCATENATE("PIPE_",ROW())</f>
        <v>PIPE_247</v>
      </c>
      <c r="C247" s="13">
        <f>(105.474-103.535)</f>
        <v>1.9390000000000072</v>
      </c>
      <c r="D247" s="13">
        <f>dx</f>
        <v>0.2</v>
      </c>
      <c r="E247" s="14">
        <f>(0.5*(7714-6017)/995)/C247</f>
        <v>0.43979567771814038</v>
      </c>
      <c r="F247" s="15">
        <v>90</v>
      </c>
      <c r="G247" s="15">
        <v>0</v>
      </c>
      <c r="H247" s="15">
        <v>0</v>
      </c>
      <c r="I247" s="15">
        <v>0</v>
      </c>
      <c r="J247" s="11" t="s">
        <v>400</v>
      </c>
      <c r="K247" s="11" t="s">
        <v>383</v>
      </c>
      <c r="L247" s="11" t="s">
        <v>38</v>
      </c>
      <c r="M247" s="12" t="s">
        <v>38</v>
      </c>
      <c r="N247" s="12" t="s">
        <v>38</v>
      </c>
      <c r="O247" s="12" t="s">
        <v>38</v>
      </c>
      <c r="P247" s="12" t="s">
        <v>38</v>
      </c>
      <c r="Q247" s="17">
        <v>4.5000000000000003E-5</v>
      </c>
      <c r="R247" s="13" t="s">
        <v>38</v>
      </c>
      <c r="S247" s="15" t="s">
        <v>38</v>
      </c>
      <c r="T247" s="15" t="s">
        <v>38</v>
      </c>
      <c r="U247" s="36" t="s">
        <v>38</v>
      </c>
      <c r="V247" s="36" t="s">
        <v>38</v>
      </c>
      <c r="W247" s="13"/>
      <c r="X247" s="15">
        <f t="shared" si="11"/>
        <v>105.139</v>
      </c>
    </row>
    <row r="248" spans="1:29" x14ac:dyDescent="0.25">
      <c r="R248" s="13"/>
      <c r="U248" s="36"/>
      <c r="V248" s="36"/>
      <c r="W248" s="13"/>
      <c r="X248" s="15">
        <f t="shared" si="11"/>
        <v>105.139</v>
      </c>
    </row>
    <row r="249" spans="1:29" x14ac:dyDescent="0.25">
      <c r="A249" s="11" t="s">
        <v>39</v>
      </c>
      <c r="B249" s="12" t="s">
        <v>38</v>
      </c>
      <c r="C249" s="13" t="s">
        <v>38</v>
      </c>
      <c r="D249" s="13" t="s">
        <v>38</v>
      </c>
      <c r="E249" s="14">
        <f>(0.21907-2*0.00376)^2*PI()/4</f>
        <v>3.5149240129286767E-2</v>
      </c>
      <c r="F249" s="15" t="s">
        <v>38</v>
      </c>
      <c r="G249" s="15" t="s">
        <v>38</v>
      </c>
      <c r="H249" s="15">
        <v>0</v>
      </c>
      <c r="I249" s="15">
        <v>0</v>
      </c>
      <c r="J249" s="11" t="s">
        <v>401</v>
      </c>
      <c r="K249" s="11" t="s">
        <v>383</v>
      </c>
      <c r="L249" s="11" t="s">
        <v>38</v>
      </c>
      <c r="M249" s="12" t="str">
        <f ca="1">OFFSET($A$1,ROW()-3,1)</f>
        <v>PIPE_247</v>
      </c>
      <c r="N249" s="12" t="str">
        <f ca="1">OFFSET($A$1,ROW()+1,1)</f>
        <v>PIPE_251</v>
      </c>
      <c r="O249" s="12">
        <v>2</v>
      </c>
      <c r="P249" s="12">
        <v>1</v>
      </c>
      <c r="Q249" s="17" t="s">
        <v>38</v>
      </c>
      <c r="R249" s="13" t="s">
        <v>38</v>
      </c>
      <c r="S249" s="15" t="s">
        <v>38</v>
      </c>
      <c r="T249" s="15" t="s">
        <v>38</v>
      </c>
      <c r="U249" s="36" t="s">
        <v>38</v>
      </c>
      <c r="V249" s="36" t="s">
        <v>38</v>
      </c>
      <c r="W249" s="13"/>
      <c r="X249" s="15">
        <f t="shared" si="11"/>
        <v>105.139</v>
      </c>
    </row>
    <row r="250" spans="1:29" x14ac:dyDescent="0.25">
      <c r="R250" s="13"/>
      <c r="U250" s="36"/>
      <c r="V250" s="36"/>
      <c r="X250" s="15">
        <f t="shared" si="11"/>
        <v>105.139</v>
      </c>
    </row>
    <row r="251" spans="1:29" x14ac:dyDescent="0.25">
      <c r="A251" s="11" t="s">
        <v>41</v>
      </c>
      <c r="B251" s="12" t="str">
        <f>CONCATENATE("PIPE_",ROW())</f>
        <v>PIPE_251</v>
      </c>
      <c r="C251" s="13">
        <v>2.206</v>
      </c>
      <c r="D251" s="13">
        <f>dx</f>
        <v>0.2</v>
      </c>
      <c r="E251" s="14">
        <f>(0.21907-2*0.00376)^2*PI()/4</f>
        <v>3.5149240129286767E-2</v>
      </c>
      <c r="F251" s="15">
        <v>0</v>
      </c>
      <c r="G251" s="15">
        <v>0</v>
      </c>
      <c r="H251" s="15">
        <v>0</v>
      </c>
      <c r="I251" s="15">
        <v>0</v>
      </c>
      <c r="J251" s="11" t="s">
        <v>41</v>
      </c>
      <c r="K251" s="11" t="s">
        <v>402</v>
      </c>
      <c r="L251" s="11">
        <f>ROUNDUP(L243/10,0)*10</f>
        <v>80</v>
      </c>
      <c r="M251" s="12" t="s">
        <v>38</v>
      </c>
      <c r="N251" s="12" t="s">
        <v>38</v>
      </c>
      <c r="O251" s="12" t="s">
        <v>38</v>
      </c>
      <c r="P251" s="12" t="s">
        <v>38</v>
      </c>
      <c r="Q251" s="17">
        <v>4.5000000000000003E-5</v>
      </c>
      <c r="R251" s="13" t="s">
        <v>38</v>
      </c>
      <c r="S251" s="15" t="s">
        <v>38</v>
      </c>
      <c r="T251" s="15" t="s">
        <v>38</v>
      </c>
      <c r="U251" s="36" t="s">
        <v>38</v>
      </c>
      <c r="V251" s="36" t="s">
        <v>38</v>
      </c>
      <c r="X251" s="15">
        <f t="shared" si="11"/>
        <v>105.139</v>
      </c>
    </row>
    <row r="252" spans="1:29" x14ac:dyDescent="0.25">
      <c r="A252" s="11" t="s">
        <v>41</v>
      </c>
      <c r="B252" s="12" t="str">
        <f>CONCATENATE("PIPE_",ROW())</f>
        <v>PIPE_252</v>
      </c>
      <c r="C252" s="13">
        <f>0.565</f>
        <v>0.56499999999999995</v>
      </c>
      <c r="D252" s="13">
        <f>dx</f>
        <v>0.2</v>
      </c>
      <c r="E252" s="14">
        <f>(0.21907-2*0.00376)^2*PI()/4</f>
        <v>3.5149240129286767E-2</v>
      </c>
      <c r="F252" s="15">
        <v>0</v>
      </c>
      <c r="G252" s="15">
        <v>0</v>
      </c>
      <c r="H252" s="15">
        <v>0</v>
      </c>
      <c r="I252" s="15">
        <v>0</v>
      </c>
      <c r="J252" s="11" t="s">
        <v>41</v>
      </c>
      <c r="K252" s="11" t="s">
        <v>402</v>
      </c>
      <c r="L252" s="11">
        <f>L251+1</f>
        <v>81</v>
      </c>
      <c r="M252" s="12" t="s">
        <v>38</v>
      </c>
      <c r="N252" s="12" t="s">
        <v>38</v>
      </c>
      <c r="O252" s="12" t="s">
        <v>38</v>
      </c>
      <c r="P252" s="12" t="s">
        <v>38</v>
      </c>
      <c r="Q252" s="17">
        <v>4.5000000000000003E-5</v>
      </c>
      <c r="R252" s="13" t="s">
        <v>38</v>
      </c>
      <c r="S252" s="15" t="s">
        <v>38</v>
      </c>
      <c r="T252" s="15" t="s">
        <v>38</v>
      </c>
      <c r="U252" s="36" t="s">
        <v>38</v>
      </c>
      <c r="V252" s="36" t="s">
        <v>38</v>
      </c>
      <c r="X252" s="15">
        <f t="shared" si="11"/>
        <v>105.139</v>
      </c>
    </row>
    <row r="253" spans="1:29" x14ac:dyDescent="0.25">
      <c r="A253" s="11" t="s">
        <v>41</v>
      </c>
      <c r="B253" s="12" t="str">
        <f>CONCATENATE("PIPE_",ROW())</f>
        <v>PIPE_253</v>
      </c>
      <c r="C253" s="13">
        <v>0.8967999985088565</v>
      </c>
      <c r="D253" s="13">
        <f>dx</f>
        <v>0.2</v>
      </c>
      <c r="E253" s="14">
        <f>(0.21907-2*0.00376)^2*PI()/4</f>
        <v>3.5149240129286767E-2</v>
      </c>
      <c r="F253" s="15">
        <v>90</v>
      </c>
      <c r="G253" s="15">
        <v>0</v>
      </c>
      <c r="H253" s="15">
        <v>0</v>
      </c>
      <c r="I253" s="15">
        <v>0</v>
      </c>
      <c r="J253" s="11" t="s">
        <v>41</v>
      </c>
      <c r="K253" s="11" t="s">
        <v>402</v>
      </c>
      <c r="L253" s="11">
        <f>L252+1</f>
        <v>82</v>
      </c>
      <c r="M253" s="12" t="s">
        <v>38</v>
      </c>
      <c r="N253" s="12" t="s">
        <v>38</v>
      </c>
      <c r="O253" s="12" t="s">
        <v>38</v>
      </c>
      <c r="P253" s="12" t="s">
        <v>38</v>
      </c>
      <c r="Q253" s="17">
        <v>4.5000000000000003E-5</v>
      </c>
      <c r="R253" s="13" t="s">
        <v>38</v>
      </c>
      <c r="S253" s="15" t="s">
        <v>38</v>
      </c>
      <c r="T253" s="15" t="s">
        <v>38</v>
      </c>
      <c r="U253" s="36" t="s">
        <v>38</v>
      </c>
      <c r="V253" s="36" t="s">
        <v>38</v>
      </c>
      <c r="W253" s="11" t="s">
        <v>403</v>
      </c>
      <c r="X253" s="15">
        <f t="shared" si="11"/>
        <v>106.03579999850885</v>
      </c>
    </row>
    <row r="254" spans="1:29" x14ac:dyDescent="0.25">
      <c r="A254" s="11" t="s">
        <v>41</v>
      </c>
      <c r="B254" s="12" t="str">
        <f>CONCATENATE("PIPE_",ROW())</f>
        <v>PIPE_254</v>
      </c>
      <c r="C254" s="13">
        <f>0.756/2</f>
        <v>0.378</v>
      </c>
      <c r="D254" s="13">
        <f>dx</f>
        <v>0.2</v>
      </c>
      <c r="E254" s="14">
        <f>(0.21907-2*0.00376)^2*PI()/4</f>
        <v>3.5149240129286767E-2</v>
      </c>
      <c r="F254" s="15">
        <v>0</v>
      </c>
      <c r="G254" s="15">
        <v>0</v>
      </c>
      <c r="H254" s="15">
        <v>0</v>
      </c>
      <c r="I254" s="15">
        <v>0</v>
      </c>
      <c r="J254" s="11" t="s">
        <v>41</v>
      </c>
      <c r="K254" s="11" t="s">
        <v>402</v>
      </c>
      <c r="L254" s="11">
        <f>L253+1</f>
        <v>83</v>
      </c>
      <c r="M254" s="12" t="s">
        <v>38</v>
      </c>
      <c r="N254" s="12" t="s">
        <v>38</v>
      </c>
      <c r="O254" s="12" t="s">
        <v>38</v>
      </c>
      <c r="P254" s="12" t="s">
        <v>38</v>
      </c>
      <c r="Q254" s="17">
        <v>4.5000000000000003E-5</v>
      </c>
      <c r="R254" s="13" t="s">
        <v>38</v>
      </c>
      <c r="S254" s="15" t="s">
        <v>38</v>
      </c>
      <c r="T254" s="15" t="s">
        <v>38</v>
      </c>
      <c r="U254" s="36" t="s">
        <v>38</v>
      </c>
      <c r="V254" s="36" t="s">
        <v>38</v>
      </c>
      <c r="X254" s="15">
        <f t="shared" si="11"/>
        <v>106.03579999850885</v>
      </c>
    </row>
    <row r="255" spans="1:29" s="15" customFormat="1" x14ac:dyDescent="0.25">
      <c r="A255" s="11"/>
      <c r="B255" s="12"/>
      <c r="C255" s="13"/>
      <c r="D255" s="13"/>
      <c r="E255" s="14"/>
      <c r="J255" s="11"/>
      <c r="K255" s="11"/>
      <c r="L255" s="11"/>
      <c r="M255" s="12"/>
      <c r="N255" s="12"/>
      <c r="O255" s="12"/>
      <c r="P255" s="12"/>
      <c r="Q255" s="17"/>
      <c r="R255" s="13"/>
      <c r="U255" s="36"/>
      <c r="V255" s="36"/>
      <c r="W255" s="11"/>
      <c r="X255" s="15">
        <f t="shared" si="11"/>
        <v>106.03579999850885</v>
      </c>
      <c r="Z255" s="11"/>
      <c r="AA255" s="11"/>
      <c r="AB255" s="11"/>
      <c r="AC255" s="11"/>
    </row>
    <row r="256" spans="1:29" s="15" customFormat="1" x14ac:dyDescent="0.25">
      <c r="A256" s="11" t="s">
        <v>56</v>
      </c>
      <c r="B256" s="12" t="s">
        <v>38</v>
      </c>
      <c r="C256" s="13" t="s">
        <v>38</v>
      </c>
      <c r="D256" s="13" t="s">
        <v>38</v>
      </c>
      <c r="E256" s="14">
        <f>(0.21907-2*0.00376)^2*PI()/4</f>
        <v>3.5149240129286767E-2</v>
      </c>
      <c r="F256" s="15" t="s">
        <v>38</v>
      </c>
      <c r="G256" s="15" t="s">
        <v>38</v>
      </c>
      <c r="H256" s="15">
        <v>0</v>
      </c>
      <c r="I256" s="15">
        <v>0</v>
      </c>
      <c r="J256" s="11" t="s">
        <v>404</v>
      </c>
      <c r="K256" s="11" t="s">
        <v>402</v>
      </c>
      <c r="L256" s="11" t="s">
        <v>38</v>
      </c>
      <c r="M256" s="12" t="str">
        <f ca="1">OFFSET($A$1,ROW()-3,1)</f>
        <v>PIPE_254</v>
      </c>
      <c r="N256" s="12" t="str">
        <f ca="1">OFFSET($A$1,ROW()+1,1)</f>
        <v>PIPE_258</v>
      </c>
      <c r="O256" s="12">
        <v>2</v>
      </c>
      <c r="P256" s="12">
        <v>1</v>
      </c>
      <c r="Q256" s="17" t="s">
        <v>38</v>
      </c>
      <c r="R256" s="13" t="s">
        <v>38</v>
      </c>
      <c r="S256" s="15" t="s">
        <v>38</v>
      </c>
      <c r="T256" s="15">
        <f>B42</f>
        <v>1</v>
      </c>
      <c r="U256" s="36" t="s">
        <v>38</v>
      </c>
      <c r="V256" s="36" t="s">
        <v>38</v>
      </c>
      <c r="W256" s="11"/>
      <c r="X256" s="15">
        <f t="shared" si="11"/>
        <v>106.03579999850885</v>
      </c>
      <c r="Z256" s="11"/>
      <c r="AA256" s="11"/>
      <c r="AB256" s="11"/>
      <c r="AC256" s="11"/>
    </row>
    <row r="257" spans="1:29" s="15" customFormat="1" x14ac:dyDescent="0.25">
      <c r="A257" s="11"/>
      <c r="B257" s="12"/>
      <c r="C257" s="13"/>
      <c r="D257" s="13"/>
      <c r="E257" s="14"/>
      <c r="J257" s="11"/>
      <c r="K257" s="11"/>
      <c r="L257" s="11"/>
      <c r="M257" s="12"/>
      <c r="N257" s="12"/>
      <c r="O257" s="12"/>
      <c r="P257" s="12"/>
      <c r="Q257" s="17"/>
      <c r="R257" s="13"/>
      <c r="U257" s="36"/>
      <c r="V257" s="36"/>
      <c r="W257" s="11"/>
      <c r="X257" s="15">
        <f t="shared" si="11"/>
        <v>106.03579999850885</v>
      </c>
      <c r="Z257" s="11"/>
      <c r="AA257" s="11"/>
      <c r="AB257" s="11"/>
      <c r="AC257" s="11"/>
    </row>
    <row r="258" spans="1:29" s="15" customFormat="1" x14ac:dyDescent="0.25">
      <c r="A258" s="11" t="s">
        <v>41</v>
      </c>
      <c r="B258" s="12" t="str">
        <f>CONCATENATE("PIPE_",ROW())</f>
        <v>PIPE_258</v>
      </c>
      <c r="C258" s="13">
        <f>0.756/2</f>
        <v>0.378</v>
      </c>
      <c r="D258" s="13">
        <f>dx</f>
        <v>0.2</v>
      </c>
      <c r="E258" s="14">
        <f>(0.21907-2*0.00376)^2*PI()/4</f>
        <v>3.5149240129286767E-2</v>
      </c>
      <c r="F258" s="15">
        <v>0</v>
      </c>
      <c r="G258" s="15">
        <v>0</v>
      </c>
      <c r="H258" s="15">
        <v>0</v>
      </c>
      <c r="I258" s="15">
        <v>0</v>
      </c>
      <c r="J258" s="11" t="s">
        <v>41</v>
      </c>
      <c r="K258" s="11" t="s">
        <v>402</v>
      </c>
      <c r="L258" s="11">
        <f>L254</f>
        <v>83</v>
      </c>
      <c r="M258" s="12" t="s">
        <v>38</v>
      </c>
      <c r="N258" s="12" t="s">
        <v>38</v>
      </c>
      <c r="O258" s="12" t="s">
        <v>38</v>
      </c>
      <c r="P258" s="12" t="s">
        <v>38</v>
      </c>
      <c r="Q258" s="17">
        <v>4.5000000000000003E-5</v>
      </c>
      <c r="R258" s="13" t="s">
        <v>38</v>
      </c>
      <c r="S258" s="15" t="s">
        <v>38</v>
      </c>
      <c r="T258" s="15" t="s">
        <v>38</v>
      </c>
      <c r="U258" s="36" t="s">
        <v>38</v>
      </c>
      <c r="V258" s="36" t="s">
        <v>38</v>
      </c>
      <c r="W258" s="11"/>
      <c r="X258" s="15">
        <f t="shared" si="11"/>
        <v>106.03579999850885</v>
      </c>
      <c r="Z258" s="11"/>
      <c r="AA258" s="11"/>
      <c r="AB258" s="11"/>
      <c r="AC258" s="11"/>
    </row>
    <row r="259" spans="1:29" s="15" customFormat="1" x14ac:dyDescent="0.25">
      <c r="A259" s="11"/>
      <c r="B259" s="12"/>
      <c r="C259" s="13"/>
      <c r="D259" s="13"/>
      <c r="E259" s="14"/>
      <c r="J259" s="11"/>
      <c r="K259" s="11"/>
      <c r="L259" s="11"/>
      <c r="M259" s="12"/>
      <c r="N259" s="12"/>
      <c r="O259" s="12"/>
      <c r="P259" s="12"/>
      <c r="Q259" s="17"/>
      <c r="R259" s="13"/>
      <c r="U259" s="36"/>
      <c r="V259" s="36"/>
      <c r="W259" s="11"/>
      <c r="X259" s="15">
        <f t="shared" si="11"/>
        <v>106.03579999850885</v>
      </c>
      <c r="Z259" s="11"/>
      <c r="AA259" s="11"/>
      <c r="AB259" s="11"/>
      <c r="AC259" s="11"/>
    </row>
    <row r="260" spans="1:29" s="15" customFormat="1" x14ac:dyDescent="0.25">
      <c r="A260" s="11" t="s">
        <v>39</v>
      </c>
      <c r="B260" s="12" t="s">
        <v>38</v>
      </c>
      <c r="C260" s="13" t="s">
        <v>38</v>
      </c>
      <c r="D260" s="13" t="s">
        <v>38</v>
      </c>
      <c r="E260" s="14">
        <v>0</v>
      </c>
      <c r="F260" s="15" t="s">
        <v>38</v>
      </c>
      <c r="G260" s="15" t="s">
        <v>38</v>
      </c>
      <c r="H260" s="15">
        <v>0</v>
      </c>
      <c r="I260" s="15">
        <v>0</v>
      </c>
      <c r="J260" s="11" t="s">
        <v>40</v>
      </c>
      <c r="K260" s="11" t="s">
        <v>405</v>
      </c>
      <c r="L260" s="11" t="s">
        <v>38</v>
      </c>
      <c r="M260" s="12" t="str">
        <f ca="1">OFFSET($A$1,ROW()-3,1)</f>
        <v>PIPE_258</v>
      </c>
      <c r="N260" s="12" t="str">
        <f>B209</f>
        <v>PIPE_209</v>
      </c>
      <c r="O260" s="12">
        <v>2</v>
      </c>
      <c r="P260" s="12">
        <v>1</v>
      </c>
      <c r="Q260" s="17" t="s">
        <v>38</v>
      </c>
      <c r="R260" s="13" t="s">
        <v>38</v>
      </c>
      <c r="S260" s="15" t="s">
        <v>38</v>
      </c>
      <c r="T260" s="15" t="s">
        <v>38</v>
      </c>
      <c r="U260" s="36" t="s">
        <v>38</v>
      </c>
      <c r="V260" s="36" t="s">
        <v>38</v>
      </c>
      <c r="W260" s="11">
        <f>X208</f>
        <v>106.03579999850885</v>
      </c>
      <c r="X260" s="15">
        <f t="shared" si="11"/>
        <v>106.03579999850885</v>
      </c>
      <c r="Z260" s="11"/>
      <c r="AA260" s="11"/>
      <c r="AB260" s="11"/>
      <c r="AC260" s="11"/>
    </row>
    <row r="261" spans="1:29" s="15" customFormat="1" x14ac:dyDescent="0.25">
      <c r="A261" s="11"/>
      <c r="B261" s="12"/>
      <c r="C261" s="13"/>
      <c r="D261" s="13"/>
      <c r="E261" s="14"/>
      <c r="J261" s="11"/>
      <c r="K261" s="11"/>
      <c r="L261" s="11"/>
      <c r="M261" s="12"/>
      <c r="N261" s="12"/>
      <c r="O261" s="12"/>
      <c r="P261" s="12"/>
      <c r="Q261" s="17"/>
      <c r="R261" s="13"/>
      <c r="U261" s="36"/>
      <c r="V261" s="36"/>
      <c r="W261" s="11"/>
      <c r="Z261" s="11"/>
      <c r="AA261" s="11"/>
      <c r="AB261" s="11"/>
      <c r="AC261" s="11"/>
    </row>
    <row r="262" spans="1:29" s="15" customFormat="1" x14ac:dyDescent="0.25">
      <c r="A262" s="11"/>
      <c r="B262" s="12"/>
      <c r="C262" s="13"/>
      <c r="D262" s="13"/>
      <c r="E262" s="14"/>
      <c r="J262" s="11"/>
      <c r="K262" s="11"/>
      <c r="L262" s="11"/>
      <c r="M262" s="12"/>
      <c r="N262" s="12"/>
      <c r="O262" s="12"/>
      <c r="P262" s="12"/>
      <c r="Q262" s="17"/>
      <c r="R262" s="13"/>
      <c r="U262" s="36"/>
      <c r="V262" s="36"/>
      <c r="W262" s="11"/>
      <c r="Z262" s="11"/>
      <c r="AA262" s="11"/>
      <c r="AB262" s="11"/>
      <c r="AC262" s="11"/>
    </row>
    <row r="263" spans="1:29" s="15" customFormat="1" x14ac:dyDescent="0.25">
      <c r="A263" s="11"/>
      <c r="B263" s="12"/>
      <c r="C263" s="13"/>
      <c r="D263" s="13"/>
      <c r="E263" s="14"/>
      <c r="J263" s="11"/>
      <c r="K263" s="11"/>
      <c r="L263" s="11"/>
      <c r="M263" s="12"/>
      <c r="N263" s="12"/>
      <c r="O263" s="12"/>
      <c r="P263" s="12"/>
      <c r="Q263" s="17"/>
      <c r="R263" s="13"/>
      <c r="U263" s="36"/>
      <c r="V263" s="36"/>
      <c r="W263" s="11"/>
      <c r="Z263" s="11"/>
      <c r="AA263" s="11"/>
      <c r="AB263" s="11"/>
      <c r="AC263" s="11"/>
    </row>
    <row r="264" spans="1:29" s="15" customFormat="1" x14ac:dyDescent="0.25">
      <c r="A264" s="11" t="s">
        <v>406</v>
      </c>
      <c r="B264" s="12"/>
      <c r="C264" s="13"/>
      <c r="D264" s="13"/>
      <c r="E264" s="14"/>
      <c r="J264" s="11"/>
      <c r="K264" s="11"/>
      <c r="L264" s="11"/>
      <c r="M264" s="12"/>
      <c r="N264" s="12"/>
      <c r="O264" s="12"/>
      <c r="P264" s="12"/>
      <c r="Q264" s="17"/>
      <c r="R264" s="13"/>
      <c r="U264" s="36"/>
      <c r="V264" s="36"/>
      <c r="W264" s="11"/>
      <c r="Z264" s="11"/>
      <c r="AA264" s="11"/>
      <c r="AB264" s="11"/>
      <c r="AC264" s="11"/>
    </row>
    <row r="265" spans="1:29" s="15" customFormat="1" x14ac:dyDescent="0.25">
      <c r="A265" s="11" t="s">
        <v>35</v>
      </c>
      <c r="B265" s="12">
        <v>301</v>
      </c>
      <c r="C265" s="13"/>
      <c r="D265" s="13"/>
      <c r="E265" s="14"/>
      <c r="J265" s="11"/>
      <c r="K265" s="11"/>
      <c r="L265" s="11"/>
      <c r="M265" s="12"/>
      <c r="N265" s="12"/>
      <c r="O265" s="12"/>
      <c r="P265" s="12"/>
      <c r="Q265" s="17"/>
      <c r="R265" s="13"/>
      <c r="U265" s="36"/>
      <c r="V265" s="36"/>
      <c r="Z265" s="11"/>
      <c r="AA265" s="11"/>
      <c r="AB265" s="11"/>
      <c r="AC265" s="11"/>
    </row>
    <row r="266" spans="1:29" s="15" customFormat="1" x14ac:dyDescent="0.25">
      <c r="A266" s="11" t="s">
        <v>36</v>
      </c>
      <c r="B266" s="12">
        <f>100000+($B$47-X268)*9.80665*$B$48</f>
        <v>236537.69177948579</v>
      </c>
      <c r="C266" s="13">
        <f>273.15+$B$46</f>
        <v>298.14999999999998</v>
      </c>
      <c r="D266" s="13"/>
      <c r="E266" s="14"/>
      <c r="J266" s="11"/>
      <c r="K266" s="11"/>
      <c r="L266" s="11"/>
      <c r="M266" s="12"/>
      <c r="N266" s="12"/>
      <c r="O266" s="12"/>
      <c r="P266" s="12"/>
      <c r="Q266" s="17"/>
      <c r="R266" s="13"/>
      <c r="U266" s="36"/>
      <c r="V266" s="36"/>
      <c r="W266" s="11"/>
      <c r="Z266" s="11"/>
      <c r="AA266" s="11"/>
      <c r="AB266" s="11"/>
      <c r="AC266" s="11"/>
    </row>
    <row r="267" spans="1:29" s="15" customFormat="1" x14ac:dyDescent="0.25">
      <c r="A267" s="11" t="s">
        <v>407</v>
      </c>
      <c r="B267" s="12"/>
      <c r="C267" s="13"/>
      <c r="D267" s="13"/>
      <c r="E267" s="14"/>
      <c r="J267" s="11"/>
      <c r="K267" s="11"/>
      <c r="L267" s="11"/>
      <c r="M267" s="12"/>
      <c r="N267" s="12"/>
      <c r="O267" s="12"/>
      <c r="P267" s="12"/>
      <c r="Q267" s="17"/>
      <c r="R267" s="13"/>
      <c r="U267" s="36"/>
      <c r="V267" s="36"/>
      <c r="W267" s="11"/>
      <c r="Z267" s="11"/>
      <c r="AA267" s="11"/>
      <c r="AB267" s="11"/>
      <c r="AC267" s="11"/>
    </row>
    <row r="268" spans="1:29" s="15" customFormat="1" x14ac:dyDescent="0.25">
      <c r="A268" s="11" t="s">
        <v>39</v>
      </c>
      <c r="B268" s="12" t="s">
        <v>38</v>
      </c>
      <c r="C268" s="13" t="s">
        <v>38</v>
      </c>
      <c r="D268" s="13" t="s">
        <v>38</v>
      </c>
      <c r="E268" s="14">
        <v>0</v>
      </c>
      <c r="F268" s="15" t="s">
        <v>38</v>
      </c>
      <c r="G268" s="15" t="s">
        <v>38</v>
      </c>
      <c r="H268" s="15">
        <v>0</v>
      </c>
      <c r="I268" s="15">
        <v>0</v>
      </c>
      <c r="J268" s="11" t="s">
        <v>40</v>
      </c>
      <c r="K268" s="11" t="s">
        <v>38</v>
      </c>
      <c r="L268" s="11" t="s">
        <v>38</v>
      </c>
      <c r="M268" s="12" t="str">
        <f>B210</f>
        <v>PIPE_210</v>
      </c>
      <c r="N268" s="12" t="str">
        <f ca="1">OFFSET($A$1,ROW()+1,1)</f>
        <v>PIPE_270</v>
      </c>
      <c r="O268" s="12">
        <v>2</v>
      </c>
      <c r="P268" s="12">
        <v>1</v>
      </c>
      <c r="Q268" s="17" t="s">
        <v>38</v>
      </c>
      <c r="R268" s="13" t="s">
        <v>38</v>
      </c>
      <c r="S268" s="15" t="s">
        <v>38</v>
      </c>
      <c r="T268" s="15" t="s">
        <v>38</v>
      </c>
      <c r="U268" s="36" t="s">
        <v>38</v>
      </c>
      <c r="V268" s="36" t="s">
        <v>38</v>
      </c>
      <c r="W268" s="11"/>
      <c r="X268" s="15">
        <f>X210</f>
        <v>106.03579999850885</v>
      </c>
      <c r="Z268" s="11"/>
      <c r="AA268" s="11"/>
      <c r="AB268" s="11"/>
      <c r="AC268" s="11"/>
    </row>
    <row r="269" spans="1:29" s="15" customFormat="1" x14ac:dyDescent="0.25">
      <c r="A269" s="11"/>
      <c r="B269" s="12"/>
      <c r="C269" s="13"/>
      <c r="D269" s="13"/>
      <c r="E269" s="14"/>
      <c r="J269" s="11"/>
      <c r="K269" s="11"/>
      <c r="L269" s="11"/>
      <c r="M269" s="12"/>
      <c r="N269" s="12"/>
      <c r="O269" s="12"/>
      <c r="P269" s="12"/>
      <c r="Q269" s="17"/>
      <c r="R269" s="13"/>
      <c r="U269" s="36"/>
      <c r="V269" s="36"/>
      <c r="W269" s="11"/>
      <c r="X269" s="15">
        <f t="shared" ref="X269:X280" si="12">IF(F269="-",X268,X268+C269*SIN(F269*PI()/180))</f>
        <v>106.03579999850885</v>
      </c>
      <c r="Z269" s="11"/>
      <c r="AA269" s="11"/>
      <c r="AB269" s="11"/>
      <c r="AC269" s="11"/>
    </row>
    <row r="270" spans="1:29" s="15" customFormat="1" x14ac:dyDescent="0.25">
      <c r="A270" s="11" t="s">
        <v>41</v>
      </c>
      <c r="B270" s="12" t="str">
        <f>CONCATENATE("PIPE_",ROW())</f>
        <v>PIPE_270</v>
      </c>
      <c r="C270" s="13">
        <f>0.279+0.102/2</f>
        <v>0.33</v>
      </c>
      <c r="D270" s="13">
        <f>dx</f>
        <v>0.2</v>
      </c>
      <c r="E270" s="14">
        <f>(0.21907-2*0.00376)^2*PI()/4</f>
        <v>3.5149240129286767E-2</v>
      </c>
      <c r="F270" s="15">
        <v>90</v>
      </c>
      <c r="G270" s="15">
        <v>0</v>
      </c>
      <c r="H270" s="15">
        <v>0</v>
      </c>
      <c r="I270" s="15">
        <v>0</v>
      </c>
      <c r="J270" s="11" t="s">
        <v>41</v>
      </c>
      <c r="K270" s="11" t="s">
        <v>391</v>
      </c>
      <c r="L270" s="11">
        <v>90</v>
      </c>
      <c r="M270" s="12" t="s">
        <v>38</v>
      </c>
      <c r="N270" s="12" t="s">
        <v>38</v>
      </c>
      <c r="O270" s="12" t="s">
        <v>38</v>
      </c>
      <c r="P270" s="12" t="s">
        <v>38</v>
      </c>
      <c r="Q270" s="17">
        <v>4.5000000000000003E-5</v>
      </c>
      <c r="R270" s="13" t="s">
        <v>38</v>
      </c>
      <c r="S270" s="15" t="s">
        <v>38</v>
      </c>
      <c r="T270" s="15" t="s">
        <v>38</v>
      </c>
      <c r="U270" s="36" t="s">
        <v>38</v>
      </c>
      <c r="V270" s="36" t="s">
        <v>38</v>
      </c>
      <c r="W270" s="11"/>
      <c r="X270" s="15">
        <f t="shared" si="12"/>
        <v>106.36579999850885</v>
      </c>
      <c r="Z270" s="11"/>
      <c r="AA270" s="11"/>
      <c r="AB270" s="11"/>
      <c r="AC270" s="11"/>
    </row>
    <row r="271" spans="1:29" x14ac:dyDescent="0.25">
      <c r="R271" s="13"/>
      <c r="U271" s="36"/>
      <c r="V271" s="36"/>
      <c r="X271" s="15">
        <f t="shared" si="12"/>
        <v>106.36579999850885</v>
      </c>
    </row>
    <row r="272" spans="1:29" x14ac:dyDescent="0.25">
      <c r="A272" s="11" t="s">
        <v>56</v>
      </c>
      <c r="B272" s="12" t="s">
        <v>38</v>
      </c>
      <c r="C272" s="13" t="s">
        <v>38</v>
      </c>
      <c r="D272" s="13" t="s">
        <v>38</v>
      </c>
      <c r="E272" s="14">
        <f>(0.21907-2*0.00376)^2*PI()/4</f>
        <v>3.5149240129286767E-2</v>
      </c>
      <c r="F272" s="15" t="s">
        <v>38</v>
      </c>
      <c r="G272" s="15" t="s">
        <v>38</v>
      </c>
      <c r="H272" s="15">
        <v>0</v>
      </c>
      <c r="I272" s="15">
        <v>0</v>
      </c>
      <c r="J272" s="11" t="s">
        <v>408</v>
      </c>
      <c r="K272" s="11" t="s">
        <v>409</v>
      </c>
      <c r="L272" s="11" t="s">
        <v>38</v>
      </c>
      <c r="M272" s="12" t="str">
        <f ca="1">OFFSET($A$1,ROW()-3,1)</f>
        <v>PIPE_270</v>
      </c>
      <c r="N272" s="12" t="str">
        <f ca="1">OFFSET($A$1,ROW()+1,1)</f>
        <v>PIPE_274</v>
      </c>
      <c r="O272" s="12">
        <v>2</v>
      </c>
      <c r="P272" s="12">
        <v>1</v>
      </c>
      <c r="Q272" s="17" t="s">
        <v>38</v>
      </c>
      <c r="R272" s="13" t="s">
        <v>38</v>
      </c>
      <c r="S272" s="15" t="s">
        <v>38</v>
      </c>
      <c r="T272" s="15">
        <v>1</v>
      </c>
      <c r="U272" s="36" t="s">
        <v>38</v>
      </c>
      <c r="V272" s="36" t="s">
        <v>38</v>
      </c>
      <c r="X272" s="15">
        <f t="shared" si="12"/>
        <v>106.36579999850885</v>
      </c>
    </row>
    <row r="273" spans="1:29" s="15" customFormat="1" x14ac:dyDescent="0.25">
      <c r="A273" s="11"/>
      <c r="B273" s="12"/>
      <c r="C273" s="13"/>
      <c r="D273" s="13"/>
      <c r="E273" s="14"/>
      <c r="J273" s="11"/>
      <c r="K273" s="11"/>
      <c r="L273" s="11"/>
      <c r="M273" s="12"/>
      <c r="N273" s="12"/>
      <c r="O273" s="12"/>
      <c r="P273" s="12"/>
      <c r="Q273" s="17"/>
      <c r="R273" s="13"/>
      <c r="U273" s="36"/>
      <c r="V273" s="36"/>
      <c r="W273" s="11"/>
      <c r="X273" s="15">
        <f t="shared" si="12"/>
        <v>106.36579999850885</v>
      </c>
      <c r="Z273" s="11"/>
      <c r="AA273" s="11"/>
      <c r="AB273" s="11"/>
      <c r="AC273" s="11"/>
    </row>
    <row r="274" spans="1:29" s="15" customFormat="1" x14ac:dyDescent="0.25">
      <c r="A274" s="11" t="s">
        <v>41</v>
      </c>
      <c r="B274" s="12" t="str">
        <f>CONCATENATE("PIPE_",ROW())</f>
        <v>PIPE_274</v>
      </c>
      <c r="C274" s="13">
        <f>(113.922-106.41)-0.102/2-0.279</f>
        <v>7.1820000000000004</v>
      </c>
      <c r="D274" s="13">
        <f>dx</f>
        <v>0.2</v>
      </c>
      <c r="E274" s="14">
        <f>(0.21907-2*0.00376)^2*PI()/4</f>
        <v>3.5149240129286767E-2</v>
      </c>
      <c r="F274" s="15">
        <v>90</v>
      </c>
      <c r="G274" s="15">
        <v>0</v>
      </c>
      <c r="H274" s="15">
        <v>0</v>
      </c>
      <c r="I274" s="15">
        <v>0</v>
      </c>
      <c r="J274" s="11" t="s">
        <v>41</v>
      </c>
      <c r="K274" s="11" t="s">
        <v>409</v>
      </c>
      <c r="L274" s="11">
        <f>L270</f>
        <v>90</v>
      </c>
      <c r="M274" s="12" t="s">
        <v>38</v>
      </c>
      <c r="N274" s="12" t="s">
        <v>38</v>
      </c>
      <c r="O274" s="12" t="s">
        <v>38</v>
      </c>
      <c r="P274" s="12" t="s">
        <v>38</v>
      </c>
      <c r="Q274" s="17">
        <v>4.5000000000000003E-5</v>
      </c>
      <c r="R274" s="13" t="s">
        <v>38</v>
      </c>
      <c r="S274" s="15" t="s">
        <v>38</v>
      </c>
      <c r="T274" s="15" t="s">
        <v>38</v>
      </c>
      <c r="U274" s="36" t="s">
        <v>38</v>
      </c>
      <c r="V274" s="36" t="s">
        <v>38</v>
      </c>
      <c r="W274" s="11"/>
      <c r="X274" s="15">
        <f t="shared" si="12"/>
        <v>113.54779999850885</v>
      </c>
      <c r="Z274" s="11"/>
      <c r="AA274" s="11"/>
      <c r="AB274" s="11"/>
      <c r="AC274" s="11"/>
    </row>
    <row r="275" spans="1:29" s="15" customFormat="1" x14ac:dyDescent="0.25">
      <c r="A275" s="11" t="s">
        <v>41</v>
      </c>
      <c r="B275" s="12" t="str">
        <f>CONCATENATE("PIPE_",ROW())</f>
        <v>PIPE_275</v>
      </c>
      <c r="C275" s="13">
        <v>2.52</v>
      </c>
      <c r="D275" s="13">
        <f>dx</f>
        <v>0.2</v>
      </c>
      <c r="E275" s="14">
        <f>(0.21907-2*0.00376)^2*PI()/4</f>
        <v>3.5149240129286767E-2</v>
      </c>
      <c r="F275" s="15">
        <v>0</v>
      </c>
      <c r="G275" s="15">
        <v>0</v>
      </c>
      <c r="H275" s="15">
        <v>0</v>
      </c>
      <c r="I275" s="15">
        <v>0</v>
      </c>
      <c r="J275" s="11" t="s">
        <v>41</v>
      </c>
      <c r="K275" s="11" t="s">
        <v>409</v>
      </c>
      <c r="L275" s="11">
        <f>L274+1</f>
        <v>91</v>
      </c>
      <c r="M275" s="12" t="s">
        <v>38</v>
      </c>
      <c r="N275" s="12" t="s">
        <v>38</v>
      </c>
      <c r="O275" s="12" t="s">
        <v>38</v>
      </c>
      <c r="P275" s="12" t="s">
        <v>38</v>
      </c>
      <c r="Q275" s="17">
        <v>4.5000000000000003E-5</v>
      </c>
      <c r="R275" s="13" t="s">
        <v>38</v>
      </c>
      <c r="S275" s="15" t="s">
        <v>38</v>
      </c>
      <c r="T275" s="15" t="s">
        <v>38</v>
      </c>
      <c r="U275" s="36" t="s">
        <v>38</v>
      </c>
      <c r="V275" s="36" t="s">
        <v>38</v>
      </c>
      <c r="W275" s="11"/>
      <c r="X275" s="15">
        <f t="shared" si="12"/>
        <v>113.54779999850885</v>
      </c>
      <c r="Z275" s="11"/>
      <c r="AA275" s="11"/>
      <c r="AB275" s="11"/>
      <c r="AC275" s="11"/>
    </row>
    <row r="276" spans="1:29" s="15" customFormat="1" x14ac:dyDescent="0.25">
      <c r="A276" s="11" t="s">
        <v>41</v>
      </c>
      <c r="B276" s="12" t="str">
        <f>CONCATENATE("PIPE_",ROW())</f>
        <v>PIPE_276</v>
      </c>
      <c r="C276" s="13">
        <v>4.7699999999999996</v>
      </c>
      <c r="D276" s="13">
        <f>dx</f>
        <v>0.2</v>
      </c>
      <c r="E276" s="14">
        <f>(0.21907-2*0.00376)^2*PI()/4</f>
        <v>3.5149240129286767E-2</v>
      </c>
      <c r="F276" s="15">
        <v>-90</v>
      </c>
      <c r="G276" s="15">
        <v>0</v>
      </c>
      <c r="H276" s="15">
        <v>0</v>
      </c>
      <c r="I276" s="15">
        <v>0</v>
      </c>
      <c r="J276" s="11" t="s">
        <v>41</v>
      </c>
      <c r="K276" s="11" t="s">
        <v>409</v>
      </c>
      <c r="L276" s="11">
        <f>L275+1</f>
        <v>92</v>
      </c>
      <c r="M276" s="12" t="s">
        <v>38</v>
      </c>
      <c r="N276" s="12" t="s">
        <v>38</v>
      </c>
      <c r="O276" s="12" t="s">
        <v>38</v>
      </c>
      <c r="P276" s="12" t="s">
        <v>38</v>
      </c>
      <c r="Q276" s="17">
        <v>4.5000000000000003E-5</v>
      </c>
      <c r="R276" s="13" t="s">
        <v>38</v>
      </c>
      <c r="S276" s="15" t="s">
        <v>38</v>
      </c>
      <c r="T276" s="15" t="s">
        <v>38</v>
      </c>
      <c r="U276" s="36" t="s">
        <v>38</v>
      </c>
      <c r="V276" s="36" t="s">
        <v>38</v>
      </c>
      <c r="W276" s="11"/>
      <c r="X276" s="15">
        <f t="shared" si="12"/>
        <v>108.77779999850885</v>
      </c>
      <c r="Z276" s="11"/>
      <c r="AA276" s="11"/>
      <c r="AB276" s="11"/>
      <c r="AC276" s="11"/>
    </row>
    <row r="277" spans="1:29" s="15" customFormat="1" x14ac:dyDescent="0.25">
      <c r="A277" s="11"/>
      <c r="B277" s="12"/>
      <c r="C277" s="13"/>
      <c r="D277" s="13"/>
      <c r="E277" s="14"/>
      <c r="J277" s="11"/>
      <c r="K277" s="11"/>
      <c r="L277" s="11"/>
      <c r="M277" s="12"/>
      <c r="N277" s="12"/>
      <c r="O277" s="12"/>
      <c r="P277" s="12"/>
      <c r="Q277" s="17"/>
      <c r="R277" s="13"/>
      <c r="U277" s="36"/>
      <c r="V277" s="36"/>
      <c r="W277" s="11"/>
      <c r="X277" s="15">
        <f t="shared" si="12"/>
        <v>108.77779999850885</v>
      </c>
      <c r="Z277" s="11"/>
      <c r="AA277" s="11"/>
      <c r="AB277" s="11"/>
      <c r="AC277" s="11"/>
    </row>
    <row r="278" spans="1:29" s="15" customFormat="1" x14ac:dyDescent="0.25">
      <c r="A278" s="11" t="s">
        <v>39</v>
      </c>
      <c r="B278" s="12" t="s">
        <v>38</v>
      </c>
      <c r="C278" s="13" t="s">
        <v>38</v>
      </c>
      <c r="D278" s="13" t="s">
        <v>38</v>
      </c>
      <c r="E278" s="14">
        <v>0</v>
      </c>
      <c r="F278" s="15" t="s">
        <v>38</v>
      </c>
      <c r="G278" s="15" t="s">
        <v>38</v>
      </c>
      <c r="H278" s="15">
        <v>0</v>
      </c>
      <c r="I278" s="15">
        <v>0</v>
      </c>
      <c r="J278" s="11" t="s">
        <v>40</v>
      </c>
      <c r="K278" s="11" t="s">
        <v>409</v>
      </c>
      <c r="L278" s="11" t="s">
        <v>38</v>
      </c>
      <c r="M278" s="12" t="str">
        <f ca="1">OFFSET($A$1,ROW()-3,1)</f>
        <v>PIPE_276</v>
      </c>
      <c r="N278" s="12" t="str">
        <f ca="1">OFFSET($A$1,ROW()+1,1)</f>
        <v>TMDV_280</v>
      </c>
      <c r="O278" s="12">
        <v>2</v>
      </c>
      <c r="P278" s="12">
        <v>1</v>
      </c>
      <c r="Q278" s="17" t="s">
        <v>38</v>
      </c>
      <c r="R278" s="13" t="s">
        <v>38</v>
      </c>
      <c r="S278" s="15" t="s">
        <v>38</v>
      </c>
      <c r="T278" s="15" t="s">
        <v>38</v>
      </c>
      <c r="U278" s="36" t="s">
        <v>38</v>
      </c>
      <c r="V278" s="36" t="s">
        <v>38</v>
      </c>
      <c r="W278" s="11"/>
      <c r="X278" s="15">
        <f t="shared" si="12"/>
        <v>108.77779999850885</v>
      </c>
      <c r="Z278" s="11"/>
      <c r="AA278" s="11"/>
      <c r="AB278" s="11"/>
      <c r="AC278" s="11"/>
    </row>
    <row r="279" spans="1:29" s="15" customFormat="1" x14ac:dyDescent="0.25">
      <c r="A279" s="11"/>
      <c r="B279" s="12"/>
      <c r="C279" s="13"/>
      <c r="D279" s="13"/>
      <c r="E279" s="14"/>
      <c r="J279" s="11"/>
      <c r="K279" s="11"/>
      <c r="L279" s="11"/>
      <c r="M279" s="12"/>
      <c r="N279" s="12"/>
      <c r="O279" s="12"/>
      <c r="P279" s="12"/>
      <c r="Q279" s="17"/>
      <c r="R279" s="13"/>
      <c r="U279" s="36"/>
      <c r="V279" s="36"/>
      <c r="W279" s="11"/>
      <c r="X279" s="15">
        <f t="shared" si="12"/>
        <v>108.77779999850885</v>
      </c>
      <c r="Z279" s="11"/>
      <c r="AA279" s="11"/>
      <c r="AB279" s="11"/>
      <c r="AC279" s="11"/>
    </row>
    <row r="280" spans="1:29" s="15" customFormat="1" x14ac:dyDescent="0.25">
      <c r="A280" s="11" t="s">
        <v>37</v>
      </c>
      <c r="B280" s="12" t="str">
        <f>CONCATENATE("TMDV_",ROW())</f>
        <v>TMDV_280</v>
      </c>
      <c r="C280" s="13">
        <v>1</v>
      </c>
      <c r="D280" s="13" t="s">
        <v>38</v>
      </c>
      <c r="E280" s="14">
        <v>1</v>
      </c>
      <c r="F280" s="15">
        <v>0</v>
      </c>
      <c r="G280" s="15">
        <v>0</v>
      </c>
      <c r="H280" s="15" t="s">
        <v>38</v>
      </c>
      <c r="I280" s="15" t="s">
        <v>38</v>
      </c>
      <c r="J280" s="11" t="s">
        <v>374</v>
      </c>
      <c r="K280" s="11" t="s">
        <v>38</v>
      </c>
      <c r="L280" s="11" t="s">
        <v>38</v>
      </c>
      <c r="M280" s="12" t="s">
        <v>38</v>
      </c>
      <c r="N280" s="12" t="s">
        <v>38</v>
      </c>
      <c r="O280" s="12" t="s">
        <v>38</v>
      </c>
      <c r="P280" s="12" t="s">
        <v>38</v>
      </c>
      <c r="Q280" s="17">
        <f>100000+($B$47-X279)*9.80665*$B$48</f>
        <v>209727.25145212206</v>
      </c>
      <c r="R280" s="13">
        <f>273.15+$B$46</f>
        <v>298.14999999999998</v>
      </c>
      <c r="S280" s="15" t="s">
        <v>38</v>
      </c>
      <c r="T280" s="15" t="s">
        <v>38</v>
      </c>
      <c r="U280" s="36" t="s">
        <v>38</v>
      </c>
      <c r="V280" s="36" t="s">
        <v>38</v>
      </c>
      <c r="W280" s="11"/>
      <c r="X280" s="15">
        <f t="shared" si="12"/>
        <v>108.77779999850885</v>
      </c>
      <c r="Z280" s="11"/>
      <c r="AA280" s="11"/>
      <c r="AB280" s="11"/>
      <c r="AC280" s="11"/>
    </row>
    <row r="281" spans="1:29" s="15" customFormat="1" x14ac:dyDescent="0.25">
      <c r="A281" s="11"/>
      <c r="B281" s="12"/>
      <c r="C281" s="13"/>
      <c r="D281" s="13"/>
      <c r="E281" s="14"/>
      <c r="J281" s="11"/>
      <c r="K281" s="11"/>
      <c r="L281" s="11"/>
      <c r="M281" s="12"/>
      <c r="N281" s="12"/>
      <c r="O281" s="12"/>
      <c r="P281" s="12"/>
      <c r="Q281" s="17"/>
      <c r="R281" s="13"/>
      <c r="U281" s="36"/>
      <c r="V281" s="36"/>
      <c r="W281" s="11"/>
      <c r="Z281" s="11"/>
      <c r="AA281" s="11"/>
      <c r="AB281" s="11"/>
      <c r="AC281" s="11"/>
    </row>
    <row r="282" spans="1:29" s="15" customFormat="1" x14ac:dyDescent="0.25">
      <c r="A282" s="11"/>
      <c r="B282" s="12"/>
      <c r="C282" s="13"/>
      <c r="D282" s="13"/>
      <c r="E282" s="14"/>
      <c r="J282" s="11"/>
      <c r="K282" s="11"/>
      <c r="L282" s="11"/>
      <c r="M282" s="12"/>
      <c r="N282" s="12"/>
      <c r="O282" s="12"/>
      <c r="P282" s="12"/>
      <c r="Q282" s="17"/>
      <c r="R282" s="13"/>
      <c r="U282" s="36"/>
      <c r="V282" s="36"/>
      <c r="W282" s="11"/>
      <c r="Z282" s="11"/>
      <c r="AA282" s="11"/>
      <c r="AB282" s="11"/>
      <c r="AC282" s="11"/>
    </row>
    <row r="283" spans="1:29" s="15" customFormat="1" x14ac:dyDescent="0.25">
      <c r="A283" s="11"/>
      <c r="B283" s="12"/>
      <c r="C283" s="13"/>
      <c r="D283" s="13"/>
      <c r="E283" s="14"/>
      <c r="J283" s="11"/>
      <c r="K283" s="11"/>
      <c r="L283" s="11"/>
      <c r="M283" s="12"/>
      <c r="N283" s="12"/>
      <c r="O283" s="12"/>
      <c r="P283" s="12"/>
      <c r="Q283" s="17"/>
      <c r="R283" s="13"/>
      <c r="U283" s="36"/>
      <c r="V283" s="36"/>
      <c r="W283" s="11"/>
      <c r="Z283" s="11"/>
      <c r="AA283" s="11"/>
      <c r="AB283" s="11"/>
      <c r="AC283" s="11"/>
    </row>
    <row r="284" spans="1:29" s="15" customFormat="1" x14ac:dyDescent="0.25">
      <c r="A284" s="11"/>
      <c r="B284" s="12"/>
      <c r="C284" s="13"/>
      <c r="D284" s="13"/>
      <c r="E284" s="14"/>
      <c r="J284" s="11"/>
      <c r="K284" s="11"/>
      <c r="L284" s="11"/>
      <c r="M284" s="12"/>
      <c r="N284" s="12"/>
      <c r="O284" s="12"/>
      <c r="P284" s="12"/>
      <c r="Q284" s="17"/>
      <c r="R284" s="13"/>
      <c r="U284" s="36"/>
      <c r="V284" s="36"/>
      <c r="W284" s="11"/>
      <c r="Z284" s="11"/>
      <c r="AA284" s="11"/>
      <c r="AB284" s="11"/>
      <c r="AC284" s="11"/>
    </row>
    <row r="285" spans="1:29" s="15" customFormat="1" x14ac:dyDescent="0.25">
      <c r="A285" s="11"/>
      <c r="B285" s="12"/>
      <c r="C285" s="13"/>
      <c r="D285" s="13"/>
      <c r="E285" s="14"/>
      <c r="J285" s="11"/>
      <c r="K285" s="11"/>
      <c r="L285" s="11"/>
      <c r="M285" s="12"/>
      <c r="N285" s="12"/>
      <c r="O285" s="12"/>
      <c r="P285" s="12"/>
      <c r="Q285" s="17"/>
      <c r="R285" s="13"/>
      <c r="U285" s="36"/>
      <c r="V285" s="36"/>
      <c r="W285" s="11"/>
      <c r="Z285" s="11"/>
      <c r="AA285" s="11"/>
      <c r="AB285" s="11"/>
      <c r="AC285" s="11"/>
    </row>
    <row r="286" spans="1:29" s="15" customFormat="1" x14ac:dyDescent="0.25">
      <c r="A286" s="11"/>
      <c r="B286" s="12"/>
      <c r="C286" s="13"/>
      <c r="D286" s="13"/>
      <c r="E286" s="14"/>
      <c r="J286" s="11"/>
      <c r="K286" s="11"/>
      <c r="L286" s="11"/>
      <c r="M286" s="12"/>
      <c r="N286" s="12"/>
      <c r="O286" s="12"/>
      <c r="P286" s="12"/>
      <c r="Q286" s="17"/>
      <c r="R286" s="13"/>
      <c r="U286" s="36"/>
      <c r="V286" s="36"/>
      <c r="W286" s="11"/>
      <c r="Z286" s="11"/>
      <c r="AA286" s="11"/>
      <c r="AB286" s="11"/>
      <c r="AC286" s="11"/>
    </row>
    <row r="287" spans="1:29" s="15" customFormat="1" x14ac:dyDescent="0.25">
      <c r="A287" s="11"/>
      <c r="B287" s="12"/>
      <c r="C287" s="13"/>
      <c r="D287" s="13"/>
      <c r="E287" s="14"/>
      <c r="J287" s="11"/>
      <c r="K287" s="11"/>
      <c r="L287" s="11"/>
      <c r="M287" s="12"/>
      <c r="N287" s="12"/>
      <c r="O287" s="12"/>
      <c r="P287" s="12"/>
      <c r="Q287" s="17"/>
      <c r="R287" s="13"/>
      <c r="U287" s="36"/>
      <c r="V287" s="36"/>
      <c r="W287" s="11"/>
      <c r="Z287" s="11"/>
      <c r="AA287" s="11"/>
      <c r="AB287" s="11"/>
      <c r="AC287" s="11"/>
    </row>
    <row r="288" spans="1:29" s="15" customFormat="1" x14ac:dyDescent="0.25">
      <c r="A288" s="11"/>
      <c r="B288" s="12"/>
      <c r="C288" s="13"/>
      <c r="D288" s="13"/>
      <c r="E288" s="14"/>
      <c r="J288" s="11"/>
      <c r="K288" s="11"/>
      <c r="L288" s="11"/>
      <c r="M288" s="12"/>
      <c r="N288" s="12"/>
      <c r="O288" s="12"/>
      <c r="P288" s="12"/>
      <c r="Q288" s="17"/>
      <c r="R288" s="13"/>
      <c r="U288" s="36"/>
      <c r="V288" s="36"/>
      <c r="W288" s="11"/>
      <c r="Z288" s="11"/>
      <c r="AA288" s="11"/>
      <c r="AB288" s="11"/>
      <c r="AC288" s="11"/>
    </row>
    <row r="289" spans="1:29" s="15" customFormat="1" x14ac:dyDescent="0.25">
      <c r="A289" s="11"/>
      <c r="B289" s="12"/>
      <c r="C289" s="13"/>
      <c r="D289" s="13"/>
      <c r="E289" s="14"/>
      <c r="J289" s="11"/>
      <c r="K289" s="11"/>
      <c r="L289" s="11"/>
      <c r="M289" s="12"/>
      <c r="N289" s="12"/>
      <c r="O289" s="12"/>
      <c r="P289" s="12"/>
      <c r="Q289" s="17"/>
      <c r="R289" s="13"/>
      <c r="U289" s="36"/>
      <c r="V289" s="36"/>
      <c r="W289" s="11"/>
      <c r="Z289" s="11"/>
      <c r="AA289" s="11"/>
      <c r="AB289" s="11"/>
      <c r="AC289" s="11"/>
    </row>
    <row r="290" spans="1:29" s="15" customFormat="1" x14ac:dyDescent="0.25">
      <c r="A290" s="11"/>
      <c r="B290" s="12"/>
      <c r="C290" s="13"/>
      <c r="D290" s="13"/>
      <c r="E290" s="14"/>
      <c r="J290" s="11"/>
      <c r="K290" s="11"/>
      <c r="L290" s="11"/>
      <c r="M290" s="12"/>
      <c r="N290" s="12"/>
      <c r="O290" s="12"/>
      <c r="P290" s="12"/>
      <c r="Q290" s="17"/>
      <c r="R290" s="13"/>
      <c r="U290" s="36"/>
      <c r="V290" s="36"/>
      <c r="W290" s="11"/>
      <c r="Z290" s="11"/>
      <c r="AA290" s="11"/>
      <c r="AB290" s="11"/>
      <c r="AC290" s="11"/>
    </row>
    <row r="291" spans="1:29" s="15" customFormat="1" x14ac:dyDescent="0.25">
      <c r="A291" s="11"/>
      <c r="B291" s="12"/>
      <c r="C291" s="13"/>
      <c r="D291" s="13"/>
      <c r="E291" s="14"/>
      <c r="J291" s="11"/>
      <c r="K291" s="11"/>
      <c r="L291" s="11"/>
      <c r="M291" s="12"/>
      <c r="N291" s="12"/>
      <c r="O291" s="12"/>
      <c r="P291" s="12"/>
      <c r="Q291" s="17"/>
      <c r="R291" s="13"/>
      <c r="U291" s="36"/>
      <c r="V291" s="36"/>
      <c r="W291" s="11"/>
      <c r="Z291" s="11"/>
      <c r="AA291" s="11"/>
      <c r="AB291" s="11"/>
      <c r="AC291" s="11"/>
    </row>
    <row r="292" spans="1:29" s="15" customFormat="1" x14ac:dyDescent="0.25">
      <c r="A292" s="11"/>
      <c r="B292" s="12"/>
      <c r="C292" s="13"/>
      <c r="D292" s="13"/>
      <c r="E292" s="14"/>
      <c r="J292" s="11"/>
      <c r="K292" s="11"/>
      <c r="L292" s="11"/>
      <c r="M292" s="12"/>
      <c r="N292" s="12"/>
      <c r="O292" s="12"/>
      <c r="P292" s="12"/>
      <c r="Q292" s="17"/>
      <c r="R292" s="13"/>
      <c r="U292" s="36"/>
      <c r="V292" s="36"/>
      <c r="W292" s="11"/>
      <c r="Z292" s="11"/>
      <c r="AA292" s="11"/>
      <c r="AB292" s="11"/>
      <c r="AC292" s="11"/>
    </row>
    <row r="293" spans="1:29" s="15" customFormat="1" x14ac:dyDescent="0.25">
      <c r="A293" s="11"/>
      <c r="B293" s="12"/>
      <c r="C293" s="13"/>
      <c r="D293" s="13"/>
      <c r="E293" s="14"/>
      <c r="J293" s="11"/>
      <c r="K293" s="11"/>
      <c r="L293" s="11"/>
      <c r="M293" s="12"/>
      <c r="N293" s="12"/>
      <c r="O293" s="12"/>
      <c r="P293" s="12"/>
      <c r="Q293" s="17"/>
      <c r="R293" s="13"/>
      <c r="U293" s="36"/>
      <c r="V293" s="36"/>
      <c r="W293" s="11"/>
      <c r="Z293" s="11"/>
      <c r="AA293" s="11"/>
      <c r="AB293" s="11"/>
      <c r="AC293" s="11"/>
    </row>
  </sheetData>
  <conditionalFormatting sqref="W6">
    <cfRule type="expression" dxfId="769" priority="449" stopIfTrue="1">
      <formula>$A6="Pipe"</formula>
    </cfRule>
    <cfRule type="expression" dxfId="768" priority="450" stopIfTrue="1">
      <formula>OR($A6="Junction",$A6="Mtrvlv",$A6="Pump",$A6="Chkvlv",$A6="Trpvlv",$A6="Srvvlv",$A6="Rlfvlv")</formula>
    </cfRule>
    <cfRule type="expression" dxfId="767" priority="451" stopIfTrue="1">
      <formula>OR($A6="Tmdpvol",$A6="Snglvol",$A6="Relapnr",$A6="Init")</formula>
    </cfRule>
  </conditionalFormatting>
  <conditionalFormatting sqref="W7">
    <cfRule type="expression" priority="452" stopIfTrue="1">
      <formula>2</formula>
    </cfRule>
  </conditionalFormatting>
  <conditionalFormatting sqref="Q1357:Q1358 U1357:V1358 F572:L1201 A572:D1201 Q572:Q1201 U572:V1201">
    <cfRule type="expression" dxfId="766" priority="453" stopIfTrue="1">
      <formula>$A572="Pipe"</formula>
    </cfRule>
  </conditionalFormatting>
  <conditionalFormatting sqref="R1357:T1358">
    <cfRule type="expression" dxfId="765" priority="454" stopIfTrue="1">
      <formula>$A1357="Pipe"</formula>
    </cfRule>
  </conditionalFormatting>
  <conditionalFormatting sqref="P1357:P1358 U1357:V1358 H572:K1201 A572:B1201 U572:V1201 M572:P1201">
    <cfRule type="expression" dxfId="764" priority="455" stopIfTrue="1">
      <formula>$A572="Junction"</formula>
    </cfRule>
  </conditionalFormatting>
  <conditionalFormatting sqref="Q1357:T1358">
    <cfRule type="expression" dxfId="763" priority="456" stopIfTrue="1">
      <formula>$A1357="Junction"</formula>
    </cfRule>
  </conditionalFormatting>
  <conditionalFormatting sqref="T1357:V1358 H572:K1201 A572:B1201 T572:V1201 M572:P1201">
    <cfRule type="expression" dxfId="762" priority="457" stopIfTrue="1">
      <formula>$A572="Mtrvlv"</formula>
    </cfRule>
  </conditionalFormatting>
  <conditionalFormatting sqref="Q1357:S1358">
    <cfRule type="expression" dxfId="761" priority="458" stopIfTrue="1">
      <formula>$A1357="Mtrvlv"</formula>
    </cfRule>
  </conditionalFormatting>
  <conditionalFormatting sqref="T1357:V1358 H572:K1201 B572:B1201 T572:V1201 M572:P1201">
    <cfRule type="expression" dxfId="760" priority="459" stopIfTrue="1">
      <formula>$A572="Srvvlv"</formula>
    </cfRule>
  </conditionalFormatting>
  <conditionalFormatting sqref="Q1357:S1358">
    <cfRule type="expression" dxfId="759" priority="460" stopIfTrue="1">
      <formula>$A1357="Srvvlv"</formula>
    </cfRule>
  </conditionalFormatting>
  <conditionalFormatting sqref="T1357:V1358 H572:J1201 A572:A1201 N572:P1201 T572:T1201 V572:V1201">
    <cfRule type="expression" dxfId="758" priority="461" stopIfTrue="1">
      <formula>$A572="Chkvlv"</formula>
    </cfRule>
  </conditionalFormatting>
  <conditionalFormatting sqref="Q1357:S1358">
    <cfRule type="expression" dxfId="757" priority="462" stopIfTrue="1">
      <formula>$A1357="Chkvlv"</formula>
    </cfRule>
  </conditionalFormatting>
  <conditionalFormatting sqref="T1357:V1358 H572:K1201 A572:B1201 T572:V1201 M572:P1201">
    <cfRule type="expression" dxfId="756" priority="463" stopIfTrue="1">
      <formula>$A572="Inrvlv"</formula>
    </cfRule>
  </conditionalFormatting>
  <conditionalFormatting sqref="Q1357:S1358">
    <cfRule type="expression" dxfId="755" priority="464" stopIfTrue="1">
      <formula>$A1357="Inrvlv"</formula>
    </cfRule>
  </conditionalFormatting>
  <conditionalFormatting sqref="T1357:V1358 H572:K1201 B572:B1201 T572:V1201 M572:P1201">
    <cfRule type="expression" dxfId="754" priority="465" stopIfTrue="1">
      <formula>$A572="Tmdpjun"</formula>
    </cfRule>
  </conditionalFormatting>
  <conditionalFormatting sqref="Q1357:S1358">
    <cfRule type="expression" dxfId="753" priority="466" stopIfTrue="1">
      <formula>$A1357="Tmdpjun"</formula>
    </cfRule>
  </conditionalFormatting>
  <conditionalFormatting sqref="R1357:V1358 F572:K1201 A572:C1201 T572:V1201 M572:P1201">
    <cfRule type="expression" dxfId="752" priority="467" stopIfTrue="1">
      <formula>$A572="Pump"</formula>
    </cfRule>
  </conditionalFormatting>
  <conditionalFormatting sqref="Q1357:Q1358">
    <cfRule type="expression" dxfId="751" priority="468" stopIfTrue="1">
      <formula>$A1357="Pump"</formula>
    </cfRule>
  </conditionalFormatting>
  <conditionalFormatting sqref="Q1357:R1358 U1357:V1358 A572:C1201 F572:G1201 J572:K1201 Q572:Q1201 U572:V1201">
    <cfRule type="expression" dxfId="750" priority="469" stopIfTrue="1">
      <formula>$A572="Tmdpvol"</formula>
    </cfRule>
  </conditionalFormatting>
  <conditionalFormatting sqref="S1357:T1358">
    <cfRule type="expression" dxfId="749" priority="470" stopIfTrue="1">
      <formula>$A1357="Tmdpvol"</formula>
    </cfRule>
  </conditionalFormatting>
  <conditionalFormatting sqref="U1357:V1358 A572:A1201 F572:G1201 J572:J1201 V572:V1201">
    <cfRule type="expression" dxfId="748" priority="471" stopIfTrue="1">
      <formula>$A572="Snglvol"</formula>
    </cfRule>
  </conditionalFormatting>
  <conditionalFormatting sqref="Q1357:T1358">
    <cfRule type="expression" dxfId="747" priority="472" stopIfTrue="1">
      <formula>$A1357="Snglvol"</formula>
    </cfRule>
  </conditionalFormatting>
  <conditionalFormatting sqref="W5">
    <cfRule type="expression" dxfId="746" priority="473" stopIfTrue="1">
      <formula>$A4="Pipe"</formula>
    </cfRule>
    <cfRule type="expression" dxfId="745" priority="474" stopIfTrue="1">
      <formula>OR($A4="Junction",$A4="Mtrvlv",$A4="Pump",$A4="Chkvlv",$A4="Trpvlv",$A4="Srvvlv",$A4="Rlfvlv")</formula>
    </cfRule>
    <cfRule type="expression" dxfId="744" priority="475" stopIfTrue="1">
      <formula>OR($A4="Tmdpvol",$A4="Snglvol",$A4="Relapnr",$A4="Init")</formula>
    </cfRule>
  </conditionalFormatting>
  <conditionalFormatting sqref="A1357:A1358">
    <cfRule type="expression" dxfId="743" priority="476" stopIfTrue="1">
      <formula>$A1357="Pipe"</formula>
    </cfRule>
    <cfRule type="expression" dxfId="742" priority="488" stopIfTrue="1">
      <formula>$A1357="Junction"</formula>
    </cfRule>
    <cfRule type="expression" dxfId="741" priority="499" stopIfTrue="1">
      <formula>$A1357="Sngljun"</formula>
    </cfRule>
    <cfRule type="expression" dxfId="740" priority="513" stopIfTrue="1">
      <formula>$A1357="Mtrvlv"</formula>
    </cfRule>
    <cfRule type="expression" dxfId="739" priority="525" stopIfTrue="1">
      <formula>$A1357="Srvvlv"</formula>
    </cfRule>
    <cfRule type="expression" dxfId="738" priority="537" stopIfTrue="1">
      <formula>$A1357="Chkvlv"</formula>
    </cfRule>
    <cfRule type="expression" dxfId="737" priority="549" stopIfTrue="1">
      <formula>$A1357="Inrvlv"</formula>
    </cfRule>
    <cfRule type="expression" dxfId="736" priority="561" stopIfTrue="1">
      <formula>$A1357="Tmdpjun"</formula>
    </cfRule>
    <cfRule type="expression" dxfId="735" priority="573" stopIfTrue="1">
      <formula>$A1357="Pump"</formula>
    </cfRule>
    <cfRule type="expression" dxfId="734" priority="585" stopIfTrue="1">
      <formula>$A1357="Tmdpvol"</formula>
    </cfRule>
    <cfRule type="expression" dxfId="733" priority="597" stopIfTrue="1">
      <formula>$A1357="Snglvol"</formula>
    </cfRule>
    <cfRule type="expression" dxfId="732" priority="609" stopIfTrue="1">
      <formula>$A1357="Relapnr"</formula>
    </cfRule>
    <cfRule type="expression" dxfId="731" priority="611" stopIfTrue="1">
      <formula>$A1357="Init"</formula>
    </cfRule>
    <cfRule type="expression" dxfId="730" priority="614" stopIfTrue="1">
      <formula>$A1357="InitGas"</formula>
    </cfRule>
    <cfRule type="expression" dxfId="729" priority="617" stopIfTrue="1">
      <formula>$A1357="Timestep"</formula>
    </cfRule>
    <cfRule type="expression" dxfId="728" priority="622" stopIfTrue="1">
      <formula>$A1357="Replacements"</formula>
    </cfRule>
    <cfRule type="expression" dxfId="727" priority="624" stopIfTrue="1">
      <formula>$A1357="Triggerwords"</formula>
    </cfRule>
    <cfRule type="expression" dxfId="726" priority="626" stopIfTrue="1">
      <formula>$A1357="Custom"</formula>
    </cfRule>
  </conditionalFormatting>
  <conditionalFormatting sqref="B1357:B1358">
    <cfRule type="expression" dxfId="725" priority="477" stopIfTrue="1">
      <formula>$A1357="Pipe"</formula>
    </cfRule>
    <cfRule type="expression" dxfId="724" priority="489" stopIfTrue="1">
      <formula>$A1357="Junction"</formula>
    </cfRule>
    <cfRule type="expression" dxfId="723" priority="500" stopIfTrue="1">
      <formula>$A1357="Sngljun"</formula>
    </cfRule>
    <cfRule type="expression" dxfId="722" priority="514" stopIfTrue="1">
      <formula>$A1357="Mtrvlv"</formula>
    </cfRule>
    <cfRule type="expression" dxfId="721" priority="526" stopIfTrue="1">
      <formula>$A1357="Srvvlv"</formula>
    </cfRule>
    <cfRule type="expression" dxfId="720" priority="538" stopIfTrue="1">
      <formula>$A1357="Chkvlv"</formula>
    </cfRule>
    <cfRule type="expression" dxfId="719" priority="550" stopIfTrue="1">
      <formula>$A1357="Inrvlv"</formula>
    </cfRule>
    <cfRule type="expression" dxfId="718" priority="562" stopIfTrue="1">
      <formula>$A1357="Tmdpjun"</formula>
    </cfRule>
    <cfRule type="expression" dxfId="717" priority="574" stopIfTrue="1">
      <formula>$A1357="Pump"</formula>
    </cfRule>
    <cfRule type="expression" dxfId="716" priority="586" stopIfTrue="1">
      <formula>$A1357="Tmdpvol"</formula>
    </cfRule>
    <cfRule type="expression" dxfId="715" priority="598" stopIfTrue="1">
      <formula>$A1357="Snglvol"</formula>
    </cfRule>
    <cfRule type="expression" dxfId="714" priority="610" stopIfTrue="1">
      <formula>$A1357="Relapnr"</formula>
    </cfRule>
    <cfRule type="expression" dxfId="713" priority="612" stopIfTrue="1">
      <formula>$A1357="Init"</formula>
    </cfRule>
    <cfRule type="expression" dxfId="712" priority="615" stopIfTrue="1">
      <formula>$A1357="InitGas"</formula>
    </cfRule>
    <cfRule type="expression" dxfId="711" priority="618" stopIfTrue="1">
      <formula>$A1357="Timestep"</formula>
    </cfRule>
    <cfRule type="expression" dxfId="710" priority="623" stopIfTrue="1">
      <formula>$A1357="Replacements"</formula>
    </cfRule>
    <cfRule type="expression" dxfId="709" priority="625" stopIfTrue="1">
      <formula>$A1357="Triggerwords"</formula>
    </cfRule>
    <cfRule type="expression" dxfId="708" priority="627" stopIfTrue="1">
      <formula>$A1357="Custom"</formula>
    </cfRule>
  </conditionalFormatting>
  <conditionalFormatting sqref="C1357:C1358">
    <cfRule type="expression" dxfId="707" priority="478" stopIfTrue="1">
      <formula>$A1357="Pipe"</formula>
    </cfRule>
    <cfRule type="expression" dxfId="706" priority="490" stopIfTrue="1">
      <formula>$A1357="Junction"</formula>
    </cfRule>
    <cfRule type="expression" dxfId="705" priority="501" stopIfTrue="1">
      <formula>$A1357="Sngljun"</formula>
    </cfRule>
    <cfRule type="expression" dxfId="704" priority="515" stopIfTrue="1">
      <formula>$A1357="Mtrvlv"</formula>
    </cfRule>
    <cfRule type="expression" dxfId="703" priority="527" stopIfTrue="1">
      <formula>$A1357="Srvvlv"</formula>
    </cfRule>
    <cfRule type="expression" dxfId="702" priority="539" stopIfTrue="1">
      <formula>$A1357="Chkvlv"</formula>
    </cfRule>
    <cfRule type="expression" dxfId="701" priority="551" stopIfTrue="1">
      <formula>$A1357="Inrvlv"</formula>
    </cfRule>
    <cfRule type="expression" dxfId="700" priority="563" stopIfTrue="1">
      <formula>$A1357="Tmdpjun"</formula>
    </cfRule>
    <cfRule type="expression" dxfId="699" priority="575" stopIfTrue="1">
      <formula>$A1357="Pump"</formula>
    </cfRule>
    <cfRule type="expression" dxfId="698" priority="587" stopIfTrue="1">
      <formula>$A1357="Tmdpvol"</formula>
    </cfRule>
    <cfRule type="expression" dxfId="697" priority="599" stopIfTrue="1">
      <formula>$A1357="Snglvol"</formula>
    </cfRule>
    <cfRule type="expression" dxfId="696" priority="613" stopIfTrue="1">
      <formula>$A1357="Init"</formula>
    </cfRule>
    <cfRule type="expression" dxfId="695" priority="616" stopIfTrue="1">
      <formula>$A1357="InitGas"</formula>
    </cfRule>
    <cfRule type="expression" dxfId="694" priority="619" stopIfTrue="1">
      <formula>$A1357="Timestep"</formula>
    </cfRule>
  </conditionalFormatting>
  <conditionalFormatting sqref="D1357:D1358">
    <cfRule type="expression" dxfId="693" priority="479" stopIfTrue="1">
      <formula>$A1357="Pipe"</formula>
    </cfRule>
    <cfRule type="expression" dxfId="692" priority="491" stopIfTrue="1">
      <formula>$A1357="Junction"</formula>
    </cfRule>
    <cfRule type="expression" dxfId="691" priority="502" stopIfTrue="1">
      <formula>$A1357="Sngljun"</formula>
    </cfRule>
    <cfRule type="expression" dxfId="690" priority="516" stopIfTrue="1">
      <formula>$A1357="Mtrvlv"</formula>
    </cfRule>
    <cfRule type="expression" dxfId="689" priority="528" stopIfTrue="1">
      <formula>$A1357="Srvvlv"</formula>
    </cfRule>
    <cfRule type="expression" dxfId="688" priority="540" stopIfTrue="1">
      <formula>$A1357="Chkvlv"</formula>
    </cfRule>
    <cfRule type="expression" dxfId="687" priority="552" stopIfTrue="1">
      <formula>$A1357="Inrvlv"</formula>
    </cfRule>
    <cfRule type="expression" dxfId="686" priority="564" stopIfTrue="1">
      <formula>$A1357="Tmdpjun"</formula>
    </cfRule>
    <cfRule type="expression" dxfId="685" priority="576" stopIfTrue="1">
      <formula>$A1357="Pump"</formula>
    </cfRule>
    <cfRule type="expression" dxfId="684" priority="588" stopIfTrue="1">
      <formula>$A1357="Tmdpvol"</formula>
    </cfRule>
    <cfRule type="expression" dxfId="683" priority="600" stopIfTrue="1">
      <formula>$A1357="Snglvol"</formula>
    </cfRule>
    <cfRule type="expression" dxfId="682" priority="620" stopIfTrue="1">
      <formula>$A1357="Timestep"</formula>
    </cfRule>
  </conditionalFormatting>
  <conditionalFormatting sqref="E1357:E1358">
    <cfRule type="expression" dxfId="681" priority="480" stopIfTrue="1">
      <formula>$A1357="Pipe"</formula>
    </cfRule>
    <cfRule type="expression" dxfId="680" priority="492" stopIfTrue="1">
      <formula>$A1357="Junction"</formula>
    </cfRule>
    <cfRule type="expression" dxfId="679" priority="503" stopIfTrue="1">
      <formula>$A1357="Sngljun"</formula>
    </cfRule>
    <cfRule type="expression" dxfId="678" priority="517" stopIfTrue="1">
      <formula>$A1357="Mtrvlv"</formula>
    </cfRule>
    <cfRule type="expression" dxfId="677" priority="529" stopIfTrue="1">
      <formula>$A1357="Srvvlv"</formula>
    </cfRule>
    <cfRule type="expression" dxfId="676" priority="541" stopIfTrue="1">
      <formula>$A1357="Chkvlv"</formula>
    </cfRule>
    <cfRule type="expression" dxfId="675" priority="553" stopIfTrue="1">
      <formula>$A1357="Inrvlv"</formula>
    </cfRule>
    <cfRule type="expression" dxfId="674" priority="565" stopIfTrue="1">
      <formula>$A1357="Tmdpjun"</formula>
    </cfRule>
    <cfRule type="expression" dxfId="673" priority="577" stopIfTrue="1">
      <formula>$A1357="Pump"</formula>
    </cfRule>
    <cfRule type="expression" dxfId="672" priority="589" stopIfTrue="1">
      <formula>$A1357="Tmdpvol"</formula>
    </cfRule>
    <cfRule type="expression" dxfId="671" priority="601" stopIfTrue="1">
      <formula>$A1357="Snglvol"</formula>
    </cfRule>
    <cfRule type="expression" dxfId="670" priority="621" stopIfTrue="1">
      <formula>$A1357="Timestep"</formula>
    </cfRule>
  </conditionalFormatting>
  <conditionalFormatting sqref="F1357:G1358">
    <cfRule type="expression" dxfId="669" priority="481" stopIfTrue="1">
      <formula>$A1357="Pipe"</formula>
    </cfRule>
    <cfRule type="expression" dxfId="668" priority="493" stopIfTrue="1">
      <formula>$A1357="Junction"</formula>
    </cfRule>
    <cfRule type="expression" dxfId="667" priority="504" stopIfTrue="1">
      <formula>$A1357="Sngljun"</formula>
    </cfRule>
    <cfRule type="expression" dxfId="666" priority="518" stopIfTrue="1">
      <formula>$A1357="Mtrvlv"</formula>
    </cfRule>
    <cfRule type="expression" dxfId="665" priority="530" stopIfTrue="1">
      <formula>$A1357="Srvvlv"</formula>
    </cfRule>
    <cfRule type="expression" dxfId="664" priority="542" stopIfTrue="1">
      <formula>$A1357="Chkvlv"</formula>
    </cfRule>
    <cfRule type="expression" dxfId="663" priority="554" stopIfTrue="1">
      <formula>$A1357="Inrvlv"</formula>
    </cfRule>
    <cfRule type="expression" dxfId="662" priority="566" stopIfTrue="1">
      <formula>$A1357="Tmdpjun"</formula>
    </cfRule>
    <cfRule type="expression" dxfId="661" priority="578" stopIfTrue="1">
      <formula>$A1357="Pump"</formula>
    </cfRule>
    <cfRule type="expression" dxfId="660" priority="590" stopIfTrue="1">
      <formula>$A1357="Tmdpvol"</formula>
    </cfRule>
    <cfRule type="expression" dxfId="659" priority="602" stopIfTrue="1">
      <formula>$A1357="Snglvol"</formula>
    </cfRule>
  </conditionalFormatting>
  <conditionalFormatting sqref="H1357:I1358">
    <cfRule type="expression" dxfId="658" priority="482" stopIfTrue="1">
      <formula>$A1357="Pipe"</formula>
    </cfRule>
    <cfRule type="expression" dxfId="657" priority="494" stopIfTrue="1">
      <formula>$A1357="Junction"</formula>
    </cfRule>
    <cfRule type="expression" dxfId="656" priority="505" stopIfTrue="1">
      <formula>$A1357="Sngljun"</formula>
    </cfRule>
    <cfRule type="expression" dxfId="655" priority="519" stopIfTrue="1">
      <formula>$A1357="Mtrvlv"</formula>
    </cfRule>
    <cfRule type="expression" dxfId="654" priority="531" stopIfTrue="1">
      <formula>$A1357="Srvvlv"</formula>
    </cfRule>
    <cfRule type="expression" dxfId="653" priority="543" stopIfTrue="1">
      <formula>$A1357="Chkvlv"</formula>
    </cfRule>
    <cfRule type="expression" dxfId="652" priority="555" stopIfTrue="1">
      <formula>$A1357="Inrvlv"</formula>
    </cfRule>
    <cfRule type="expression" dxfId="651" priority="567" stopIfTrue="1">
      <formula>$A1357="Tmdpjun"</formula>
    </cfRule>
    <cfRule type="expression" dxfId="650" priority="579" stopIfTrue="1">
      <formula>$A1357="Pump"</formula>
    </cfRule>
    <cfRule type="expression" dxfId="649" priority="591" stopIfTrue="1">
      <formula>$A1357="Tmdpvol"</formula>
    </cfRule>
    <cfRule type="expression" dxfId="648" priority="603" stopIfTrue="1">
      <formula>$A1357="Snglvol"</formula>
    </cfRule>
  </conditionalFormatting>
  <conditionalFormatting sqref="J1357:K1358">
    <cfRule type="expression" dxfId="647" priority="483" stopIfTrue="1">
      <formula>$A1357="Pipe"</formula>
    </cfRule>
    <cfRule type="expression" dxfId="646" priority="495" stopIfTrue="1">
      <formula>$A1357="Junction"</formula>
    </cfRule>
    <cfRule type="expression" dxfId="645" priority="506" stopIfTrue="1">
      <formula>$A1357="Sngljun"</formula>
    </cfRule>
    <cfRule type="expression" dxfId="644" priority="520" stopIfTrue="1">
      <formula>$A1357="Mtrvlv"</formula>
    </cfRule>
    <cfRule type="expression" dxfId="643" priority="532" stopIfTrue="1">
      <formula>$A1357="Srvvlv"</formula>
    </cfRule>
    <cfRule type="expression" dxfId="642" priority="544" stopIfTrue="1">
      <formula>$A1357="Chkvlv"</formula>
    </cfRule>
    <cfRule type="expression" dxfId="641" priority="556" stopIfTrue="1">
      <formula>$A1357="Inrvlv"</formula>
    </cfRule>
    <cfRule type="expression" dxfId="640" priority="568" stopIfTrue="1">
      <formula>$A1357="Tmdpjun"</formula>
    </cfRule>
    <cfRule type="expression" dxfId="639" priority="580" stopIfTrue="1">
      <formula>$A1357="Pump"</formula>
    </cfRule>
    <cfRule type="expression" dxfId="638" priority="592" stopIfTrue="1">
      <formula>$A1357="Tmdpvol"</formula>
    </cfRule>
    <cfRule type="expression" dxfId="637" priority="604" stopIfTrue="1">
      <formula>$A1357="Snglvol"</formula>
    </cfRule>
  </conditionalFormatting>
  <conditionalFormatting sqref="L1357:L1358">
    <cfRule type="expression" dxfId="636" priority="484" stopIfTrue="1">
      <formula>$A1357="Pipe"</formula>
    </cfRule>
    <cfRule type="expression" dxfId="635" priority="496" stopIfTrue="1">
      <formula>$A1357="Junction"</formula>
    </cfRule>
    <cfRule type="expression" dxfId="634" priority="507" stopIfTrue="1">
      <formula>$A1357="Sngljun"</formula>
    </cfRule>
    <cfRule type="expression" dxfId="633" priority="521" stopIfTrue="1">
      <formula>$A1357="Mtrvlv"</formula>
    </cfRule>
    <cfRule type="expression" dxfId="632" priority="533" stopIfTrue="1">
      <formula>$A1357="Srvvlv"</formula>
    </cfRule>
    <cfRule type="expression" dxfId="631" priority="545" stopIfTrue="1">
      <formula>$A1357="Chkvlv"</formula>
    </cfRule>
    <cfRule type="expression" dxfId="630" priority="557" stopIfTrue="1">
      <formula>$A1357="Inrvlv"</formula>
    </cfRule>
    <cfRule type="expression" dxfId="629" priority="569" stopIfTrue="1">
      <formula>$A1357="Tmdpjun"</formula>
    </cfRule>
    <cfRule type="expression" dxfId="628" priority="581" stopIfTrue="1">
      <formula>$A1357="Pump"</formula>
    </cfRule>
    <cfRule type="expression" dxfId="627" priority="593" stopIfTrue="1">
      <formula>$A1357="Tmdpvol"</formula>
    </cfRule>
    <cfRule type="expression" dxfId="626" priority="605" stopIfTrue="1">
      <formula>$A1357="Snglvol"</formula>
    </cfRule>
  </conditionalFormatting>
  <conditionalFormatting sqref="M1357:N1358">
    <cfRule type="expression" dxfId="625" priority="485" stopIfTrue="1">
      <formula>$A1357="Pipe"</formula>
    </cfRule>
    <cfRule type="expression" dxfId="624" priority="497" stopIfTrue="1">
      <formula>$A1357="Junction"</formula>
    </cfRule>
    <cfRule type="expression" dxfId="623" priority="508" stopIfTrue="1">
      <formula>$A1357="Sngljun"</formula>
    </cfRule>
    <cfRule type="expression" dxfId="622" priority="522" stopIfTrue="1">
      <formula>$A1357="Mtrvlv"</formula>
    </cfRule>
    <cfRule type="expression" dxfId="621" priority="534" stopIfTrue="1">
      <formula>$A1357="Srvvlv"</formula>
    </cfRule>
    <cfRule type="expression" dxfId="620" priority="546" stopIfTrue="1">
      <formula>$A1357="Chkvlv"</formula>
    </cfRule>
    <cfRule type="expression" dxfId="619" priority="558" stopIfTrue="1">
      <formula>$A1357="Inrvlv"</formula>
    </cfRule>
    <cfRule type="expression" dxfId="618" priority="570" stopIfTrue="1">
      <formula>$A1357="Tmdpjun"</formula>
    </cfRule>
    <cfRule type="expression" dxfId="617" priority="582" stopIfTrue="1">
      <formula>$A1357="Pump"</formula>
    </cfRule>
    <cfRule type="expression" dxfId="616" priority="594" stopIfTrue="1">
      <formula>$A1357="Tmdpvol"</formula>
    </cfRule>
    <cfRule type="expression" dxfId="615" priority="606" stopIfTrue="1">
      <formula>$A1357="Snglvol"</formula>
    </cfRule>
  </conditionalFormatting>
  <conditionalFormatting sqref="O1357:O1358">
    <cfRule type="expression" dxfId="614" priority="486" stopIfTrue="1">
      <formula>$A1357="Pipe"</formula>
    </cfRule>
    <cfRule type="expression" dxfId="613" priority="523" stopIfTrue="1">
      <formula>$A1357="Mtrvlv"</formula>
    </cfRule>
    <cfRule type="expression" dxfId="612" priority="535" stopIfTrue="1">
      <formula>$A1357="Srvvlv"</formula>
    </cfRule>
    <cfRule type="expression" dxfId="611" priority="547" stopIfTrue="1">
      <formula>$A1357="Chkvlv"</formula>
    </cfRule>
    <cfRule type="expression" dxfId="610" priority="559" stopIfTrue="1">
      <formula>$A1357="Inrvlv"</formula>
    </cfRule>
    <cfRule type="expression" dxfId="609" priority="571" stopIfTrue="1">
      <formula>$A1357="Tmdpjun"</formula>
    </cfRule>
    <cfRule type="expression" dxfId="608" priority="583" stopIfTrue="1">
      <formula>$A1357="Pump"</formula>
    </cfRule>
    <cfRule type="expression" dxfId="607" priority="595" stopIfTrue="1">
      <formula>$A1357="Tmdpvol"</formula>
    </cfRule>
    <cfRule type="expression" dxfId="606" priority="607" stopIfTrue="1">
      <formula>$A1357="Snglvol"</formula>
    </cfRule>
  </conditionalFormatting>
  <conditionalFormatting sqref="P1357:P1358">
    <cfRule type="expression" dxfId="605" priority="487" stopIfTrue="1">
      <formula>$A1357="Pipe"</formula>
    </cfRule>
    <cfRule type="expression" dxfId="604" priority="510" stopIfTrue="1">
      <formula>$A1357="Sngljun"</formula>
    </cfRule>
    <cfRule type="expression" dxfId="603" priority="524" stopIfTrue="1">
      <formula>$A1357="Mtrvlv"</formula>
    </cfRule>
    <cfRule type="expression" dxfId="602" priority="536" stopIfTrue="1">
      <formula>$A1357="Srvvlv"</formula>
    </cfRule>
    <cfRule type="expression" dxfId="601" priority="548" stopIfTrue="1">
      <formula>$A1357="Chkvlv"</formula>
    </cfRule>
    <cfRule type="expression" dxfId="600" priority="560" stopIfTrue="1">
      <formula>$A1357="Inrvlv"</formula>
    </cfRule>
    <cfRule type="expression" dxfId="599" priority="572" stopIfTrue="1">
      <formula>$A1357="Tmdpjun"</formula>
    </cfRule>
    <cfRule type="expression" dxfId="598" priority="584" stopIfTrue="1">
      <formula>$A1357="Pump"</formula>
    </cfRule>
    <cfRule type="expression" dxfId="597" priority="596" stopIfTrue="1">
      <formula>$A1357="Tmdpvol"</formula>
    </cfRule>
    <cfRule type="expression" dxfId="596" priority="608" stopIfTrue="1">
      <formula>$A1357="Snglvol"</formula>
    </cfRule>
  </conditionalFormatting>
  <conditionalFormatting sqref="O1357:O1358">
    <cfRule type="expression" dxfId="595" priority="498" stopIfTrue="1">
      <formula>$A1357="Junction"</formula>
    </cfRule>
    <cfRule type="expression" dxfId="594" priority="509" stopIfTrue="1">
      <formula>$A1357="Sngljun"</formula>
    </cfRule>
  </conditionalFormatting>
  <conditionalFormatting sqref="Q1357:T1358">
    <cfRule type="expression" dxfId="593" priority="511" stopIfTrue="1">
      <formula>$A1357="Sngljun"</formula>
    </cfRule>
  </conditionalFormatting>
  <conditionalFormatting sqref="U1357:V1358 H572:K1201 A572:B1201 U572:V1201 M572:P1201">
    <cfRule type="expression" dxfId="592" priority="512" stopIfTrue="1">
      <formula>$A572="Sngljun"</formula>
    </cfRule>
  </conditionalFormatting>
  <conditionalFormatting sqref="A1202:A1356">
    <cfRule type="expression" dxfId="591" priority="628" stopIfTrue="1">
      <formula>$A1202="Pipe"</formula>
    </cfRule>
    <cfRule type="expression" dxfId="590" priority="650" stopIfTrue="1">
      <formula>$A1202="Junction"</formula>
    </cfRule>
    <cfRule type="expression" dxfId="589" priority="672" stopIfTrue="1">
      <formula>$A1202="Sngljun"</formula>
    </cfRule>
    <cfRule type="expression" dxfId="588" priority="694" stopIfTrue="1">
      <formula>$A1202="Mtrvlv"</formula>
    </cfRule>
    <cfRule type="expression" dxfId="587" priority="716" stopIfTrue="1">
      <formula>$A1202="Srvvlv"</formula>
    </cfRule>
    <cfRule type="expression" dxfId="586" priority="738" stopIfTrue="1">
      <formula>$A1202="Chkvlv"</formula>
    </cfRule>
    <cfRule type="expression" dxfId="585" priority="760" stopIfTrue="1">
      <formula>$A1202="Inrvlv"</formula>
    </cfRule>
    <cfRule type="expression" dxfId="584" priority="782" stopIfTrue="1">
      <formula>$A1202="Tmdpjun"</formula>
    </cfRule>
    <cfRule type="expression" dxfId="583" priority="804" stopIfTrue="1">
      <formula>$A1202="Pump"</formula>
    </cfRule>
    <cfRule type="expression" dxfId="582" priority="826" stopIfTrue="1">
      <formula>$A1202="Tmdpvol"</formula>
    </cfRule>
    <cfRule type="expression" dxfId="581" priority="848" stopIfTrue="1">
      <formula>$A1202="Snglvol"</formula>
    </cfRule>
    <cfRule type="expression" dxfId="580" priority="870" stopIfTrue="1">
      <formula>$A1202="Relapnr"</formula>
    </cfRule>
    <cfRule type="expression" dxfId="579" priority="872" stopIfTrue="1">
      <formula>$A1202="Init"</formula>
    </cfRule>
    <cfRule type="expression" dxfId="578" priority="875" stopIfTrue="1">
      <formula>$A1202="InitGas"</formula>
    </cfRule>
    <cfRule type="expression" dxfId="577" priority="878" stopIfTrue="1">
      <formula>$A1202="Timestep"</formula>
    </cfRule>
    <cfRule type="expression" dxfId="576" priority="883" stopIfTrue="1">
      <formula>$A1202="Replacements"</formula>
    </cfRule>
    <cfRule type="expression" dxfId="575" priority="885" stopIfTrue="1">
      <formula>$A1202="Triggerwords"</formula>
    </cfRule>
    <cfRule type="expression" dxfId="574" priority="887" stopIfTrue="1">
      <formula>$A1202="Custom"</formula>
    </cfRule>
  </conditionalFormatting>
  <conditionalFormatting sqref="B1202:B1356">
    <cfRule type="expression" dxfId="573" priority="629" stopIfTrue="1">
      <formula>$A1202="Pipe"</formula>
    </cfRule>
    <cfRule type="expression" dxfId="572" priority="651" stopIfTrue="1">
      <formula>$A1202="Junction"</formula>
    </cfRule>
    <cfRule type="expression" dxfId="571" priority="673" stopIfTrue="1">
      <formula>$A1202="Sngljun"</formula>
    </cfRule>
    <cfRule type="expression" dxfId="570" priority="695" stopIfTrue="1">
      <formula>$A1202="Mtrvlv"</formula>
    </cfRule>
    <cfRule type="expression" dxfId="569" priority="717" stopIfTrue="1">
      <formula>$A1202="Srvvlv"</formula>
    </cfRule>
    <cfRule type="expression" dxfId="568" priority="739" stopIfTrue="1">
      <formula>$A1202="Chkvlv"</formula>
    </cfRule>
    <cfRule type="expression" dxfId="567" priority="761" stopIfTrue="1">
      <formula>$A1202="Inrvlv"</formula>
    </cfRule>
    <cfRule type="expression" dxfId="566" priority="783" stopIfTrue="1">
      <formula>$A1202="Tmdpjun"</formula>
    </cfRule>
    <cfRule type="expression" dxfId="565" priority="805" stopIfTrue="1">
      <formula>$A1202="Pump"</formula>
    </cfRule>
    <cfRule type="expression" dxfId="564" priority="827" stopIfTrue="1">
      <formula>$A1202="Tmdpvol"</formula>
    </cfRule>
    <cfRule type="expression" dxfId="563" priority="849" stopIfTrue="1">
      <formula>$A1202="Snglvol"</formula>
    </cfRule>
    <cfRule type="expression" dxfId="562" priority="871" stopIfTrue="1">
      <formula>$A1202="Relapnr"</formula>
    </cfRule>
    <cfRule type="expression" dxfId="561" priority="873" stopIfTrue="1">
      <formula>$A1202="Init"</formula>
    </cfRule>
    <cfRule type="expression" dxfId="560" priority="876" stopIfTrue="1">
      <formula>$A1202="InitGas"</formula>
    </cfRule>
    <cfRule type="expression" dxfId="559" priority="879" stopIfTrue="1">
      <formula>$A1202="Timestep"</formula>
    </cfRule>
    <cfRule type="expression" dxfId="558" priority="884" stopIfTrue="1">
      <formula>$A1202="Replacements"</formula>
    </cfRule>
    <cfRule type="expression" dxfId="557" priority="886" stopIfTrue="1">
      <formula>$A1202="Triggerwords"</formula>
    </cfRule>
    <cfRule type="expression" dxfId="556" priority="888" stopIfTrue="1">
      <formula>$A1202="Custom"</formula>
    </cfRule>
  </conditionalFormatting>
  <conditionalFormatting sqref="C1202:C1356">
    <cfRule type="expression" dxfId="555" priority="630" stopIfTrue="1">
      <formula>$A1202="Pipe"</formula>
    </cfRule>
    <cfRule type="expression" dxfId="554" priority="652" stopIfTrue="1">
      <formula>$A1202="Junction"</formula>
    </cfRule>
    <cfRule type="expression" dxfId="553" priority="674" stopIfTrue="1">
      <formula>$A1202="Sngljun"</formula>
    </cfRule>
    <cfRule type="expression" dxfId="552" priority="696" stopIfTrue="1">
      <formula>$A1202="Mtrvlv"</formula>
    </cfRule>
    <cfRule type="expression" dxfId="551" priority="718" stopIfTrue="1">
      <formula>$A1202="Srvvlv"</formula>
    </cfRule>
    <cfRule type="expression" dxfId="550" priority="740" stopIfTrue="1">
      <formula>$A1202="Chkvlv"</formula>
    </cfRule>
    <cfRule type="expression" dxfId="549" priority="762" stopIfTrue="1">
      <formula>$A1202="Inrvlv"</formula>
    </cfRule>
    <cfRule type="expression" dxfId="548" priority="784" stopIfTrue="1">
      <formula>$A1202="Tmdpjun"</formula>
    </cfRule>
    <cfRule type="expression" dxfId="547" priority="806" stopIfTrue="1">
      <formula>$A1202="Pump"</formula>
    </cfRule>
    <cfRule type="expression" dxfId="546" priority="828" stopIfTrue="1">
      <formula>$A1202="Tmdpvol"</formula>
    </cfRule>
    <cfRule type="expression" dxfId="545" priority="850" stopIfTrue="1">
      <formula>$A1202="Snglvol"</formula>
    </cfRule>
    <cfRule type="expression" dxfId="544" priority="874" stopIfTrue="1">
      <formula>$A1202="Init"</formula>
    </cfRule>
    <cfRule type="expression" dxfId="543" priority="877" stopIfTrue="1">
      <formula>$A1202="InitGas"</formula>
    </cfRule>
    <cfRule type="expression" dxfId="542" priority="880" stopIfTrue="1">
      <formula>$A1202="Timestep"</formula>
    </cfRule>
  </conditionalFormatting>
  <conditionalFormatting sqref="D1202:D1356">
    <cfRule type="expression" dxfId="541" priority="631" stopIfTrue="1">
      <formula>$A1202="Pipe"</formula>
    </cfRule>
    <cfRule type="expression" dxfId="540" priority="653" stopIfTrue="1">
      <formula>$A1202="Junction"</formula>
    </cfRule>
    <cfRule type="expression" dxfId="539" priority="675" stopIfTrue="1">
      <formula>$A1202="Sngljun"</formula>
    </cfRule>
    <cfRule type="expression" dxfId="538" priority="697" stopIfTrue="1">
      <formula>$A1202="Mtrvlv"</formula>
    </cfRule>
    <cfRule type="expression" dxfId="537" priority="719" stopIfTrue="1">
      <formula>$A1202="Srvvlv"</formula>
    </cfRule>
    <cfRule type="expression" dxfId="536" priority="741" stopIfTrue="1">
      <formula>$A1202="Chkvlv"</formula>
    </cfRule>
    <cfRule type="expression" dxfId="535" priority="763" stopIfTrue="1">
      <formula>$A1202="Inrvlv"</formula>
    </cfRule>
    <cfRule type="expression" dxfId="534" priority="785" stopIfTrue="1">
      <formula>$A1202="Tmdpjun"</formula>
    </cfRule>
    <cfRule type="expression" dxfId="533" priority="807" stopIfTrue="1">
      <formula>$A1202="Pump"</formula>
    </cfRule>
    <cfRule type="expression" dxfId="532" priority="829" stopIfTrue="1">
      <formula>$A1202="Tmdpvol"</formula>
    </cfRule>
    <cfRule type="expression" dxfId="531" priority="851" stopIfTrue="1">
      <formula>$A1202="Snglvol"</formula>
    </cfRule>
    <cfRule type="expression" dxfId="530" priority="881" stopIfTrue="1">
      <formula>$A1202="Timestep"</formula>
    </cfRule>
  </conditionalFormatting>
  <conditionalFormatting sqref="E1202:E1356">
    <cfRule type="expression" dxfId="529" priority="632" stopIfTrue="1">
      <formula>$A1202="Pipe"</formula>
    </cfRule>
    <cfRule type="expression" dxfId="528" priority="654" stopIfTrue="1">
      <formula>$A1202="Junction"</formula>
    </cfRule>
    <cfRule type="expression" dxfId="527" priority="676" stopIfTrue="1">
      <formula>$A1202="Sngljun"</formula>
    </cfRule>
    <cfRule type="expression" dxfId="526" priority="698" stopIfTrue="1">
      <formula>$A1202="Mtrvlv"</formula>
    </cfRule>
    <cfRule type="expression" dxfId="525" priority="720" stopIfTrue="1">
      <formula>$A1202="Srvvlv"</formula>
    </cfRule>
    <cfRule type="expression" dxfId="524" priority="742" stopIfTrue="1">
      <formula>$A1202="Chkvlv"</formula>
    </cfRule>
    <cfRule type="expression" dxfId="523" priority="764" stopIfTrue="1">
      <formula>$A1202="Inrvlv"</formula>
    </cfRule>
    <cfRule type="expression" dxfId="522" priority="786" stopIfTrue="1">
      <formula>$A1202="Tmdpjun"</formula>
    </cfRule>
    <cfRule type="expression" dxfId="521" priority="808" stopIfTrue="1">
      <formula>$A1202="Pump"</formula>
    </cfRule>
    <cfRule type="expression" dxfId="520" priority="830" stopIfTrue="1">
      <formula>$A1202="Tmdpvol"</formula>
    </cfRule>
    <cfRule type="expression" dxfId="519" priority="852" stopIfTrue="1">
      <formula>$A1202="Snglvol"</formula>
    </cfRule>
    <cfRule type="expression" dxfId="518" priority="882" stopIfTrue="1">
      <formula>$A1202="Timestep"</formula>
    </cfRule>
  </conditionalFormatting>
  <conditionalFormatting sqref="F1202:F1356">
    <cfRule type="expression" dxfId="517" priority="633" stopIfTrue="1">
      <formula>$A1202="Pipe"</formula>
    </cfRule>
    <cfRule type="expression" dxfId="516" priority="655" stopIfTrue="1">
      <formula>$A1202="Junction"</formula>
    </cfRule>
    <cfRule type="expression" dxfId="515" priority="677" stopIfTrue="1">
      <formula>$A1202="Sngljun"</formula>
    </cfRule>
    <cfRule type="expression" dxfId="514" priority="699" stopIfTrue="1">
      <formula>$A1202="Mtrvlv"</formula>
    </cfRule>
    <cfRule type="expression" dxfId="513" priority="721" stopIfTrue="1">
      <formula>$A1202="Srvvlv"</formula>
    </cfRule>
    <cfRule type="expression" dxfId="512" priority="743" stopIfTrue="1">
      <formula>$A1202="Chkvlv"</formula>
    </cfRule>
    <cfRule type="expression" dxfId="511" priority="765" stopIfTrue="1">
      <formula>$A1202="Inrvlv"</formula>
    </cfRule>
    <cfRule type="expression" dxfId="510" priority="787" stopIfTrue="1">
      <formula>$A1202="Tmdpjun"</formula>
    </cfRule>
    <cfRule type="expression" dxfId="509" priority="809" stopIfTrue="1">
      <formula>$A1202="Pump"</formula>
    </cfRule>
    <cfRule type="expression" dxfId="508" priority="831" stopIfTrue="1">
      <formula>$A1202="Tmdpvol"</formula>
    </cfRule>
    <cfRule type="expression" dxfId="507" priority="853" stopIfTrue="1">
      <formula>$A1202="Snglvol"</formula>
    </cfRule>
  </conditionalFormatting>
  <conditionalFormatting sqref="G1202:G1356">
    <cfRule type="expression" dxfId="506" priority="634" stopIfTrue="1">
      <formula>$A1202="Pipe"</formula>
    </cfRule>
    <cfRule type="expression" dxfId="505" priority="656" stopIfTrue="1">
      <formula>$A1202="Junction"</formula>
    </cfRule>
    <cfRule type="expression" dxfId="504" priority="678" stopIfTrue="1">
      <formula>$A1202="Sngljun"</formula>
    </cfRule>
    <cfRule type="expression" dxfId="503" priority="700" stopIfTrue="1">
      <formula>$A1202="Mtrvlv"</formula>
    </cfRule>
    <cfRule type="expression" dxfId="502" priority="722" stopIfTrue="1">
      <formula>$A1202="Srvvlv"</formula>
    </cfRule>
    <cfRule type="expression" dxfId="501" priority="744" stopIfTrue="1">
      <formula>$A1202="Chkvlv"</formula>
    </cfRule>
    <cfRule type="expression" dxfId="500" priority="766" stopIfTrue="1">
      <formula>$A1202="Inrvlv"</formula>
    </cfRule>
    <cfRule type="expression" dxfId="499" priority="788" stopIfTrue="1">
      <formula>$A1202="Tmdpjun"</formula>
    </cfRule>
    <cfRule type="expression" dxfId="498" priority="810" stopIfTrue="1">
      <formula>$A1202="Pump"</formula>
    </cfRule>
    <cfRule type="expression" dxfId="497" priority="832" stopIfTrue="1">
      <formula>$A1202="Tmdpvol"</formula>
    </cfRule>
    <cfRule type="expression" dxfId="496" priority="854" stopIfTrue="1">
      <formula>$A1202="Snglvol"</formula>
    </cfRule>
  </conditionalFormatting>
  <conditionalFormatting sqref="H1202:H1356">
    <cfRule type="expression" dxfId="495" priority="635" stopIfTrue="1">
      <formula>$A1202="Pipe"</formula>
    </cfRule>
    <cfRule type="expression" dxfId="494" priority="657" stopIfTrue="1">
      <formula>$A1202="Junction"</formula>
    </cfRule>
    <cfRule type="expression" dxfId="493" priority="679" stopIfTrue="1">
      <formula>$A1202="Sngljun"</formula>
    </cfRule>
    <cfRule type="expression" dxfId="492" priority="701" stopIfTrue="1">
      <formula>$A1202="Mtrvlv"</formula>
    </cfRule>
    <cfRule type="expression" dxfId="491" priority="723" stopIfTrue="1">
      <formula>$A1202="Srvvlv"</formula>
    </cfRule>
    <cfRule type="expression" dxfId="490" priority="745" stopIfTrue="1">
      <formula>$A1202="Chkvlv"</formula>
    </cfRule>
    <cfRule type="expression" dxfId="489" priority="767" stopIfTrue="1">
      <formula>$A1202="Inrvlv"</formula>
    </cfRule>
    <cfRule type="expression" dxfId="488" priority="789" stopIfTrue="1">
      <formula>$A1202="Tmdpjun"</formula>
    </cfRule>
    <cfRule type="expression" dxfId="487" priority="811" stopIfTrue="1">
      <formula>$A1202="Pump"</formula>
    </cfRule>
    <cfRule type="expression" dxfId="486" priority="833" stopIfTrue="1">
      <formula>$A1202="Tmdpvol"</formula>
    </cfRule>
    <cfRule type="expression" dxfId="485" priority="855" stopIfTrue="1">
      <formula>$A1202="Snglvol"</formula>
    </cfRule>
  </conditionalFormatting>
  <conditionalFormatting sqref="I1202:I1356">
    <cfRule type="expression" dxfId="484" priority="636" stopIfTrue="1">
      <formula>$A1202="Pipe"</formula>
    </cfRule>
    <cfRule type="expression" dxfId="483" priority="658" stopIfTrue="1">
      <formula>$A1202="Junction"</formula>
    </cfRule>
    <cfRule type="expression" dxfId="482" priority="680" stopIfTrue="1">
      <formula>$A1202="Sngljun"</formula>
    </cfRule>
    <cfRule type="expression" dxfId="481" priority="702" stopIfTrue="1">
      <formula>$A1202="Mtrvlv"</formula>
    </cfRule>
    <cfRule type="expression" dxfId="480" priority="724" stopIfTrue="1">
      <formula>$A1202="Srvvlv"</formula>
    </cfRule>
    <cfRule type="expression" dxfId="479" priority="746" stopIfTrue="1">
      <formula>$A1202="Chkvlv"</formula>
    </cfRule>
    <cfRule type="expression" dxfId="478" priority="768" stopIfTrue="1">
      <formula>$A1202="Inrvlv"</formula>
    </cfRule>
    <cfRule type="expression" dxfId="477" priority="790" stopIfTrue="1">
      <formula>$A1202="Tmdpjun"</formula>
    </cfRule>
    <cfRule type="expression" dxfId="476" priority="812" stopIfTrue="1">
      <formula>$A1202="Pump"</formula>
    </cfRule>
    <cfRule type="expression" dxfId="475" priority="834" stopIfTrue="1">
      <formula>$A1202="Tmdpvol"</formula>
    </cfRule>
    <cfRule type="expression" dxfId="474" priority="856" stopIfTrue="1">
      <formula>$A1202="Snglvol"</formula>
    </cfRule>
  </conditionalFormatting>
  <conditionalFormatting sqref="J1202:J1356">
    <cfRule type="expression" dxfId="473" priority="637" stopIfTrue="1">
      <formula>$A1202="Pipe"</formula>
    </cfRule>
    <cfRule type="expression" dxfId="472" priority="659" stopIfTrue="1">
      <formula>$A1202="Junction"</formula>
    </cfRule>
    <cfRule type="expression" dxfId="471" priority="681" stopIfTrue="1">
      <formula>$A1202="Sngljun"</formula>
    </cfRule>
    <cfRule type="expression" dxfId="470" priority="703" stopIfTrue="1">
      <formula>$A1202="Mtrvlv"</formula>
    </cfRule>
    <cfRule type="expression" dxfId="469" priority="725" stopIfTrue="1">
      <formula>$A1202="Srvvlv"</formula>
    </cfRule>
    <cfRule type="expression" dxfId="468" priority="747" stopIfTrue="1">
      <formula>$A1202="Chkvlv"</formula>
    </cfRule>
    <cfRule type="expression" dxfId="467" priority="769" stopIfTrue="1">
      <formula>$A1202="Inrvlv"</formula>
    </cfRule>
    <cfRule type="expression" dxfId="466" priority="791" stopIfTrue="1">
      <formula>$A1202="Tmdpjun"</formula>
    </cfRule>
    <cfRule type="expression" dxfId="465" priority="813" stopIfTrue="1">
      <formula>$A1202="Pump"</formula>
    </cfRule>
    <cfRule type="expression" dxfId="464" priority="835" stopIfTrue="1">
      <formula>$A1202="Tmdpvol"</formula>
    </cfRule>
    <cfRule type="expression" dxfId="463" priority="857" stopIfTrue="1">
      <formula>$A1202="Snglvol"</formula>
    </cfRule>
  </conditionalFormatting>
  <conditionalFormatting sqref="K1202:K1356">
    <cfRule type="expression" dxfId="462" priority="638" stopIfTrue="1">
      <formula>$A1202="Pipe"</formula>
    </cfRule>
    <cfRule type="expression" dxfId="461" priority="660" stopIfTrue="1">
      <formula>$A1202="Junction"</formula>
    </cfRule>
    <cfRule type="expression" dxfId="460" priority="682" stopIfTrue="1">
      <formula>$A1202="Sngljun"</formula>
    </cfRule>
    <cfRule type="expression" dxfId="459" priority="704" stopIfTrue="1">
      <formula>$A1202="Mtrvlv"</formula>
    </cfRule>
    <cfRule type="expression" dxfId="458" priority="726" stopIfTrue="1">
      <formula>$A1202="Srvvlv"</formula>
    </cfRule>
    <cfRule type="expression" dxfId="457" priority="748" stopIfTrue="1">
      <formula>$A1202="Chkvlv"</formula>
    </cfRule>
    <cfRule type="expression" dxfId="456" priority="770" stopIfTrue="1">
      <formula>$A1202="Inrvlv"</formula>
    </cfRule>
    <cfRule type="expression" dxfId="455" priority="792" stopIfTrue="1">
      <formula>$A1202="Tmdpjun"</formula>
    </cfRule>
    <cfRule type="expression" dxfId="454" priority="814" stopIfTrue="1">
      <formula>$A1202="Pump"</formula>
    </cfRule>
    <cfRule type="expression" dxfId="453" priority="836" stopIfTrue="1">
      <formula>$A1202="Tmdpvol"</formula>
    </cfRule>
    <cfRule type="expression" dxfId="452" priority="858" stopIfTrue="1">
      <formula>$A1202="Snglvol"</formula>
    </cfRule>
  </conditionalFormatting>
  <conditionalFormatting sqref="L1202:L1356">
    <cfRule type="expression" dxfId="451" priority="639" stopIfTrue="1">
      <formula>$A1202="Pipe"</formula>
    </cfRule>
    <cfRule type="expression" dxfId="450" priority="661" stopIfTrue="1">
      <formula>$A1202="Junction"</formula>
    </cfRule>
    <cfRule type="expression" dxfId="449" priority="683" stopIfTrue="1">
      <formula>$A1202="Sngljun"</formula>
    </cfRule>
    <cfRule type="expression" dxfId="448" priority="705" stopIfTrue="1">
      <formula>$A1202="Mtrvlv"</formula>
    </cfRule>
    <cfRule type="expression" dxfId="447" priority="727" stopIfTrue="1">
      <formula>$A1202="Srvvlv"</formula>
    </cfRule>
    <cfRule type="expression" dxfId="446" priority="749" stopIfTrue="1">
      <formula>$A1202="Chkvlv"</formula>
    </cfRule>
    <cfRule type="expression" dxfId="445" priority="771" stopIfTrue="1">
      <formula>$A1202="Inrvlv"</formula>
    </cfRule>
    <cfRule type="expression" dxfId="444" priority="837" stopIfTrue="1">
      <formula>$A1202="Tmdpvol"</formula>
    </cfRule>
  </conditionalFormatting>
  <conditionalFormatting sqref="M1202:M1356">
    <cfRule type="expression" dxfId="443" priority="640" stopIfTrue="1">
      <formula>$A1202="Pipe"</formula>
    </cfRule>
    <cfRule type="expression" dxfId="442" priority="662" stopIfTrue="1">
      <formula>$A1202="Junction"</formula>
    </cfRule>
    <cfRule type="expression" dxfId="441" priority="684" stopIfTrue="1">
      <formula>$A1202="Sngljun"</formula>
    </cfRule>
    <cfRule type="expression" dxfId="440" priority="706" stopIfTrue="1">
      <formula>$A1202="Mtrvlv"</formula>
    </cfRule>
    <cfRule type="expression" dxfId="439" priority="728" stopIfTrue="1">
      <formula>$A1202="Srvvlv"</formula>
    </cfRule>
    <cfRule type="expression" dxfId="438" priority="750" stopIfTrue="1">
      <formula>$A1202="Chkvlv"</formula>
    </cfRule>
  </conditionalFormatting>
  <conditionalFormatting sqref="N1202:N1356">
    <cfRule type="expression" dxfId="437" priority="641" stopIfTrue="1">
      <formula>$A1202="Pipe"</formula>
    </cfRule>
    <cfRule type="expression" dxfId="436" priority="663" stopIfTrue="1">
      <formula>$A1202="Junction"</formula>
    </cfRule>
    <cfRule type="expression" dxfId="435" priority="685" stopIfTrue="1">
      <formula>$A1202="Sngljun"</formula>
    </cfRule>
    <cfRule type="expression" dxfId="434" priority="707" stopIfTrue="1">
      <formula>$A1202="Mtrvlv"</formula>
    </cfRule>
    <cfRule type="expression" dxfId="433" priority="729" stopIfTrue="1">
      <formula>$A1202="Srvvlv"</formula>
    </cfRule>
  </conditionalFormatting>
  <conditionalFormatting sqref="O1202:O1356">
    <cfRule type="expression" dxfId="432" priority="642" stopIfTrue="1">
      <formula>$A1202="Pipe"</formula>
    </cfRule>
    <cfRule type="expression" dxfId="431" priority="664" stopIfTrue="1">
      <formula>$A1202="Junction"</formula>
    </cfRule>
    <cfRule type="expression" dxfId="430" priority="686" stopIfTrue="1">
      <formula>$A1202="Sngljun"</formula>
    </cfRule>
    <cfRule type="expression" dxfId="429" priority="708" stopIfTrue="1">
      <formula>$A1202="Mtrvlv"</formula>
    </cfRule>
  </conditionalFormatting>
  <conditionalFormatting sqref="P1202:P1356">
    <cfRule type="expression" dxfId="428" priority="643" stopIfTrue="1">
      <formula>$A1202="Pipe"</formula>
    </cfRule>
    <cfRule type="expression" dxfId="427" priority="665" stopIfTrue="1">
      <formula>$A1202="Junction"</formula>
    </cfRule>
    <cfRule type="expression" dxfId="426" priority="687" stopIfTrue="1">
      <formula>$A1202="Sngljun"</formula>
    </cfRule>
  </conditionalFormatting>
  <conditionalFormatting sqref="Q1202:Q1356">
    <cfRule type="expression" dxfId="425" priority="644" stopIfTrue="1">
      <formula>$A1202="Pipe"</formula>
    </cfRule>
    <cfRule type="expression" dxfId="424" priority="666" stopIfTrue="1">
      <formula>$A1202="Junction"</formula>
    </cfRule>
  </conditionalFormatting>
  <conditionalFormatting sqref="R1202:R1356">
    <cfRule type="expression" dxfId="423" priority="645" stopIfTrue="1">
      <formula>$A1202="Pipe"</formula>
    </cfRule>
  </conditionalFormatting>
  <conditionalFormatting sqref="S1202:S1356">
    <cfRule type="expression" dxfId="422" priority="646" stopIfTrue="1">
      <formula>$A1202="Pipe"</formula>
    </cfRule>
  </conditionalFormatting>
  <conditionalFormatting sqref="T1202:T1356">
    <cfRule type="expression" dxfId="421" priority="647" stopIfTrue="1">
      <formula>$A1202="Pipe"</formula>
    </cfRule>
  </conditionalFormatting>
  <conditionalFormatting sqref="U1202:U1356">
    <cfRule type="expression" dxfId="420" priority="648" stopIfTrue="1">
      <formula>$A1202="Pipe"</formula>
    </cfRule>
  </conditionalFormatting>
  <conditionalFormatting sqref="V1202:V1356">
    <cfRule type="expression" dxfId="419" priority="649" stopIfTrue="1">
      <formula>$A1202="Pipe"</formula>
    </cfRule>
  </conditionalFormatting>
  <conditionalFormatting sqref="R1202:R1356">
    <cfRule type="expression" dxfId="418" priority="667" stopIfTrue="1">
      <formula>$A1202="Junction"</formula>
    </cfRule>
  </conditionalFormatting>
  <conditionalFormatting sqref="S1202:S1356">
    <cfRule type="expression" dxfId="417" priority="668" stopIfTrue="1">
      <formula>$A1202="Junction"</formula>
    </cfRule>
  </conditionalFormatting>
  <conditionalFormatting sqref="T1202:T1356">
    <cfRule type="expression" dxfId="416" priority="669" stopIfTrue="1">
      <formula>$A1202="Junction"</formula>
    </cfRule>
  </conditionalFormatting>
  <conditionalFormatting sqref="U1202:U1356">
    <cfRule type="expression" dxfId="415" priority="670" stopIfTrue="1">
      <formula>$A1202="Junction"</formula>
    </cfRule>
  </conditionalFormatting>
  <conditionalFormatting sqref="V1202:V1356">
    <cfRule type="expression" dxfId="414" priority="671" stopIfTrue="1">
      <formula>$A1202="Junction"</formula>
    </cfRule>
  </conditionalFormatting>
  <conditionalFormatting sqref="Q1202:Q1356">
    <cfRule type="expression" dxfId="413" priority="688" stopIfTrue="1">
      <formula>$A1202="Sngljun"</formula>
    </cfRule>
  </conditionalFormatting>
  <conditionalFormatting sqref="R1202:R1356">
    <cfRule type="expression" dxfId="412" priority="689" stopIfTrue="1">
      <formula>$A1202="Sngljun"</formula>
    </cfRule>
  </conditionalFormatting>
  <conditionalFormatting sqref="S1202:S1356">
    <cfRule type="expression" dxfId="411" priority="690" stopIfTrue="1">
      <formula>$A1202="Sngljun"</formula>
    </cfRule>
  </conditionalFormatting>
  <conditionalFormatting sqref="T1202:T1356">
    <cfRule type="expression" dxfId="410" priority="691" stopIfTrue="1">
      <formula>$A1202="Sngljun"</formula>
    </cfRule>
  </conditionalFormatting>
  <conditionalFormatting sqref="U1202:U1356">
    <cfRule type="expression" dxfId="409" priority="692" stopIfTrue="1">
      <formula>$A1202="Sngljun"</formula>
    </cfRule>
  </conditionalFormatting>
  <conditionalFormatting sqref="V1202:V1356">
    <cfRule type="expression" dxfId="408" priority="693" stopIfTrue="1">
      <formula>$A1202="Sngljun"</formula>
    </cfRule>
  </conditionalFormatting>
  <conditionalFormatting sqref="P1202:P1356">
    <cfRule type="expression" dxfId="407" priority="709" stopIfTrue="1">
      <formula>$A1202="Mtrvlv"</formula>
    </cfRule>
  </conditionalFormatting>
  <conditionalFormatting sqref="Q1202:Q1356">
    <cfRule type="expression" dxfId="406" priority="710" stopIfTrue="1">
      <formula>$A1202="Mtrvlv"</formula>
    </cfRule>
  </conditionalFormatting>
  <conditionalFormatting sqref="R1202:R1356">
    <cfRule type="expression" dxfId="405" priority="711" stopIfTrue="1">
      <formula>$A1202="Mtrvlv"</formula>
    </cfRule>
  </conditionalFormatting>
  <conditionalFormatting sqref="S1202:S1356">
    <cfRule type="expression" dxfId="404" priority="712" stopIfTrue="1">
      <formula>$A1202="Mtrvlv"</formula>
    </cfRule>
  </conditionalFormatting>
  <conditionalFormatting sqref="T1202:T1356">
    <cfRule type="expression" dxfId="403" priority="713" stopIfTrue="1">
      <formula>$A1202="Mtrvlv"</formula>
    </cfRule>
  </conditionalFormatting>
  <conditionalFormatting sqref="U1202:U1356">
    <cfRule type="expression" dxfId="402" priority="714" stopIfTrue="1">
      <formula>$A1202="Mtrvlv"</formula>
    </cfRule>
  </conditionalFormatting>
  <conditionalFormatting sqref="V1202:V1356">
    <cfRule type="expression" dxfId="401" priority="715" stopIfTrue="1">
      <formula>$A1202="Mtrvlv"</formula>
    </cfRule>
  </conditionalFormatting>
  <conditionalFormatting sqref="O1202:O1356">
    <cfRule type="expression" dxfId="400" priority="730" stopIfTrue="1">
      <formula>$A1202="Srvvlv"</formula>
    </cfRule>
  </conditionalFormatting>
  <conditionalFormatting sqref="P1202:P1356">
    <cfRule type="expression" dxfId="399" priority="731" stopIfTrue="1">
      <formula>$A1202="Srvvlv"</formula>
    </cfRule>
  </conditionalFormatting>
  <conditionalFormatting sqref="Q1202:Q1356">
    <cfRule type="expression" dxfId="398" priority="732" stopIfTrue="1">
      <formula>$A1202="Srvvlv"</formula>
    </cfRule>
  </conditionalFormatting>
  <conditionalFormatting sqref="R1202:R1356">
    <cfRule type="expression" dxfId="397" priority="733" stopIfTrue="1">
      <formula>$A1202="Srvvlv"</formula>
    </cfRule>
  </conditionalFormatting>
  <conditionalFormatting sqref="S1202:S1356">
    <cfRule type="expression" dxfId="396" priority="734" stopIfTrue="1">
      <formula>$A1202="Srvvlv"</formula>
    </cfRule>
  </conditionalFormatting>
  <conditionalFormatting sqref="T1202:T1356">
    <cfRule type="expression" dxfId="395" priority="735" stopIfTrue="1">
      <formula>$A1202="Srvvlv"</formula>
    </cfRule>
  </conditionalFormatting>
  <conditionalFormatting sqref="U1202:U1356">
    <cfRule type="expression" dxfId="394" priority="736" stopIfTrue="1">
      <formula>$A1202="Srvvlv"</formula>
    </cfRule>
  </conditionalFormatting>
  <conditionalFormatting sqref="V1202:V1356">
    <cfRule type="expression" dxfId="393" priority="737" stopIfTrue="1">
      <formula>$A1202="Srvvlv"</formula>
    </cfRule>
  </conditionalFormatting>
  <conditionalFormatting sqref="N1202:N1356">
    <cfRule type="expression" dxfId="392" priority="751" stopIfTrue="1">
      <formula>$A1202="Chkvlv"</formula>
    </cfRule>
  </conditionalFormatting>
  <conditionalFormatting sqref="O1202:O1356">
    <cfRule type="expression" dxfId="391" priority="752" stopIfTrue="1">
      <formula>$A1202="Chkvlv"</formula>
    </cfRule>
  </conditionalFormatting>
  <conditionalFormatting sqref="P1202:P1356">
    <cfRule type="expression" dxfId="390" priority="753" stopIfTrue="1">
      <formula>$A1202="Chkvlv"</formula>
    </cfRule>
  </conditionalFormatting>
  <conditionalFormatting sqref="Q1202:Q1356">
    <cfRule type="expression" dxfId="389" priority="754" stopIfTrue="1">
      <formula>$A1202="Chkvlv"</formula>
    </cfRule>
  </conditionalFormatting>
  <conditionalFormatting sqref="R1202:R1356">
    <cfRule type="expression" dxfId="388" priority="755" stopIfTrue="1">
      <formula>$A1202="Chkvlv"</formula>
    </cfRule>
  </conditionalFormatting>
  <conditionalFormatting sqref="S1202:S1356">
    <cfRule type="expression" dxfId="387" priority="756" stopIfTrue="1">
      <formula>$A1202="Chkvlv"</formula>
    </cfRule>
  </conditionalFormatting>
  <conditionalFormatting sqref="T1202:T1356">
    <cfRule type="expression" dxfId="386" priority="757" stopIfTrue="1">
      <formula>$A1202="Chkvlv"</formula>
    </cfRule>
  </conditionalFormatting>
  <conditionalFormatting sqref="U1202:U1356">
    <cfRule type="expression" dxfId="385" priority="758" stopIfTrue="1">
      <formula>$A1202="Chkvlv"</formula>
    </cfRule>
  </conditionalFormatting>
  <conditionalFormatting sqref="V1202:V1356">
    <cfRule type="expression" dxfId="384" priority="759" stopIfTrue="1">
      <formula>$A1202="Chkvlv"</formula>
    </cfRule>
  </conditionalFormatting>
  <conditionalFormatting sqref="M1202:M1356">
    <cfRule type="expression" dxfId="383" priority="772" stopIfTrue="1">
      <formula>$A1202="Inrvlv"</formula>
    </cfRule>
    <cfRule type="expression" dxfId="382" priority="838" stopIfTrue="1">
      <formula>$A1202="Tmdpvol"</formula>
    </cfRule>
    <cfRule type="expression" dxfId="381" priority="860" stopIfTrue="1">
      <formula>$A1202="Snglvol"</formula>
    </cfRule>
  </conditionalFormatting>
  <conditionalFormatting sqref="N1202:N1356">
    <cfRule type="expression" dxfId="380" priority="773" stopIfTrue="1">
      <formula>$A1202="Inrvlv"</formula>
    </cfRule>
  </conditionalFormatting>
  <conditionalFormatting sqref="O1202:O1356">
    <cfRule type="expression" dxfId="379" priority="774" stopIfTrue="1">
      <formula>$A1202="Inrvlv"</formula>
    </cfRule>
  </conditionalFormatting>
  <conditionalFormatting sqref="P1202:P1356">
    <cfRule type="expression" dxfId="378" priority="775" stopIfTrue="1">
      <formula>$A1202="Inrvlv"</formula>
    </cfRule>
  </conditionalFormatting>
  <conditionalFormatting sqref="Q1202:Q1356">
    <cfRule type="expression" dxfId="377" priority="776" stopIfTrue="1">
      <formula>$A1202="Inrvlv"</formula>
    </cfRule>
  </conditionalFormatting>
  <conditionalFormatting sqref="R1202:R1356">
    <cfRule type="expression" dxfId="376" priority="777" stopIfTrue="1">
      <formula>$A1202="Inrvlv"</formula>
    </cfRule>
  </conditionalFormatting>
  <conditionalFormatting sqref="S1202:S1356">
    <cfRule type="expression" dxfId="375" priority="778" stopIfTrue="1">
      <formula>$A1202="Inrvlv"</formula>
    </cfRule>
  </conditionalFormatting>
  <conditionalFormatting sqref="T1202:T1356">
    <cfRule type="expression" dxfId="374" priority="779" stopIfTrue="1">
      <formula>$A1202="Inrvlv"</formula>
    </cfRule>
  </conditionalFormatting>
  <conditionalFormatting sqref="U1202:U1356">
    <cfRule type="expression" dxfId="373" priority="780" stopIfTrue="1">
      <formula>$A1202="Inrvlv"</formula>
    </cfRule>
  </conditionalFormatting>
  <conditionalFormatting sqref="V1202:V1356">
    <cfRule type="expression" dxfId="372" priority="781" stopIfTrue="1">
      <formula>$A1202="Inrvlv"</formula>
    </cfRule>
  </conditionalFormatting>
  <conditionalFormatting sqref="L1202:L1356">
    <cfRule type="expression" dxfId="371" priority="793" stopIfTrue="1">
      <formula>$A1202="Tmdpjun"</formula>
    </cfRule>
    <cfRule type="expression" dxfId="370" priority="859" stopIfTrue="1">
      <formula>$A1202="Snglvol"</formula>
    </cfRule>
  </conditionalFormatting>
  <conditionalFormatting sqref="M1202:M1356">
    <cfRule type="expression" dxfId="369" priority="794" stopIfTrue="1">
      <formula>$A1202="Tmdpjun"</formula>
    </cfRule>
  </conditionalFormatting>
  <conditionalFormatting sqref="N1202:N1356">
    <cfRule type="expression" dxfId="368" priority="795" stopIfTrue="1">
      <formula>$A1202="Tmdpjun"</formula>
    </cfRule>
  </conditionalFormatting>
  <conditionalFormatting sqref="O1202:O1356">
    <cfRule type="expression" dxfId="367" priority="796" stopIfTrue="1">
      <formula>$A1202="Tmdpjun"</formula>
    </cfRule>
  </conditionalFormatting>
  <conditionalFormatting sqref="P1202:P1356">
    <cfRule type="expression" dxfId="366" priority="797" stopIfTrue="1">
      <formula>$A1202="Tmdpjun"</formula>
    </cfRule>
  </conditionalFormatting>
  <conditionalFormatting sqref="Q1202:Q1356">
    <cfRule type="expression" dxfId="365" priority="798" stopIfTrue="1">
      <formula>$A1202="Tmdpjun"</formula>
    </cfRule>
  </conditionalFormatting>
  <conditionalFormatting sqref="R1202:R1356">
    <cfRule type="expression" dxfId="364" priority="799" stopIfTrue="1">
      <formula>$A1202="Tmdpjun"</formula>
    </cfRule>
  </conditionalFormatting>
  <conditionalFormatting sqref="S1202:S1356">
    <cfRule type="expression" dxfId="363" priority="800" stopIfTrue="1">
      <formula>$A1202="Tmdpjun"</formula>
    </cfRule>
  </conditionalFormatting>
  <conditionalFormatting sqref="T1202:T1356">
    <cfRule type="expression" dxfId="362" priority="801" stopIfTrue="1">
      <formula>$A1202="Tmdpjun"</formula>
    </cfRule>
  </conditionalFormatting>
  <conditionalFormatting sqref="U1202:U1356">
    <cfRule type="expression" dxfId="361" priority="802" stopIfTrue="1">
      <formula>$A1202="Tmdpjun"</formula>
    </cfRule>
  </conditionalFormatting>
  <conditionalFormatting sqref="V1202:V1356">
    <cfRule type="expression" dxfId="360" priority="803" stopIfTrue="1">
      <formula>$A1202="Tmdpjun"</formula>
    </cfRule>
  </conditionalFormatting>
  <conditionalFormatting sqref="L1202:L1356">
    <cfRule type="expression" dxfId="359" priority="815" stopIfTrue="1">
      <formula>$A1202="Pump"</formula>
    </cfRule>
  </conditionalFormatting>
  <conditionalFormatting sqref="M1202:M1356">
    <cfRule type="expression" dxfId="358" priority="816" stopIfTrue="1">
      <formula>$A1202="Pump"</formula>
    </cfRule>
  </conditionalFormatting>
  <conditionalFormatting sqref="N1202:N1356">
    <cfRule type="expression" dxfId="357" priority="817" stopIfTrue="1">
      <formula>$A1202="Pump"</formula>
    </cfRule>
  </conditionalFormatting>
  <conditionalFormatting sqref="O1202:O1356">
    <cfRule type="expression" dxfId="356" priority="818" stopIfTrue="1">
      <formula>$A1202="Pump"</formula>
    </cfRule>
  </conditionalFormatting>
  <conditionalFormatting sqref="P1202:P1356">
    <cfRule type="expression" dxfId="355" priority="819" stopIfTrue="1">
      <formula>$A1202="Pump"</formula>
    </cfRule>
  </conditionalFormatting>
  <conditionalFormatting sqref="Q1202:Q1356">
    <cfRule type="expression" dxfId="354" priority="820" stopIfTrue="1">
      <formula>$A1202="Pump"</formula>
    </cfRule>
  </conditionalFormatting>
  <conditionalFormatting sqref="R1202:R1356">
    <cfRule type="expression" dxfId="353" priority="821" stopIfTrue="1">
      <formula>$A1202="Pump"</formula>
    </cfRule>
  </conditionalFormatting>
  <conditionalFormatting sqref="S1202:S1356">
    <cfRule type="expression" dxfId="352" priority="822" stopIfTrue="1">
      <formula>$A1202="Pump"</formula>
    </cfRule>
  </conditionalFormatting>
  <conditionalFormatting sqref="T1202:T1356">
    <cfRule type="expression" dxfId="351" priority="823" stopIfTrue="1">
      <formula>$A1202="Pump"</formula>
    </cfRule>
  </conditionalFormatting>
  <conditionalFormatting sqref="U1202:U1356">
    <cfRule type="expression" dxfId="350" priority="824" stopIfTrue="1">
      <formula>$A1202="Pump"</formula>
    </cfRule>
  </conditionalFormatting>
  <conditionalFormatting sqref="V1202:V1356">
    <cfRule type="expression" dxfId="349" priority="825" stopIfTrue="1">
      <formula>$A1202="Pump"</formula>
    </cfRule>
  </conditionalFormatting>
  <conditionalFormatting sqref="N1202:N1356">
    <cfRule type="expression" dxfId="348" priority="839" stopIfTrue="1">
      <formula>$A1202="Tmdpvol"</formula>
    </cfRule>
  </conditionalFormatting>
  <conditionalFormatting sqref="O1202:O1356">
    <cfRule type="expression" dxfId="347" priority="840" stopIfTrue="1">
      <formula>$A1202="Tmdpvol"</formula>
    </cfRule>
  </conditionalFormatting>
  <conditionalFormatting sqref="P1202:P1356">
    <cfRule type="expression" dxfId="346" priority="841" stopIfTrue="1">
      <formula>$A1202="Tmdpvol"</formula>
    </cfRule>
  </conditionalFormatting>
  <conditionalFormatting sqref="Q1202:Q1356">
    <cfRule type="expression" dxfId="345" priority="842" stopIfTrue="1">
      <formula>$A1202="Tmdpvol"</formula>
    </cfRule>
  </conditionalFormatting>
  <conditionalFormatting sqref="R1202:R1356">
    <cfRule type="expression" dxfId="344" priority="843" stopIfTrue="1">
      <formula>$A1202="Tmdpvol"</formula>
    </cfRule>
  </conditionalFormatting>
  <conditionalFormatting sqref="S1202:S1356">
    <cfRule type="expression" dxfId="343" priority="844" stopIfTrue="1">
      <formula>$A1202="Tmdpvol"</formula>
    </cfRule>
  </conditionalFormatting>
  <conditionalFormatting sqref="T1202:T1356">
    <cfRule type="expression" dxfId="342" priority="845" stopIfTrue="1">
      <formula>$A1202="Tmdpvol"</formula>
    </cfRule>
  </conditionalFormatting>
  <conditionalFormatting sqref="U1202:U1356">
    <cfRule type="expression" dxfId="341" priority="846" stopIfTrue="1">
      <formula>$A1202="Tmdpvol"</formula>
    </cfRule>
  </conditionalFormatting>
  <conditionalFormatting sqref="V1202:V1356">
    <cfRule type="expression" dxfId="340" priority="847" stopIfTrue="1">
      <formula>$A1202="Tmdpvol"</formula>
    </cfRule>
  </conditionalFormatting>
  <conditionalFormatting sqref="N1202:N1356">
    <cfRule type="expression" dxfId="339" priority="861" stopIfTrue="1">
      <formula>$A1202="Snglvol"</formula>
    </cfRule>
  </conditionalFormatting>
  <conditionalFormatting sqref="O1202:O1356">
    <cfRule type="expression" dxfId="338" priority="862" stopIfTrue="1">
      <formula>$A1202="Snglvol"</formula>
    </cfRule>
  </conditionalFormatting>
  <conditionalFormatting sqref="P1202:P1356">
    <cfRule type="expression" dxfId="337" priority="863" stopIfTrue="1">
      <formula>$A1202="Snglvol"</formula>
    </cfRule>
  </conditionalFormatting>
  <conditionalFormatting sqref="Q1202:Q1356">
    <cfRule type="expression" dxfId="336" priority="864" stopIfTrue="1">
      <formula>$A1202="Snglvol"</formula>
    </cfRule>
  </conditionalFormatting>
  <conditionalFormatting sqref="R1202:R1356">
    <cfRule type="expression" dxfId="335" priority="865" stopIfTrue="1">
      <formula>$A1202="Snglvol"</formula>
    </cfRule>
  </conditionalFormatting>
  <conditionalFormatting sqref="S1202:S1356">
    <cfRule type="expression" dxfId="334" priority="866" stopIfTrue="1">
      <formula>$A1202="Snglvol"</formula>
    </cfRule>
  </conditionalFormatting>
  <conditionalFormatting sqref="T1202:T1356">
    <cfRule type="expression" dxfId="333" priority="867" stopIfTrue="1">
      <formula>$A1202="Snglvol"</formula>
    </cfRule>
  </conditionalFormatting>
  <conditionalFormatting sqref="U1202:U1356">
    <cfRule type="expression" dxfId="332" priority="868" stopIfTrue="1">
      <formula>$A1202="Snglvol"</formula>
    </cfRule>
  </conditionalFormatting>
  <conditionalFormatting sqref="V1202:V1356">
    <cfRule type="expression" dxfId="331" priority="869" stopIfTrue="1">
      <formula>$A1202="Snglvol"</formula>
    </cfRule>
  </conditionalFormatting>
  <conditionalFormatting sqref="E572:E1201">
    <cfRule type="expression" dxfId="330" priority="889" stopIfTrue="1">
      <formula>$A572="Pipe"</formula>
    </cfRule>
  </conditionalFormatting>
  <conditionalFormatting sqref="R572:T1201 M572:P1201">
    <cfRule type="expression" dxfId="329" priority="890" stopIfTrue="1">
      <formula>$A572="Pipe"</formula>
    </cfRule>
  </conditionalFormatting>
  <conditionalFormatting sqref="C572:C1201">
    <cfRule type="expression" dxfId="328" priority="891" stopIfTrue="1">
      <formula>$A572="Junction"</formula>
    </cfRule>
    <cfRule type="expression" dxfId="327" priority="926" stopIfTrue="1">
      <formula>$A572="Snglvol"</formula>
    </cfRule>
    <cfRule type="expression" dxfId="326" priority="940" stopIfTrue="1">
      <formula>$A572="InitGas"</formula>
    </cfRule>
    <cfRule type="expression" dxfId="325" priority="953" stopIfTrue="1">
      <formula>$A572="Tripvar"</formula>
    </cfRule>
  </conditionalFormatting>
  <conditionalFormatting sqref="D572:D1201 F572:G1201 L572:L1201 Q572:T1201">
    <cfRule type="expression" dxfId="324" priority="892" stopIfTrue="1">
      <formula>$A572="Junction"</formula>
    </cfRule>
  </conditionalFormatting>
  <conditionalFormatting sqref="E572:E1201">
    <cfRule type="expression" dxfId="323" priority="893" stopIfTrue="1">
      <formula>$A572="Junction"</formula>
    </cfRule>
  </conditionalFormatting>
  <conditionalFormatting sqref="C572:D1201 F572:G1201 L572:L1201 Q572:T1201">
    <cfRule type="expression" dxfId="322" priority="894" stopIfTrue="1">
      <formula>$A572="Sngljun"</formula>
    </cfRule>
  </conditionalFormatting>
  <conditionalFormatting sqref="E572:E1201">
    <cfRule type="expression" dxfId="321" priority="895" stopIfTrue="1">
      <formula>$A572="Sngljun"</formula>
    </cfRule>
  </conditionalFormatting>
  <conditionalFormatting sqref="C572:D1201 F572:G1201 L572:L1201 Q572:S1201">
    <cfRule type="expression" dxfId="320" priority="896" stopIfTrue="1">
      <formula>$A572="Mtrvlv"</formula>
    </cfRule>
  </conditionalFormatting>
  <conditionalFormatting sqref="E572:E1201">
    <cfRule type="expression" dxfId="319" priority="897" stopIfTrue="1">
      <formula>$A572="Mtrvlv"</formula>
    </cfRule>
  </conditionalFormatting>
  <conditionalFormatting sqref="A572:A1201">
    <cfRule type="expression" dxfId="318" priority="898" stopIfTrue="1">
      <formula>$A572="Srvvlv"</formula>
    </cfRule>
    <cfRule type="expression" dxfId="317" priority="912" stopIfTrue="1">
      <formula>$A572="Tmdpjun"</formula>
    </cfRule>
  </conditionalFormatting>
  <conditionalFormatting sqref="C572:D1201 F572:G1201 L572:L1201 Q572:Q1201 S572:S1201">
    <cfRule type="expression" dxfId="316" priority="899" stopIfTrue="1">
      <formula>$A572="Srvvlv"</formula>
    </cfRule>
  </conditionalFormatting>
  <conditionalFormatting sqref="E572:E1201">
    <cfRule type="expression" dxfId="315" priority="900" stopIfTrue="1">
      <formula>$A572="Srvvlv"</formula>
    </cfRule>
  </conditionalFormatting>
  <conditionalFormatting sqref="R572:R1201">
    <cfRule type="expression" dxfId="314" priority="901" stopIfTrue="1">
      <formula>$A572="Srvvlv"</formula>
    </cfRule>
    <cfRule type="expression" dxfId="313" priority="915" stopIfTrue="1">
      <formula>$A572="Tmdpjun"</formula>
    </cfRule>
    <cfRule type="expression" dxfId="312" priority="919" stopIfTrue="1">
      <formula>$A572="Pump"</formula>
    </cfRule>
    <cfRule type="expression" dxfId="311" priority="923" stopIfTrue="1">
      <formula>$A572="Tmdpvol"</formula>
    </cfRule>
    <cfRule type="expression" dxfId="310" priority="931" stopIfTrue="1">
      <formula>$A572="Snglvol"</formula>
    </cfRule>
  </conditionalFormatting>
  <conditionalFormatting sqref="B572:B1201">
    <cfRule type="expression" dxfId="309" priority="902" stopIfTrue="1">
      <formula>$A572="Chkvlv"</formula>
    </cfRule>
    <cfRule type="expression" dxfId="308" priority="934" stopIfTrue="1">
      <formula>$A572="Relapnr"</formula>
    </cfRule>
    <cfRule type="expression" dxfId="307" priority="939" stopIfTrue="1">
      <formula>$A572="InitGas"</formula>
    </cfRule>
    <cfRule type="expression" dxfId="306" priority="946" stopIfTrue="1">
      <formula>$A572="Replacements"</formula>
    </cfRule>
    <cfRule type="expression" dxfId="305" priority="950" stopIfTrue="1">
      <formula>$A572="Custom"</formula>
    </cfRule>
    <cfRule type="expression" dxfId="304" priority="956" stopIfTrue="1">
      <formula>$A572="Triplog"</formula>
    </cfRule>
  </conditionalFormatting>
  <conditionalFormatting sqref="F572:G1201 L572:L1201 Q572:S1201 C572:C1201">
    <cfRule type="expression" dxfId="303" priority="903" stopIfTrue="1">
      <formula>$A572="Chkvlv"</formula>
    </cfRule>
  </conditionalFormatting>
  <conditionalFormatting sqref="D572:D1201">
    <cfRule type="expression" dxfId="302" priority="904" stopIfTrue="1">
      <formula>$A572="Chkvlv"</formula>
    </cfRule>
    <cfRule type="expression" dxfId="301" priority="958" stopIfTrue="1">
      <formula>$A572="Triplog"</formula>
    </cfRule>
  </conditionalFormatting>
  <conditionalFormatting sqref="E572:E1201">
    <cfRule type="expression" dxfId="300" priority="905" stopIfTrue="1">
      <formula>$A572="Chkvlv"</formula>
    </cfRule>
  </conditionalFormatting>
  <conditionalFormatting sqref="K572:K1201 U572:U1201">
    <cfRule type="expression" dxfId="299" priority="906" stopIfTrue="1">
      <formula>$A572="Chkvlv"</formula>
    </cfRule>
    <cfRule type="expression" dxfId="298" priority="929" stopIfTrue="1">
      <formula>$A572="Snglvol"</formula>
    </cfRule>
  </conditionalFormatting>
  <conditionalFormatting sqref="M572:M1201">
    <cfRule type="expression" dxfId="297" priority="907" stopIfTrue="1">
      <formula>$A572="Chkvlv"</formula>
    </cfRule>
    <cfRule type="expression" dxfId="296" priority="930" stopIfTrue="1">
      <formula>$A572="Snglvol"</formula>
    </cfRule>
  </conditionalFormatting>
  <conditionalFormatting sqref="C572:C1201">
    <cfRule type="expression" dxfId="295" priority="908" stopIfTrue="1">
      <formula>$A572="Inrvlv"</formula>
    </cfRule>
    <cfRule type="expression" dxfId="294" priority="937" stopIfTrue="1">
      <formula>$A572="Init"</formula>
    </cfRule>
    <cfRule type="expression" dxfId="293" priority="943" stopIfTrue="1">
      <formula>$A572="Timestep"</formula>
    </cfRule>
    <cfRule type="expression" dxfId="292" priority="957" stopIfTrue="1">
      <formula>$A572="Triplog"</formula>
    </cfRule>
  </conditionalFormatting>
  <conditionalFormatting sqref="D572:D1201 F572:G1201 L572:L1201 Q572:R1201">
    <cfRule type="expression" dxfId="291" priority="909" stopIfTrue="1">
      <formula>$A572="Inrvlv"</formula>
    </cfRule>
  </conditionalFormatting>
  <conditionalFormatting sqref="E572:E1201">
    <cfRule type="expression" dxfId="290" priority="910" stopIfTrue="1">
      <formula>$A572="Inrvlv"</formula>
    </cfRule>
  </conditionalFormatting>
  <conditionalFormatting sqref="S572:S1201">
    <cfRule type="expression" dxfId="289" priority="911" stopIfTrue="1">
      <formula>$A572="Inrvlv"</formula>
    </cfRule>
    <cfRule type="expression" dxfId="288" priority="916" stopIfTrue="1">
      <formula>$A572="Tmdpjun"</formula>
    </cfRule>
    <cfRule type="expression" dxfId="287" priority="920" stopIfTrue="1">
      <formula>$A572="Pump"</formula>
    </cfRule>
    <cfRule type="expression" dxfId="286" priority="924" stopIfTrue="1">
      <formula>$A572="Tmdpvol"</formula>
    </cfRule>
    <cfRule type="expression" dxfId="285" priority="932" stopIfTrue="1">
      <formula>$A572="Snglvol"</formula>
    </cfRule>
  </conditionalFormatting>
  <conditionalFormatting sqref="C572:D1201 F572:G1201 L572:L1201 Q572:Q1201">
    <cfRule type="expression" dxfId="284" priority="913" stopIfTrue="1">
      <formula>$A572="Tmdpjun"</formula>
    </cfRule>
  </conditionalFormatting>
  <conditionalFormatting sqref="E572:E1201">
    <cfRule type="expression" dxfId="283" priority="914" stopIfTrue="1">
      <formula>$A572="Tmdpjun"</formula>
    </cfRule>
  </conditionalFormatting>
  <conditionalFormatting sqref="D572:D1201 L572:L1201 Q572:Q1201">
    <cfRule type="expression" dxfId="282" priority="917" stopIfTrue="1">
      <formula>$A572="Pump"</formula>
    </cfRule>
  </conditionalFormatting>
  <conditionalFormatting sqref="E572:E1201">
    <cfRule type="expression" dxfId="281" priority="918" stopIfTrue="1">
      <formula>$A572="Pump"</formula>
    </cfRule>
  </conditionalFormatting>
  <conditionalFormatting sqref="D572:D1201 H572:I1201 T572:T1201 L572:P1201">
    <cfRule type="expression" dxfId="280" priority="921" stopIfTrue="1">
      <formula>$A572="Tmdpvol"</formula>
    </cfRule>
  </conditionalFormatting>
  <conditionalFormatting sqref="E572:E1201">
    <cfRule type="expression" dxfId="279" priority="922" stopIfTrue="1">
      <formula>$A572="Tmdpvol"</formula>
    </cfRule>
  </conditionalFormatting>
  <conditionalFormatting sqref="B572:B1201">
    <cfRule type="expression" dxfId="278" priority="925" stopIfTrue="1">
      <formula>$A572="Snglvol"</formula>
    </cfRule>
    <cfRule type="expression" dxfId="277" priority="936" stopIfTrue="1">
      <formula>$A572="Init"</formula>
    </cfRule>
    <cfRule type="expression" dxfId="276" priority="942" stopIfTrue="1">
      <formula>$A572="Timestep"</formula>
    </cfRule>
    <cfRule type="expression" dxfId="275" priority="948" stopIfTrue="1">
      <formula>$A572="Triggerwords"</formula>
    </cfRule>
    <cfRule type="expression" dxfId="274" priority="952" stopIfTrue="1">
      <formula>$A572="Tripvar"</formula>
    </cfRule>
  </conditionalFormatting>
  <conditionalFormatting sqref="D572:D1201 H572:I1201 L572:L1201 N572:Q1201 T572:T1201">
    <cfRule type="expression" dxfId="273" priority="927" stopIfTrue="1">
      <formula>$A572="Snglvol"</formula>
    </cfRule>
  </conditionalFormatting>
  <conditionalFormatting sqref="E572:E1201">
    <cfRule type="expression" dxfId="272" priority="928" stopIfTrue="1">
      <formula>$A572="Snglvol"</formula>
    </cfRule>
  </conditionalFormatting>
  <conditionalFormatting sqref="A572:A1201">
    <cfRule type="expression" dxfId="271" priority="933" stopIfTrue="1">
      <formula>$A572="Relapnr"</formula>
    </cfRule>
  </conditionalFormatting>
  <conditionalFormatting sqref="A572:A1201">
    <cfRule type="expression" dxfId="270" priority="935" stopIfTrue="1">
      <formula>$A572="Init"</formula>
    </cfRule>
  </conditionalFormatting>
  <conditionalFormatting sqref="A572:A1201">
    <cfRule type="expression" dxfId="269" priority="938" stopIfTrue="1">
      <formula>$A572="InitGas"</formula>
    </cfRule>
  </conditionalFormatting>
  <conditionalFormatting sqref="D572:D1201 A572:A1201">
    <cfRule type="expression" dxfId="268" priority="941" stopIfTrue="1">
      <formula>$A572="Timestep"</formula>
    </cfRule>
  </conditionalFormatting>
  <conditionalFormatting sqref="E572:E1201">
    <cfRule type="expression" dxfId="267" priority="944" stopIfTrue="1">
      <formula>$A572="Timestep"</formula>
    </cfRule>
  </conditionalFormatting>
  <conditionalFormatting sqref="A572:A1201">
    <cfRule type="expression" dxfId="266" priority="945" stopIfTrue="1">
      <formula>$A572="Replacements"</formula>
    </cfRule>
  </conditionalFormatting>
  <conditionalFormatting sqref="A572:A1201">
    <cfRule type="expression" dxfId="265" priority="947" stopIfTrue="1">
      <formula>$A572="Triggerwords"</formula>
    </cfRule>
  </conditionalFormatting>
  <conditionalFormatting sqref="A572:A1201">
    <cfRule type="expression" dxfId="264" priority="949" stopIfTrue="1">
      <formula>$A572="Custom"</formula>
    </cfRule>
  </conditionalFormatting>
  <conditionalFormatting sqref="D572:D1201 F572:I1201 A572:A1201">
    <cfRule type="expression" dxfId="263" priority="951" stopIfTrue="1">
      <formula>$A572="Tripvar"</formula>
    </cfRule>
  </conditionalFormatting>
  <conditionalFormatting sqref="E572:E1201">
    <cfRule type="expression" dxfId="262" priority="954" stopIfTrue="1">
      <formula>$A572="Tripvar"</formula>
    </cfRule>
  </conditionalFormatting>
  <conditionalFormatting sqref="F572:F1201 A572:A1201">
    <cfRule type="expression" dxfId="261" priority="955" stopIfTrue="1">
      <formula>$A572="Triplog"</formula>
    </cfRule>
  </conditionalFormatting>
  <conditionalFormatting sqref="E572:E1201">
    <cfRule type="expression" dxfId="260" priority="959" stopIfTrue="1">
      <formula>$A572="Triplog"</formula>
    </cfRule>
  </conditionalFormatting>
  <conditionalFormatting sqref="A1:L2">
    <cfRule type="expression" dxfId="259" priority="448">
      <formula>$A1="Pipe"</formula>
    </cfRule>
  </conditionalFormatting>
  <conditionalFormatting sqref="Q1:Q2">
    <cfRule type="expression" dxfId="258" priority="447">
      <formula>$A1="Pipe"</formula>
    </cfRule>
  </conditionalFormatting>
  <conditionalFormatting sqref="U1:V2">
    <cfRule type="expression" dxfId="257" priority="446">
      <formula>$A1="Pipe"</formula>
    </cfRule>
  </conditionalFormatting>
  <conditionalFormatting sqref="M1:P2">
    <cfRule type="expression" dxfId="256" priority="445">
      <formula>$A1="Pipe"</formula>
    </cfRule>
  </conditionalFormatting>
  <conditionalFormatting sqref="R1:T2">
    <cfRule type="expression" dxfId="255" priority="444">
      <formula>$A1="Pipe"</formula>
    </cfRule>
  </conditionalFormatting>
  <conditionalFormatting sqref="A1:C2">
    <cfRule type="expression" dxfId="254" priority="443">
      <formula>$A1="Tmdpvol"</formula>
    </cfRule>
  </conditionalFormatting>
  <conditionalFormatting sqref="E1:G2">
    <cfRule type="expression" dxfId="253" priority="442">
      <formula>$A1="Tmdpvol"</formula>
    </cfRule>
  </conditionalFormatting>
  <conditionalFormatting sqref="J1:K2">
    <cfRule type="expression" dxfId="252" priority="441">
      <formula>$A1="Tmdpvol"</formula>
    </cfRule>
  </conditionalFormatting>
  <conditionalFormatting sqref="Q1:R2">
    <cfRule type="expression" dxfId="251" priority="440">
      <formula>$A1="Tmdpvol"</formula>
    </cfRule>
  </conditionalFormatting>
  <conditionalFormatting sqref="U1:V2">
    <cfRule type="expression" dxfId="250" priority="439">
      <formula>$A1="Tmdpvol"</formula>
    </cfRule>
  </conditionalFormatting>
  <conditionalFormatting sqref="D1:D2">
    <cfRule type="expression" dxfId="249" priority="438">
      <formula>$A1="Tmdpvol"</formula>
    </cfRule>
  </conditionalFormatting>
  <conditionalFormatting sqref="H1:I2">
    <cfRule type="expression" dxfId="248" priority="437">
      <formula>$A1="Tmdpvol"</formula>
    </cfRule>
  </conditionalFormatting>
  <conditionalFormatting sqref="L1:P2">
    <cfRule type="expression" dxfId="247" priority="436">
      <formula>$A1="Tmdpvol"</formula>
    </cfRule>
  </conditionalFormatting>
  <conditionalFormatting sqref="S1:T2">
    <cfRule type="expression" dxfId="246" priority="435">
      <formula>$A1="Tmdpvol"</formula>
    </cfRule>
  </conditionalFormatting>
  <conditionalFormatting sqref="A1:C2">
    <cfRule type="expression" dxfId="245" priority="434">
      <formula>$A1="Snglvol"</formula>
    </cfRule>
  </conditionalFormatting>
  <conditionalFormatting sqref="E1:G2">
    <cfRule type="expression" dxfId="244" priority="433">
      <formula>$A1="Snglvol"</formula>
    </cfRule>
  </conditionalFormatting>
  <conditionalFormatting sqref="J1:K2">
    <cfRule type="expression" dxfId="243" priority="432">
      <formula>$A1="Snglvol"</formula>
    </cfRule>
  </conditionalFormatting>
  <conditionalFormatting sqref="Q1:R2">
    <cfRule type="expression" dxfId="242" priority="431">
      <formula>$A1="Snglvol"</formula>
    </cfRule>
  </conditionalFormatting>
  <conditionalFormatting sqref="U1:V2">
    <cfRule type="expression" dxfId="241" priority="430">
      <formula>$A1="Snglvol"</formula>
    </cfRule>
  </conditionalFormatting>
  <conditionalFormatting sqref="D1:D2">
    <cfRule type="expression" dxfId="240" priority="429">
      <formula>$A1="Snglvol"</formula>
    </cfRule>
  </conditionalFormatting>
  <conditionalFormatting sqref="H1:I2">
    <cfRule type="expression" dxfId="239" priority="428">
      <formula>$A1="Snglvol"</formula>
    </cfRule>
  </conditionalFormatting>
  <conditionalFormatting sqref="L1:T2">
    <cfRule type="expression" dxfId="238" priority="427">
      <formula>$A1="Snglvol"</formula>
    </cfRule>
  </conditionalFormatting>
  <conditionalFormatting sqref="A1:B2">
    <cfRule type="expression" dxfId="237" priority="426">
      <formula>OR($A1="Sngljun",$A1="Junction")</formula>
    </cfRule>
  </conditionalFormatting>
  <conditionalFormatting sqref="E1:E2">
    <cfRule type="expression" dxfId="236" priority="425">
      <formula>OR($A1="Sngljun",$A1="Junction")</formula>
    </cfRule>
  </conditionalFormatting>
  <conditionalFormatting sqref="H1:K2">
    <cfRule type="expression" dxfId="235" priority="424">
      <formula>OR($A1="Sngljun",$A1="Junction")</formula>
    </cfRule>
  </conditionalFormatting>
  <conditionalFormatting sqref="M1:P2">
    <cfRule type="expression" dxfId="234" priority="423">
      <formula>OR($A1="Sngljun",$A1="Junction")</formula>
    </cfRule>
  </conditionalFormatting>
  <conditionalFormatting sqref="U1:V2">
    <cfRule type="expression" dxfId="233" priority="422">
      <formula>OR($A1="Sngljun",$A1="Junction")</formula>
    </cfRule>
  </conditionalFormatting>
  <conditionalFormatting sqref="C1:D2">
    <cfRule type="expression" dxfId="232" priority="421">
      <formula>OR($A1="Sngljun",$A1="Junction")</formula>
    </cfRule>
  </conditionalFormatting>
  <conditionalFormatting sqref="F1:G2">
    <cfRule type="expression" dxfId="231" priority="420">
      <formula>OR($A1="Sngljun",$A1="Junction")</formula>
    </cfRule>
  </conditionalFormatting>
  <conditionalFormatting sqref="L1:L2">
    <cfRule type="expression" dxfId="230" priority="419">
      <formula>OR($A1="Sngljun",$A1="Junction")</formula>
    </cfRule>
  </conditionalFormatting>
  <conditionalFormatting sqref="Q1:T2">
    <cfRule type="expression" dxfId="229" priority="418">
      <formula>OR($A1="Sngljun",$A1="Junction")</formula>
    </cfRule>
  </conditionalFormatting>
  <conditionalFormatting sqref="A1:B2">
    <cfRule type="expression" dxfId="228" priority="417">
      <formula>OR($A1="Mtrvlv",$A1="Srvvlv",$A1="Trpvlv",$A1="Chkvlv",$A1="Inrvlv",$A1="Tmdpjun")</formula>
    </cfRule>
  </conditionalFormatting>
  <conditionalFormatting sqref="E1:E2">
    <cfRule type="expression" dxfId="227" priority="416">
      <formula>OR($A1="Mtrvlv",$A1="Srvvlv",$A1="Trpvlv",$A1="Chkvlv",$A1="Inrvlv",$A1="Tmdpjun")</formula>
    </cfRule>
  </conditionalFormatting>
  <conditionalFormatting sqref="H1:K2">
    <cfRule type="expression" dxfId="226" priority="415">
      <formula>OR($A1="Mtrvlv",$A1="Srvvlv",$A1="Trpvlv",$A1="Chkvlv",$A1="Inrvlv",$A1="Tmdpjun")</formula>
    </cfRule>
  </conditionalFormatting>
  <conditionalFormatting sqref="M1:P2">
    <cfRule type="expression" dxfId="225" priority="414">
      <formula>OR($A1="Mtrvlv",$A1="Srvvlv",$A1="Trpvlv",$A1="Chkvlv",$A1="Inrvlv",$A1="Tmdpjun")</formula>
    </cfRule>
  </conditionalFormatting>
  <conditionalFormatting sqref="T1:V2">
    <cfRule type="expression" dxfId="224" priority="413">
      <formula>OR($A1="Mtrvlv",$A1="Srvvlv",$A1="Trpvlv",$A1="Chkvlv",$A1="Inrvlv",$A1="Tmdpjun")</formula>
    </cfRule>
  </conditionalFormatting>
  <conditionalFormatting sqref="C1:D2">
    <cfRule type="expression" dxfId="223" priority="412">
      <formula>OR($A1="Mtrvlv",$A1="Srvvlv",$A1="Trpvlv",$A1="Chkvlv",$A1="Inrvlv",$A1="Tmdpjun")</formula>
    </cfRule>
  </conditionalFormatting>
  <conditionalFormatting sqref="F1:G2">
    <cfRule type="expression" dxfId="222" priority="411">
      <formula>OR($A1="Mtrvlv",$A1="Srvvlv",$A1="Trpvlv",$A1="Chkvlv",$A1="Inrvlv",$A1="Tmdpjun")</formula>
    </cfRule>
  </conditionalFormatting>
  <conditionalFormatting sqref="L1:L2">
    <cfRule type="expression" dxfId="221" priority="410">
      <formula>OR($A1="Mtrvlv",$A1="Srvvlv",$A1="Trpvlv",$A1="Chkvlv",$A1="Inrvlv",$A1="Tmdpjun")</formula>
    </cfRule>
  </conditionalFormatting>
  <conditionalFormatting sqref="Q1:S2">
    <cfRule type="expression" dxfId="220" priority="409">
      <formula>OR($A1="Mtrvlv",$A1="Srvvlv",$A1="Trpvlv",$A1="Chkvlv",$A1="Inrvlv",$A1="Tmdpjun")</formula>
    </cfRule>
  </conditionalFormatting>
  <conditionalFormatting sqref="A1:B2">
    <cfRule type="expression" dxfId="219" priority="408">
      <formula>$A1="Pump"</formula>
    </cfRule>
  </conditionalFormatting>
  <conditionalFormatting sqref="E1:E2">
    <cfRule type="expression" dxfId="218" priority="407">
      <formula>$A1="Pump"</formula>
    </cfRule>
  </conditionalFormatting>
  <conditionalFormatting sqref="H1:K2">
    <cfRule type="expression" dxfId="217" priority="406">
      <formula>$A1="Pump"</formula>
    </cfRule>
  </conditionalFormatting>
  <conditionalFormatting sqref="M1:P2">
    <cfRule type="expression" dxfId="216" priority="405">
      <formula>$A1="Pump"</formula>
    </cfRule>
  </conditionalFormatting>
  <conditionalFormatting sqref="R1:V2">
    <cfRule type="expression" dxfId="215" priority="404">
      <formula>$A1="Pump"</formula>
    </cfRule>
  </conditionalFormatting>
  <conditionalFormatting sqref="C1:D2">
    <cfRule type="expression" dxfId="214" priority="403">
      <formula>$A1="Pump"</formula>
    </cfRule>
  </conditionalFormatting>
  <conditionalFormatting sqref="F1:G2">
    <cfRule type="expression" dxfId="213" priority="402">
      <formula>$A1="Pump"</formula>
    </cfRule>
  </conditionalFormatting>
  <conditionalFormatting sqref="L1:L2">
    <cfRule type="expression" dxfId="212" priority="401">
      <formula>$A1="Pump"</formula>
    </cfRule>
  </conditionalFormatting>
  <conditionalFormatting sqref="Q1:Q2">
    <cfRule type="expression" dxfId="211" priority="400">
      <formula>$A1="Pump"</formula>
    </cfRule>
  </conditionalFormatting>
  <conditionalFormatting sqref="A1:B2">
    <cfRule type="expression" dxfId="210" priority="399">
      <formula>$A1="Relapnr"</formula>
    </cfRule>
  </conditionalFormatting>
  <conditionalFormatting sqref="A1:C2">
    <cfRule type="expression" dxfId="209" priority="398">
      <formula>OR($A1="Init",$A1="InitGas")</formula>
    </cfRule>
  </conditionalFormatting>
  <conditionalFormatting sqref="A1:E2">
    <cfRule type="expression" dxfId="208" priority="397">
      <formula>$A1="Timestep"</formula>
    </cfRule>
  </conditionalFormatting>
  <conditionalFormatting sqref="A1:B2">
    <cfRule type="expression" dxfId="207" priority="396">
      <formula>OR($A1="Replacements",$A1="Triggerwords")</formula>
    </cfRule>
  </conditionalFormatting>
  <conditionalFormatting sqref="A1:B2">
    <cfRule type="expression" dxfId="206" priority="395">
      <formula>$A1="Custom"</formula>
    </cfRule>
  </conditionalFormatting>
  <conditionalFormatting sqref="A1:I2">
    <cfRule type="expression" dxfId="205" priority="394">
      <formula>$A1="Tripvar"</formula>
    </cfRule>
  </conditionalFormatting>
  <conditionalFormatting sqref="A1:F2">
    <cfRule type="expression" dxfId="204" priority="393">
      <formula>$A1="Triplog"</formula>
    </cfRule>
  </conditionalFormatting>
  <conditionalFormatting sqref="A298:L571">
    <cfRule type="expression" dxfId="203" priority="392">
      <formula>$A298="Pipe"</formula>
    </cfRule>
  </conditionalFormatting>
  <conditionalFormatting sqref="Q298:Q571">
    <cfRule type="expression" dxfId="202" priority="391">
      <formula>$A298="Pipe"</formula>
    </cfRule>
  </conditionalFormatting>
  <conditionalFormatting sqref="U298:V571">
    <cfRule type="expression" dxfId="201" priority="390">
      <formula>$A298="Pipe"</formula>
    </cfRule>
  </conditionalFormatting>
  <conditionalFormatting sqref="M298:P571">
    <cfRule type="expression" dxfId="200" priority="389">
      <formula>$A298="Pipe"</formula>
    </cfRule>
  </conditionalFormatting>
  <conditionalFormatting sqref="R298:T571">
    <cfRule type="expression" dxfId="199" priority="388">
      <formula>$A298="Pipe"</formula>
    </cfRule>
  </conditionalFormatting>
  <conditionalFormatting sqref="A298:C571">
    <cfRule type="expression" dxfId="198" priority="387">
      <formula>$A298="Tmdpvol"</formula>
    </cfRule>
  </conditionalFormatting>
  <conditionalFormatting sqref="E298:G571">
    <cfRule type="expression" dxfId="197" priority="386">
      <formula>$A298="Tmdpvol"</formula>
    </cfRule>
  </conditionalFormatting>
  <conditionalFormatting sqref="J298:K571">
    <cfRule type="expression" dxfId="196" priority="385">
      <formula>$A298="Tmdpvol"</formula>
    </cfRule>
  </conditionalFormatting>
  <conditionalFormatting sqref="Q298:R571">
    <cfRule type="expression" dxfId="195" priority="384">
      <formula>$A298="Tmdpvol"</formula>
    </cfRule>
  </conditionalFormatting>
  <conditionalFormatting sqref="U298:V571">
    <cfRule type="expression" dxfId="194" priority="383">
      <formula>$A298="Tmdpvol"</formula>
    </cfRule>
  </conditionalFormatting>
  <conditionalFormatting sqref="D298:D571">
    <cfRule type="expression" dxfId="193" priority="382">
      <formula>$A298="Tmdpvol"</formula>
    </cfRule>
  </conditionalFormatting>
  <conditionalFormatting sqref="H298:I571">
    <cfRule type="expression" dxfId="192" priority="381">
      <formula>$A298="Tmdpvol"</formula>
    </cfRule>
  </conditionalFormatting>
  <conditionalFormatting sqref="L298:P571">
    <cfRule type="expression" dxfId="191" priority="380">
      <formula>$A298="Tmdpvol"</formula>
    </cfRule>
  </conditionalFormatting>
  <conditionalFormatting sqref="S298:T571">
    <cfRule type="expression" dxfId="190" priority="379">
      <formula>$A298="Tmdpvol"</formula>
    </cfRule>
  </conditionalFormatting>
  <conditionalFormatting sqref="A298:C571">
    <cfRule type="expression" dxfId="189" priority="378">
      <formula>$A298="Snglvol"</formula>
    </cfRule>
  </conditionalFormatting>
  <conditionalFormatting sqref="E298:G571">
    <cfRule type="expression" dxfId="188" priority="377">
      <formula>$A298="Snglvol"</formula>
    </cfRule>
  </conditionalFormatting>
  <conditionalFormatting sqref="J298:K571">
    <cfRule type="expression" dxfId="187" priority="376">
      <formula>$A298="Snglvol"</formula>
    </cfRule>
  </conditionalFormatting>
  <conditionalFormatting sqref="Q298:R571">
    <cfRule type="expression" dxfId="186" priority="375">
      <formula>$A298="Snglvol"</formula>
    </cfRule>
  </conditionalFormatting>
  <conditionalFormatting sqref="U298:V571">
    <cfRule type="expression" dxfId="185" priority="374">
      <formula>$A298="Snglvol"</formula>
    </cfRule>
  </conditionalFormatting>
  <conditionalFormatting sqref="D298:D571">
    <cfRule type="expression" dxfId="184" priority="373">
      <formula>$A298="Snglvol"</formula>
    </cfRule>
  </conditionalFormatting>
  <conditionalFormatting sqref="H298:I571">
    <cfRule type="expression" dxfId="183" priority="372">
      <formula>$A298="Snglvol"</formula>
    </cfRule>
  </conditionalFormatting>
  <conditionalFormatting sqref="L298:T571">
    <cfRule type="expression" dxfId="182" priority="371">
      <formula>$A298="Snglvol"</formula>
    </cfRule>
  </conditionalFormatting>
  <conditionalFormatting sqref="A298:B571">
    <cfRule type="expression" dxfId="181" priority="370">
      <formula>OR($A298="Sngljun",$A298="Junction")</formula>
    </cfRule>
  </conditionalFormatting>
  <conditionalFormatting sqref="E298:E571">
    <cfRule type="expression" dxfId="180" priority="369">
      <formula>OR($A298="Sngljun",$A298="Junction")</formula>
    </cfRule>
  </conditionalFormatting>
  <conditionalFormatting sqref="H298:K571">
    <cfRule type="expression" dxfId="179" priority="368">
      <formula>OR($A298="Sngljun",$A298="Junction")</formula>
    </cfRule>
  </conditionalFormatting>
  <conditionalFormatting sqref="M298:P571">
    <cfRule type="expression" dxfId="178" priority="367">
      <formula>OR($A298="Sngljun",$A298="Junction")</formula>
    </cfRule>
  </conditionalFormatting>
  <conditionalFormatting sqref="U298:V571">
    <cfRule type="expression" dxfId="177" priority="366">
      <formula>OR($A298="Sngljun",$A298="Junction")</formula>
    </cfRule>
  </conditionalFormatting>
  <conditionalFormatting sqref="C298:D571">
    <cfRule type="expression" dxfId="176" priority="365">
      <formula>OR($A298="Sngljun",$A298="Junction")</formula>
    </cfRule>
  </conditionalFormatting>
  <conditionalFormatting sqref="F298:G571">
    <cfRule type="expression" dxfId="175" priority="364">
      <formula>OR($A298="Sngljun",$A298="Junction")</formula>
    </cfRule>
  </conditionalFormatting>
  <conditionalFormatting sqref="L298:L571">
    <cfRule type="expression" dxfId="174" priority="363">
      <formula>OR($A298="Sngljun",$A298="Junction")</formula>
    </cfRule>
  </conditionalFormatting>
  <conditionalFormatting sqref="Q298:T571">
    <cfRule type="expression" dxfId="173" priority="362">
      <formula>OR($A298="Sngljun",$A298="Junction")</formula>
    </cfRule>
  </conditionalFormatting>
  <conditionalFormatting sqref="A298:B571">
    <cfRule type="expression" dxfId="172" priority="361">
      <formula>OR($A298="Mtrvlv",$A298="Srvvlv",$A298="Trpvlv",$A298="Chkvlv",$A298="Inrvlv",$A298="Tmdpjun")</formula>
    </cfRule>
  </conditionalFormatting>
  <conditionalFormatting sqref="E298:E571">
    <cfRule type="expression" dxfId="171" priority="360">
      <formula>OR($A298="Mtrvlv",$A298="Srvvlv",$A298="Trpvlv",$A298="Chkvlv",$A298="Inrvlv",$A298="Tmdpjun")</formula>
    </cfRule>
  </conditionalFormatting>
  <conditionalFormatting sqref="H298:K571">
    <cfRule type="expression" dxfId="170" priority="359">
      <formula>OR($A298="Mtrvlv",$A298="Srvvlv",$A298="Trpvlv",$A298="Chkvlv",$A298="Inrvlv",$A298="Tmdpjun")</formula>
    </cfRule>
  </conditionalFormatting>
  <conditionalFormatting sqref="M298:P571">
    <cfRule type="expression" dxfId="169" priority="358">
      <formula>OR($A298="Mtrvlv",$A298="Srvvlv",$A298="Trpvlv",$A298="Chkvlv",$A298="Inrvlv",$A298="Tmdpjun")</formula>
    </cfRule>
  </conditionalFormatting>
  <conditionalFormatting sqref="T298:V571">
    <cfRule type="expression" dxfId="168" priority="357">
      <formula>OR($A298="Mtrvlv",$A298="Srvvlv",$A298="Trpvlv",$A298="Chkvlv",$A298="Inrvlv",$A298="Tmdpjun")</formula>
    </cfRule>
  </conditionalFormatting>
  <conditionalFormatting sqref="C298:D571">
    <cfRule type="expression" dxfId="167" priority="356">
      <formula>OR($A298="Mtrvlv",$A298="Srvvlv",$A298="Trpvlv",$A298="Chkvlv",$A298="Inrvlv",$A298="Tmdpjun")</formula>
    </cfRule>
  </conditionalFormatting>
  <conditionalFormatting sqref="F298:G571">
    <cfRule type="expression" dxfId="166" priority="355">
      <formula>OR($A298="Mtrvlv",$A298="Srvvlv",$A298="Trpvlv",$A298="Chkvlv",$A298="Inrvlv",$A298="Tmdpjun")</formula>
    </cfRule>
  </conditionalFormatting>
  <conditionalFormatting sqref="L298:L571">
    <cfRule type="expression" dxfId="165" priority="354">
      <formula>OR($A298="Mtrvlv",$A298="Srvvlv",$A298="Trpvlv",$A298="Chkvlv",$A298="Inrvlv",$A298="Tmdpjun")</formula>
    </cfRule>
  </conditionalFormatting>
  <conditionalFormatting sqref="Q298:S571">
    <cfRule type="expression" dxfId="164" priority="353">
      <formula>OR($A298="Mtrvlv",$A298="Srvvlv",$A298="Trpvlv",$A298="Chkvlv",$A298="Inrvlv",$A298="Tmdpjun")</formula>
    </cfRule>
  </conditionalFormatting>
  <conditionalFormatting sqref="A298:B571">
    <cfRule type="expression" dxfId="163" priority="352">
      <formula>$A298="Pump"</formula>
    </cfRule>
  </conditionalFormatting>
  <conditionalFormatting sqref="E298:E571">
    <cfRule type="expression" dxfId="162" priority="351">
      <formula>$A298="Pump"</formula>
    </cfRule>
  </conditionalFormatting>
  <conditionalFormatting sqref="H298:K571">
    <cfRule type="expression" dxfId="161" priority="350">
      <formula>$A298="Pump"</formula>
    </cfRule>
  </conditionalFormatting>
  <conditionalFormatting sqref="M298:P571">
    <cfRule type="expression" dxfId="160" priority="349">
      <formula>$A298="Pump"</formula>
    </cfRule>
  </conditionalFormatting>
  <conditionalFormatting sqref="R298:V571">
    <cfRule type="expression" dxfId="159" priority="348">
      <formula>$A298="Pump"</formula>
    </cfRule>
  </conditionalFormatting>
  <conditionalFormatting sqref="C298:D571">
    <cfRule type="expression" dxfId="158" priority="347">
      <formula>$A298="Pump"</formula>
    </cfRule>
  </conditionalFormatting>
  <conditionalFormatting sqref="F298:G571">
    <cfRule type="expression" dxfId="157" priority="346">
      <formula>$A298="Pump"</formula>
    </cfRule>
  </conditionalFormatting>
  <conditionalFormatting sqref="L298:L571">
    <cfRule type="expression" dxfId="156" priority="345">
      <formula>$A298="Pump"</formula>
    </cfRule>
  </conditionalFormatting>
  <conditionalFormatting sqref="Q298:Q571">
    <cfRule type="expression" dxfId="155" priority="344">
      <formula>$A298="Pump"</formula>
    </cfRule>
  </conditionalFormatting>
  <conditionalFormatting sqref="A298:B571">
    <cfRule type="expression" dxfId="154" priority="343">
      <formula>$A298="Relapnr"</formula>
    </cfRule>
  </conditionalFormatting>
  <conditionalFormatting sqref="A298:C571">
    <cfRule type="expression" dxfId="153" priority="342">
      <formula>OR($A298="Init",$A298="InitGas")</formula>
    </cfRule>
  </conditionalFormatting>
  <conditionalFormatting sqref="A298:E571">
    <cfRule type="expression" dxfId="152" priority="341">
      <formula>$A298="Timestep"</formula>
    </cfRule>
  </conditionalFormatting>
  <conditionalFormatting sqref="A298:B571">
    <cfRule type="expression" dxfId="151" priority="340">
      <formula>OR($A298="Replacements",$A298="Triggerwords")</formula>
    </cfRule>
  </conditionalFormatting>
  <conditionalFormatting sqref="A298:B571">
    <cfRule type="expression" dxfId="150" priority="339">
      <formula>$A298="Custom"</formula>
    </cfRule>
  </conditionalFormatting>
  <conditionalFormatting sqref="A298:I571">
    <cfRule type="expression" dxfId="149" priority="338">
      <formula>$A298="Tripvar"</formula>
    </cfRule>
  </conditionalFormatting>
  <conditionalFormatting sqref="A298:F571">
    <cfRule type="expression" dxfId="148" priority="337">
      <formula>$A298="Triplog"</formula>
    </cfRule>
  </conditionalFormatting>
  <conditionalFormatting sqref="M298:M571">
    <cfRule type="expression" dxfId="147" priority="336">
      <formula>AND(OR($A298="Junction", $A298="Mtrvlv"),$M298=$B296,$O298=2,ISTEXT($M296))</formula>
    </cfRule>
  </conditionalFormatting>
  <conditionalFormatting sqref="N298:N571">
    <cfRule type="expression" dxfId="146" priority="335">
      <formula>AND(OR($A298="Junction", $A298="Mtrvlv"),$N298=$B300,$P298=1,ISTEXT($N300))</formula>
    </cfRule>
  </conditionalFormatting>
  <conditionalFormatting sqref="A295:L297">
    <cfRule type="expression" dxfId="145" priority="282">
      <formula>$A295="Pipe"</formula>
    </cfRule>
  </conditionalFormatting>
  <conditionalFormatting sqref="Q295:Q297">
    <cfRule type="expression" dxfId="144" priority="281">
      <formula>$A295="Pipe"</formula>
    </cfRule>
  </conditionalFormatting>
  <conditionalFormatting sqref="U295:V297">
    <cfRule type="expression" dxfId="143" priority="256">
      <formula>OR($A295="Sngljun",$A295="Junction")</formula>
    </cfRule>
    <cfRule type="expression" dxfId="142" priority="264">
      <formula>$A295="Snglvol"</formula>
    </cfRule>
    <cfRule type="expression" dxfId="141" priority="273">
      <formula>$A295="Tmdpvol"</formula>
    </cfRule>
    <cfRule type="expression" dxfId="140" priority="280">
      <formula>$A295="Pipe"</formula>
    </cfRule>
  </conditionalFormatting>
  <conditionalFormatting sqref="M295:P297">
    <cfRule type="expression" dxfId="139" priority="279">
      <formula>$A295="Pipe"</formula>
    </cfRule>
  </conditionalFormatting>
  <conditionalFormatting sqref="R295:T297">
    <cfRule type="expression" dxfId="138" priority="278">
      <formula>$A295="Pipe"</formula>
    </cfRule>
  </conditionalFormatting>
  <conditionalFormatting sqref="A295:C297">
    <cfRule type="expression" dxfId="137" priority="277">
      <formula>$A295="Tmdpvol"</formula>
    </cfRule>
  </conditionalFormatting>
  <conditionalFormatting sqref="E295:G297">
    <cfRule type="expression" dxfId="136" priority="276">
      <formula>$A295="Tmdpvol"</formula>
    </cfRule>
  </conditionalFormatting>
  <conditionalFormatting sqref="J295:K297">
    <cfRule type="expression" dxfId="135" priority="275">
      <formula>$A295="Tmdpvol"</formula>
    </cfRule>
  </conditionalFormatting>
  <conditionalFormatting sqref="Q295:R297">
    <cfRule type="expression" dxfId="134" priority="274">
      <formula>$A295="Tmdpvol"</formula>
    </cfRule>
  </conditionalFormatting>
  <conditionalFormatting sqref="D295:D297">
    <cfRule type="expression" dxfId="133" priority="272">
      <formula>$A295="Tmdpvol"</formula>
    </cfRule>
  </conditionalFormatting>
  <conditionalFormatting sqref="H295:I297">
    <cfRule type="expression" dxfId="132" priority="271">
      <formula>$A295="Tmdpvol"</formula>
    </cfRule>
  </conditionalFormatting>
  <conditionalFormatting sqref="L295:P297">
    <cfRule type="expression" dxfId="131" priority="270">
      <formula>$A295="Tmdpvol"</formula>
    </cfRule>
  </conditionalFormatting>
  <conditionalFormatting sqref="S295:T297">
    <cfRule type="expression" dxfId="130" priority="269">
      <formula>$A295="Tmdpvol"</formula>
    </cfRule>
  </conditionalFormatting>
  <conditionalFormatting sqref="A295:C297">
    <cfRule type="expression" dxfId="129" priority="268">
      <formula>$A295="Snglvol"</formula>
    </cfRule>
  </conditionalFormatting>
  <conditionalFormatting sqref="E295:G297">
    <cfRule type="expression" dxfId="128" priority="267">
      <formula>$A295="Snglvol"</formula>
    </cfRule>
  </conditionalFormatting>
  <conditionalFormatting sqref="J295:K297">
    <cfRule type="expression" dxfId="127" priority="266">
      <formula>$A295="Snglvol"</formula>
    </cfRule>
  </conditionalFormatting>
  <conditionalFormatting sqref="Q295:R297">
    <cfRule type="expression" dxfId="126" priority="265">
      <formula>$A295="Snglvol"</formula>
    </cfRule>
  </conditionalFormatting>
  <conditionalFormatting sqref="D295:D297">
    <cfRule type="expression" dxfId="125" priority="263">
      <formula>$A295="Snglvol"</formula>
    </cfRule>
  </conditionalFormatting>
  <conditionalFormatting sqref="H295:I297">
    <cfRule type="expression" dxfId="124" priority="262">
      <formula>$A295="Snglvol"</formula>
    </cfRule>
  </conditionalFormatting>
  <conditionalFormatting sqref="L295:T297">
    <cfRule type="expression" dxfId="123" priority="261">
      <formula>$A295="Snglvol"</formula>
    </cfRule>
  </conditionalFormatting>
  <conditionalFormatting sqref="A295:B297">
    <cfRule type="expression" dxfId="122" priority="260">
      <formula>OR($A295="Sngljun",$A295="Junction")</formula>
    </cfRule>
  </conditionalFormatting>
  <conditionalFormatting sqref="E295:E297">
    <cfRule type="expression" dxfId="121" priority="259">
      <formula>OR($A295="Sngljun",$A295="Junction")</formula>
    </cfRule>
  </conditionalFormatting>
  <conditionalFormatting sqref="H295:K297">
    <cfRule type="expression" dxfId="120" priority="258">
      <formula>OR($A295="Sngljun",$A295="Junction")</formula>
    </cfRule>
  </conditionalFormatting>
  <conditionalFormatting sqref="M295:P297">
    <cfRule type="expression" dxfId="119" priority="257">
      <formula>OR($A295="Sngljun",$A295="Junction")</formula>
    </cfRule>
  </conditionalFormatting>
  <conditionalFormatting sqref="C295:D297">
    <cfRule type="expression" dxfId="118" priority="255">
      <formula>OR($A295="Sngljun",$A295="Junction")</formula>
    </cfRule>
  </conditionalFormatting>
  <conditionalFormatting sqref="F295:G297">
    <cfRule type="expression" dxfId="117" priority="254">
      <formula>OR($A295="Sngljun",$A295="Junction")</formula>
    </cfRule>
  </conditionalFormatting>
  <conditionalFormatting sqref="L295:L297">
    <cfRule type="expression" dxfId="116" priority="253">
      <formula>OR($A295="Sngljun",$A295="Junction")</formula>
    </cfRule>
  </conditionalFormatting>
  <conditionalFormatting sqref="Q295:T297">
    <cfRule type="expression" dxfId="115" priority="252">
      <formula>OR($A295="Sngljun",$A295="Junction")</formula>
    </cfRule>
  </conditionalFormatting>
  <conditionalFormatting sqref="A295:B297">
    <cfRule type="expression" dxfId="114" priority="251">
      <formula>OR($A295="Mtrvlv",$A295="Srvvlv",$A295="Trpvlv",$A295="Chkvlv",$A295="Inrvlv",$A295="Tmdpjun")</formula>
    </cfRule>
  </conditionalFormatting>
  <conditionalFormatting sqref="E295:E297">
    <cfRule type="expression" dxfId="113" priority="250">
      <formula>OR($A295="Mtrvlv",$A295="Srvvlv",$A295="Trpvlv",$A295="Chkvlv",$A295="Inrvlv",$A295="Tmdpjun")</formula>
    </cfRule>
  </conditionalFormatting>
  <conditionalFormatting sqref="H295:K297">
    <cfRule type="expression" dxfId="112" priority="249">
      <formula>OR($A295="Mtrvlv",$A295="Srvvlv",$A295="Trpvlv",$A295="Chkvlv",$A295="Inrvlv",$A295="Tmdpjun")</formula>
    </cfRule>
  </conditionalFormatting>
  <conditionalFormatting sqref="M295:P297">
    <cfRule type="expression" dxfId="111" priority="248">
      <formula>OR($A295="Mtrvlv",$A295="Srvvlv",$A295="Trpvlv",$A295="Chkvlv",$A295="Inrvlv",$A295="Tmdpjun")</formula>
    </cfRule>
  </conditionalFormatting>
  <conditionalFormatting sqref="T295:V297">
    <cfRule type="expression" dxfId="110" priority="247">
      <formula>OR($A295="Mtrvlv",$A295="Srvvlv",$A295="Trpvlv",$A295="Chkvlv",$A295="Inrvlv",$A295="Tmdpjun")</formula>
    </cfRule>
  </conditionalFormatting>
  <conditionalFormatting sqref="C295:D297">
    <cfRule type="expression" dxfId="109" priority="246">
      <formula>OR($A295="Mtrvlv",$A295="Srvvlv",$A295="Trpvlv",$A295="Chkvlv",$A295="Inrvlv",$A295="Tmdpjun")</formula>
    </cfRule>
  </conditionalFormatting>
  <conditionalFormatting sqref="F295:G297">
    <cfRule type="expression" dxfId="108" priority="245">
      <formula>OR($A295="Mtrvlv",$A295="Srvvlv",$A295="Trpvlv",$A295="Chkvlv",$A295="Inrvlv",$A295="Tmdpjun")</formula>
    </cfRule>
  </conditionalFormatting>
  <conditionalFormatting sqref="L295:L297">
    <cfRule type="expression" dxfId="107" priority="244">
      <formula>OR($A295="Mtrvlv",$A295="Srvvlv",$A295="Trpvlv",$A295="Chkvlv",$A295="Inrvlv",$A295="Tmdpjun")</formula>
    </cfRule>
  </conditionalFormatting>
  <conditionalFormatting sqref="Q295:S297">
    <cfRule type="expression" dxfId="106" priority="243">
      <formula>OR($A295="Mtrvlv",$A295="Srvvlv",$A295="Trpvlv",$A295="Chkvlv",$A295="Inrvlv",$A295="Tmdpjun")</formula>
    </cfRule>
  </conditionalFormatting>
  <conditionalFormatting sqref="A295:C297">
    <cfRule type="expression" dxfId="105" priority="242">
      <formula>$A295="Pump"</formula>
    </cfRule>
  </conditionalFormatting>
  <conditionalFormatting sqref="E295:K297">
    <cfRule type="expression" dxfId="104" priority="241">
      <formula>$A295="Pump"</formula>
    </cfRule>
  </conditionalFormatting>
  <conditionalFormatting sqref="M295:P297">
    <cfRule type="expression" dxfId="103" priority="240">
      <formula>$A295="Pump"</formula>
    </cfRule>
  </conditionalFormatting>
  <conditionalFormatting sqref="R295:V297">
    <cfRule type="expression" dxfId="102" priority="239">
      <formula>$A295="Pump"</formula>
    </cfRule>
  </conditionalFormatting>
  <conditionalFormatting sqref="C295:D297">
    <cfRule type="expression" dxfId="101" priority="238">
      <formula>$A295="Pump"</formula>
    </cfRule>
  </conditionalFormatting>
  <conditionalFormatting sqref="F295:G297">
    <cfRule type="expression" dxfId="100" priority="237">
      <formula>$A295="Pump"</formula>
    </cfRule>
  </conditionalFormatting>
  <conditionalFormatting sqref="L295:L297">
    <cfRule type="expression" dxfId="99" priority="236">
      <formula>$A295="Pump"</formula>
    </cfRule>
  </conditionalFormatting>
  <conditionalFormatting sqref="Q295:Q297">
    <cfRule type="expression" dxfId="98" priority="235">
      <formula>$A295="Pump"</formula>
    </cfRule>
  </conditionalFormatting>
  <conditionalFormatting sqref="A295:B297">
    <cfRule type="expression" dxfId="97" priority="234">
      <formula>$A295="Relapnr"</formula>
    </cfRule>
  </conditionalFormatting>
  <conditionalFormatting sqref="A295:C297">
    <cfRule type="expression" dxfId="96" priority="233">
      <formula>OR($A295="Init",$A295="InitGas")</formula>
    </cfRule>
  </conditionalFormatting>
  <conditionalFormatting sqref="A295:E297">
    <cfRule type="expression" dxfId="95" priority="232">
      <formula>$A295="Timestep"</formula>
    </cfRule>
  </conditionalFormatting>
  <conditionalFormatting sqref="A295:B297">
    <cfRule type="expression" dxfId="94" priority="231">
      <formula>OR($A295="Replacements",$A295="Triggerwords")</formula>
    </cfRule>
  </conditionalFormatting>
  <conditionalFormatting sqref="A295:B297">
    <cfRule type="expression" dxfId="93" priority="230">
      <formula>$A295="Custom"</formula>
    </cfRule>
  </conditionalFormatting>
  <conditionalFormatting sqref="A295:I297">
    <cfRule type="expression" dxfId="92" priority="229">
      <formula>$A295="Tripvar"</formula>
    </cfRule>
  </conditionalFormatting>
  <conditionalFormatting sqref="A295:F297">
    <cfRule type="expression" dxfId="91" priority="228">
      <formula>$A295="Triplog"</formula>
    </cfRule>
  </conditionalFormatting>
  <conditionalFormatting sqref="M295:M297">
    <cfRule type="expression" dxfId="90" priority="227">
      <formula>AND(OR($A295="Junction", $A295="Mtrvlv"),$M295=$B293,$O295=2,ISTEXT($M293))</formula>
    </cfRule>
  </conditionalFormatting>
  <conditionalFormatting sqref="N295:N297">
    <cfRule type="expression" dxfId="89" priority="226">
      <formula>AND(OR($A295="Junction", $A295="Mtrvlv"),$N295=$B297,$P295=1,ISTEXT($N297))</formula>
    </cfRule>
  </conditionalFormatting>
  <conditionalFormatting sqref="A3:L294">
    <cfRule type="expression" dxfId="88" priority="56">
      <formula>$A3="Pipe"</formula>
    </cfRule>
  </conditionalFormatting>
  <conditionalFormatting sqref="Q3:Q294">
    <cfRule type="expression" dxfId="87" priority="55">
      <formula>$A3="Pipe"</formula>
    </cfRule>
  </conditionalFormatting>
  <conditionalFormatting sqref="U3:V294">
    <cfRule type="expression" dxfId="86" priority="54">
      <formula>$A3="Pipe"</formula>
    </cfRule>
  </conditionalFormatting>
  <conditionalFormatting sqref="M3:P294">
    <cfRule type="expression" dxfId="85" priority="53">
      <formula>$A3="Pipe"</formula>
    </cfRule>
  </conditionalFormatting>
  <conditionalFormatting sqref="R3:T294">
    <cfRule type="expression" dxfId="84" priority="52">
      <formula>$A3="Pipe"</formula>
    </cfRule>
  </conditionalFormatting>
  <conditionalFormatting sqref="A3:C294">
    <cfRule type="expression" dxfId="83" priority="51">
      <formula>$A3="Tmdpvol"</formula>
    </cfRule>
  </conditionalFormatting>
  <conditionalFormatting sqref="E3:G294">
    <cfRule type="expression" dxfId="82" priority="50">
      <formula>$A3="Tmdpvol"</formula>
    </cfRule>
  </conditionalFormatting>
  <conditionalFormatting sqref="J3:K294">
    <cfRule type="expression" dxfId="81" priority="49">
      <formula>$A3="Tmdpvol"</formula>
    </cfRule>
  </conditionalFormatting>
  <conditionalFormatting sqref="Q3:R294">
    <cfRule type="expression" dxfId="80" priority="48">
      <formula>$A3="Tmdpvol"</formula>
    </cfRule>
  </conditionalFormatting>
  <conditionalFormatting sqref="U3:V294">
    <cfRule type="expression" dxfId="79" priority="47">
      <formula>$A3="Tmdpvol"</formula>
    </cfRule>
  </conditionalFormatting>
  <conditionalFormatting sqref="D3:D294">
    <cfRule type="expression" dxfId="78" priority="46">
      <formula>$A3="Tmdpvol"</formula>
    </cfRule>
  </conditionalFormatting>
  <conditionalFormatting sqref="H3:I294">
    <cfRule type="expression" dxfId="77" priority="45">
      <formula>$A3="Tmdpvol"</formula>
    </cfRule>
  </conditionalFormatting>
  <conditionalFormatting sqref="L3:P294">
    <cfRule type="expression" dxfId="76" priority="44">
      <formula>$A3="Tmdpvol"</formula>
    </cfRule>
  </conditionalFormatting>
  <conditionalFormatting sqref="S3:T294">
    <cfRule type="expression" dxfId="75" priority="43">
      <formula>$A3="Tmdpvol"</formula>
    </cfRule>
  </conditionalFormatting>
  <conditionalFormatting sqref="A3:C294">
    <cfRule type="expression" dxfId="74" priority="42">
      <formula>$A3="Snglvol"</formula>
    </cfRule>
  </conditionalFormatting>
  <conditionalFormatting sqref="E3:G294">
    <cfRule type="expression" dxfId="73" priority="41">
      <formula>$A3="Snglvol"</formula>
    </cfRule>
  </conditionalFormatting>
  <conditionalFormatting sqref="J3:K294">
    <cfRule type="expression" dxfId="72" priority="40">
      <formula>$A3="Snglvol"</formula>
    </cfRule>
  </conditionalFormatting>
  <conditionalFormatting sqref="Q3:R294">
    <cfRule type="expression" dxfId="71" priority="39">
      <formula>$A3="Snglvol"</formula>
    </cfRule>
  </conditionalFormatting>
  <conditionalFormatting sqref="U3:V294">
    <cfRule type="expression" dxfId="70" priority="38">
      <formula>$A3="Snglvol"</formula>
    </cfRule>
  </conditionalFormatting>
  <conditionalFormatting sqref="D3:D294">
    <cfRule type="expression" dxfId="69" priority="37">
      <formula>$A3="Snglvol"</formula>
    </cfRule>
  </conditionalFormatting>
  <conditionalFormatting sqref="H3:I294">
    <cfRule type="expression" dxfId="68" priority="36">
      <formula>$A3="Snglvol"</formula>
    </cfRule>
  </conditionalFormatting>
  <conditionalFormatting sqref="L3:T294">
    <cfRule type="expression" dxfId="67" priority="35">
      <formula>$A3="Snglvol"</formula>
    </cfRule>
  </conditionalFormatting>
  <conditionalFormatting sqref="A3:B294">
    <cfRule type="expression" dxfId="66" priority="34">
      <formula>OR($A3="Sngljun",$A3="Junction")</formula>
    </cfRule>
  </conditionalFormatting>
  <conditionalFormatting sqref="E3:E294">
    <cfRule type="expression" dxfId="65" priority="33">
      <formula>OR($A3="Sngljun",$A3="Junction")</formula>
    </cfRule>
  </conditionalFormatting>
  <conditionalFormatting sqref="H3:K294">
    <cfRule type="expression" dxfId="64" priority="32">
      <formula>OR($A3="Sngljun",$A3="Junction")</formula>
    </cfRule>
  </conditionalFormatting>
  <conditionalFormatting sqref="M3:P294">
    <cfRule type="expression" dxfId="63" priority="31">
      <formula>OR($A3="Sngljun",$A3="Junction")</formula>
    </cfRule>
  </conditionalFormatting>
  <conditionalFormatting sqref="U3:V294">
    <cfRule type="expression" dxfId="62" priority="30">
      <formula>OR($A3="Sngljun",$A3="Junction")</formula>
    </cfRule>
  </conditionalFormatting>
  <conditionalFormatting sqref="C3:D294">
    <cfRule type="expression" dxfId="61" priority="29">
      <formula>OR($A3="Sngljun",$A3="Junction")</formula>
    </cfRule>
  </conditionalFormatting>
  <conditionalFormatting sqref="F3:G294">
    <cfRule type="expression" dxfId="60" priority="28">
      <formula>OR($A3="Sngljun",$A3="Junction")</formula>
    </cfRule>
  </conditionalFormatting>
  <conditionalFormatting sqref="L3:L294">
    <cfRule type="expression" dxfId="59" priority="27">
      <formula>OR($A3="Sngljun",$A3="Junction")</formula>
    </cfRule>
  </conditionalFormatting>
  <conditionalFormatting sqref="Q3:T294">
    <cfRule type="expression" dxfId="58" priority="26">
      <formula>OR($A3="Sngljun",$A3="Junction")</formula>
    </cfRule>
  </conditionalFormatting>
  <conditionalFormatting sqref="A3:B294">
    <cfRule type="expression" dxfId="57" priority="25">
      <formula>OR($A3="Mtrvlv",$A3="Srvvlv",$A3="Trpvlv",$A3="Chkvlv",$A3="Inrvlv",$A3="Tmdpjun")</formula>
    </cfRule>
  </conditionalFormatting>
  <conditionalFormatting sqref="E3:E294">
    <cfRule type="expression" dxfId="56" priority="24">
      <formula>OR($A3="Mtrvlv",$A3="Srvvlv",$A3="Trpvlv",$A3="Chkvlv",$A3="Inrvlv",$A3="Tmdpjun")</formula>
    </cfRule>
  </conditionalFormatting>
  <conditionalFormatting sqref="H3:K294">
    <cfRule type="expression" dxfId="55" priority="23">
      <formula>OR($A3="Mtrvlv",$A3="Srvvlv",$A3="Trpvlv",$A3="Chkvlv",$A3="Inrvlv",$A3="Tmdpjun")</formula>
    </cfRule>
  </conditionalFormatting>
  <conditionalFormatting sqref="M3:P294">
    <cfRule type="expression" dxfId="54" priority="22">
      <formula>OR($A3="Mtrvlv",$A3="Srvvlv",$A3="Trpvlv",$A3="Chkvlv",$A3="Inrvlv",$A3="Tmdpjun")</formula>
    </cfRule>
  </conditionalFormatting>
  <conditionalFormatting sqref="T3:V294">
    <cfRule type="expression" dxfId="53" priority="21">
      <formula>OR($A3="Mtrvlv",$A3="Srvvlv",$A3="Trpvlv",$A3="Chkvlv",$A3="Inrvlv",$A3="Tmdpjun")</formula>
    </cfRule>
  </conditionalFormatting>
  <conditionalFormatting sqref="C3:D294">
    <cfRule type="expression" dxfId="52" priority="20">
      <formula>OR($A3="Mtrvlv",$A3="Srvvlv",$A3="Trpvlv",$A3="Chkvlv",$A3="Inrvlv",$A3="Tmdpjun")</formula>
    </cfRule>
  </conditionalFormatting>
  <conditionalFormatting sqref="F3:G294">
    <cfRule type="expression" dxfId="51" priority="19">
      <formula>OR($A3="Mtrvlv",$A3="Srvvlv",$A3="Trpvlv",$A3="Chkvlv",$A3="Inrvlv",$A3="Tmdpjun")</formula>
    </cfRule>
  </conditionalFormatting>
  <conditionalFormatting sqref="L3:L294">
    <cfRule type="expression" dxfId="50" priority="18">
      <formula>OR($A3="Mtrvlv",$A3="Srvvlv",$A3="Trpvlv",$A3="Chkvlv",$A3="Inrvlv",$A3="Tmdpjun")</formula>
    </cfRule>
  </conditionalFormatting>
  <conditionalFormatting sqref="Q3:S294">
    <cfRule type="expression" dxfId="49" priority="17">
      <formula>OR($A3="Mtrvlv",$A3="Srvvlv",$A3="Trpvlv",$A3="Chkvlv",$A3="Inrvlv",$A3="Tmdpjun")</formula>
    </cfRule>
  </conditionalFormatting>
  <conditionalFormatting sqref="A3:C294">
    <cfRule type="expression" dxfId="48" priority="16">
      <formula>$A3="Pump"</formula>
    </cfRule>
  </conditionalFormatting>
  <conditionalFormatting sqref="E3:K294">
    <cfRule type="expression" dxfId="47" priority="15">
      <formula>$A3="Pump"</formula>
    </cfRule>
  </conditionalFormatting>
  <conditionalFormatting sqref="M3:P294">
    <cfRule type="expression" dxfId="46" priority="14">
      <formula>$A3="Pump"</formula>
    </cfRule>
  </conditionalFormatting>
  <conditionalFormatting sqref="R3:V294">
    <cfRule type="expression" dxfId="45" priority="13">
      <formula>$A3="Pump"</formula>
    </cfRule>
  </conditionalFormatting>
  <conditionalFormatting sqref="D3:D294">
    <cfRule type="expression" dxfId="44" priority="12">
      <formula>$A3="Pump"</formula>
    </cfRule>
  </conditionalFormatting>
  <conditionalFormatting sqref="L3:L294">
    <cfRule type="expression" dxfId="43" priority="11">
      <formula>$A3="Pump"</formula>
    </cfRule>
  </conditionalFormatting>
  <conditionalFormatting sqref="Q3:Q294">
    <cfRule type="expression" dxfId="42" priority="10">
      <formula>$A3="Pump"</formula>
    </cfRule>
  </conditionalFormatting>
  <conditionalFormatting sqref="A3:B294">
    <cfRule type="expression" dxfId="41" priority="9">
      <formula>$A3="Relapnr"</formula>
    </cfRule>
  </conditionalFormatting>
  <conditionalFormatting sqref="A3:C294">
    <cfRule type="expression" dxfId="40" priority="8">
      <formula>OR($A3="Init",$A3="InitGas")</formula>
    </cfRule>
  </conditionalFormatting>
  <conditionalFormatting sqref="A3:E294">
    <cfRule type="expression" dxfId="39" priority="7">
      <formula>$A3="Timestep"</formula>
    </cfRule>
  </conditionalFormatting>
  <conditionalFormatting sqref="A3:B294">
    <cfRule type="expression" dxfId="38" priority="6">
      <formula>OR($A3="Replacements",$A3="Triggerwords")</formula>
    </cfRule>
  </conditionalFormatting>
  <conditionalFormatting sqref="A3:B294">
    <cfRule type="expression" dxfId="37" priority="5">
      <formula>$A3="Custom"</formula>
    </cfRule>
  </conditionalFormatting>
  <conditionalFormatting sqref="A3:I294">
    <cfRule type="expression" dxfId="36" priority="4">
      <formula>$A3="Tripvar"</formula>
    </cfRule>
  </conditionalFormatting>
  <conditionalFormatting sqref="A3:F294">
    <cfRule type="expression" dxfId="35" priority="3">
      <formula>$A3="Triplog"</formula>
    </cfRule>
  </conditionalFormatting>
  <conditionalFormatting sqref="M3:M294">
    <cfRule type="expression" dxfId="34" priority="2">
      <formula>AND(OR($A3="Junction", $A3="Sngljun", $A3="Mtrvlv", $A3="Srvvlv", $A3="Chkvlv", $A3="Inrvlv", $A3="Pump"),$M3=$B1,$O3=2,ISTEXT($M1))</formula>
    </cfRule>
  </conditionalFormatting>
  <conditionalFormatting sqref="N3:N294">
    <cfRule type="expression" dxfId="33" priority="1">
      <formula>AND(OR($A3="Junction", $A3="Sngljun", $A3="Mtrvlv", $A3="Srvvlv", $A3="Chkvlv", $A3="Inrvlv", $A3="Pump"),$N3=$B5,$P3=1,ISTEXT($N5))</formula>
    </cfRule>
  </conditionalFormatting>
  <dataValidations count="2">
    <dataValidation type="list" allowBlank="1" showInputMessage="1" showErrorMessage="1" sqref="B13">
      <formula1>"0,1,2"</formula1>
    </dataValidation>
    <dataValidation type="list" allowBlank="1" showInputMessage="1" showErrorMessage="1" sqref="B15">
      <formula1>"0,1"</formula1>
    </dataValidation>
  </dataValidations>
  <pageMargins left="0.75" right="0.75" top="1" bottom="1" header="0.5" footer="0.5"/>
  <pageSetup paperSize="9" scale="33" fitToHeight="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CreateInputFile">
                <anchor>
                  <from>
                    <xdr:col>15</xdr:col>
                    <xdr:colOff>57150</xdr:colOff>
                    <xdr:row>0</xdr:row>
                    <xdr:rowOff>438150</xdr:rowOff>
                  </from>
                  <to>
                    <xdr:col>18</xdr:col>
                    <xdr:colOff>419100</xdr:colOff>
                    <xdr:row>1</xdr:row>
                    <xdr:rowOff>171450</xdr:rowOff>
                  </to>
                </anchor>
              </controlPr>
            </control>
          </mc:Choice>
        </mc:AlternateContent>
        <mc:AlternateContent xmlns:mc="http://schemas.openxmlformats.org/markup-compatibility/2006">
          <mc:Choice Requires="x14">
            <control shapeId="29698" r:id="rId5" name="Button 2">
              <controlPr defaultSize="0" print="0" autoFill="0" autoPict="0" macro="[0]!CreateInputFiles">
                <anchor>
                  <from>
                    <xdr:col>19</xdr:col>
                    <xdr:colOff>9525</xdr:colOff>
                    <xdr:row>0</xdr:row>
                    <xdr:rowOff>438150</xdr:rowOff>
                  </from>
                  <to>
                    <xdr:col>21</xdr:col>
                    <xdr:colOff>504825</xdr:colOff>
                    <xdr:row>1</xdr:row>
                    <xdr:rowOff>171450</xdr:rowOff>
                  </to>
                </anchor>
              </controlPr>
            </control>
          </mc:Choice>
        </mc:AlternateContent>
        <mc:AlternateContent xmlns:mc="http://schemas.openxmlformats.org/markup-compatibility/2006">
          <mc:Choice Requires="x14">
            <control shapeId="29699" r:id="rId6" name="Button 3">
              <controlPr defaultSize="0" print="0" autoFill="0" autoPict="0" macro="[0]!AddFlowPath">
                <anchor>
                  <from>
                    <xdr:col>0</xdr:col>
                    <xdr:colOff>57150</xdr:colOff>
                    <xdr:row>0</xdr:row>
                    <xdr:rowOff>333375</xdr:rowOff>
                  </from>
                  <to>
                    <xdr:col>0</xdr:col>
                    <xdr:colOff>952500</xdr:colOff>
                    <xdr:row>1</xdr:row>
                    <xdr:rowOff>66675</xdr:rowOff>
                  </to>
                </anchor>
              </controlPr>
            </control>
          </mc:Choice>
        </mc:AlternateContent>
        <mc:AlternateContent xmlns:mc="http://schemas.openxmlformats.org/markup-compatibility/2006">
          <mc:Choice Requires="x14">
            <control shapeId="29700" r:id="rId7" name="Button 4">
              <controlPr defaultSize="0" print="0" autoFill="0" autoPict="0" macro="[0]!AddPipe">
                <anchor>
                  <from>
                    <xdr:col>1</xdr:col>
                    <xdr:colOff>47625</xdr:colOff>
                    <xdr:row>0</xdr:row>
                    <xdr:rowOff>333375</xdr:rowOff>
                  </from>
                  <to>
                    <xdr:col>2</xdr:col>
                    <xdr:colOff>85725</xdr:colOff>
                    <xdr:row>1</xdr:row>
                    <xdr:rowOff>66675</xdr:rowOff>
                  </to>
                </anchor>
              </controlPr>
            </control>
          </mc:Choice>
        </mc:AlternateContent>
        <mc:AlternateContent xmlns:mc="http://schemas.openxmlformats.org/markup-compatibility/2006">
          <mc:Choice Requires="x14">
            <control shapeId="29701" r:id="rId8" name="Button 5">
              <controlPr defaultSize="0" print="0" autoFill="0" autoPict="0" macro="[0]!addJunction">
                <anchor>
                  <from>
                    <xdr:col>2</xdr:col>
                    <xdr:colOff>200025</xdr:colOff>
                    <xdr:row>0</xdr:row>
                    <xdr:rowOff>333375</xdr:rowOff>
                  </from>
                  <to>
                    <xdr:col>3</xdr:col>
                    <xdr:colOff>466725</xdr:colOff>
                    <xdr:row>1</xdr:row>
                    <xdr:rowOff>66675</xdr:rowOff>
                  </to>
                </anchor>
              </controlPr>
            </control>
          </mc:Choice>
        </mc:AlternateContent>
        <mc:AlternateContent xmlns:mc="http://schemas.openxmlformats.org/markup-compatibility/2006">
          <mc:Choice Requires="x14">
            <control shapeId="29702" r:id="rId9" name="Button 6">
              <controlPr defaultSize="0" print="0" autoFill="0" autoPict="0" macro="[0]!addTmdpvol">
                <anchor>
                  <from>
                    <xdr:col>4</xdr:col>
                    <xdr:colOff>28575</xdr:colOff>
                    <xdr:row>0</xdr:row>
                    <xdr:rowOff>333375</xdr:rowOff>
                  </from>
                  <to>
                    <xdr:col>5</xdr:col>
                    <xdr:colOff>85725</xdr:colOff>
                    <xdr:row>1</xdr:row>
                    <xdr:rowOff>66675</xdr:rowOff>
                  </to>
                </anchor>
              </controlPr>
            </control>
          </mc:Choice>
        </mc:AlternateContent>
        <mc:AlternateContent xmlns:mc="http://schemas.openxmlformats.org/markup-compatibility/2006">
          <mc:Choice Requires="x14">
            <control shapeId="29703" r:id="rId10" name="Button 7">
              <controlPr defaultSize="0" print="0" autoFill="0" autoPict="0" macro="[0]!addVariable">
                <anchor>
                  <from>
                    <xdr:col>5</xdr:col>
                    <xdr:colOff>200025</xdr:colOff>
                    <xdr:row>0</xdr:row>
                    <xdr:rowOff>333375</xdr:rowOff>
                  </from>
                  <to>
                    <xdr:col>6</xdr:col>
                    <xdr:colOff>238125</xdr:colOff>
                    <xdr:row>1</xdr:row>
                    <xdr:rowOff>66675</xdr:rowOff>
                  </to>
                </anchor>
              </controlPr>
            </control>
          </mc:Choice>
        </mc:AlternateContent>
        <mc:AlternateContent xmlns:mc="http://schemas.openxmlformats.org/markup-compatibility/2006">
          <mc:Choice Requires="x14">
            <control shapeId="29704" r:id="rId11" name="Button 8">
              <controlPr defaultSize="0" print="0" autoFill="0" autoPict="0" macro="[0]!ModelSummary">
                <anchor>
                  <from>
                    <xdr:col>12</xdr:col>
                    <xdr:colOff>514350</xdr:colOff>
                    <xdr:row>0</xdr:row>
                    <xdr:rowOff>438150</xdr:rowOff>
                  </from>
                  <to>
                    <xdr:col>14</xdr:col>
                    <xdr:colOff>285750</xdr:colOff>
                    <xdr:row>1</xdr:row>
                    <xdr:rowOff>171450</xdr:rowOff>
                  </to>
                </anchor>
              </controlPr>
            </control>
          </mc:Choice>
        </mc:AlternateContent>
        <mc:AlternateContent xmlns:mc="http://schemas.openxmlformats.org/markup-compatibility/2006">
          <mc:Choice Requires="x14">
            <control shapeId="29705" r:id="rId12" name="Button 9">
              <controlPr defaultSize="0" print="0" autoFill="0" autoPict="0" macro="[0]!ProbeOutput">
                <anchor>
                  <from>
                    <xdr:col>10</xdr:col>
                    <xdr:colOff>504825</xdr:colOff>
                    <xdr:row>0</xdr:row>
                    <xdr:rowOff>438150</xdr:rowOff>
                  </from>
                  <to>
                    <xdr:col>12</xdr:col>
                    <xdr:colOff>371475</xdr:colOff>
                    <xdr:row>1</xdr:row>
                    <xdr:rowOff>171450</xdr:rowOff>
                  </to>
                </anchor>
              </controlPr>
            </control>
          </mc:Choice>
        </mc:AlternateContent>
        <mc:AlternateContent xmlns:mc="http://schemas.openxmlformats.org/markup-compatibility/2006">
          <mc:Choice Requires="x14">
            <control shapeId="29706" r:id="rId13" name="Button 10">
              <controlPr defaultSize="0" print="0" autoFill="0" autoPict="0" macro="[0]!AddTripVariable">
                <anchor>
                  <from>
                    <xdr:col>6</xdr:col>
                    <xdr:colOff>352425</xdr:colOff>
                    <xdr:row>0</xdr:row>
                    <xdr:rowOff>333375</xdr:rowOff>
                  </from>
                  <to>
                    <xdr:col>7</xdr:col>
                    <xdr:colOff>419100</xdr:colOff>
                    <xdr:row>1</xdr:row>
                    <xdr:rowOff>66675</xdr:rowOff>
                  </to>
                </anchor>
              </controlPr>
            </control>
          </mc:Choice>
        </mc:AlternateContent>
        <mc:AlternateContent xmlns:mc="http://schemas.openxmlformats.org/markup-compatibility/2006">
          <mc:Choice Requires="x14">
            <control shapeId="29707" r:id="rId14" name="Button 11">
              <controlPr defaultSize="0" print="0" autoFill="0" autoPict="0" macro="[0]!AddTripLogical">
                <anchor>
                  <from>
                    <xdr:col>8</xdr:col>
                    <xdr:colOff>9525</xdr:colOff>
                    <xdr:row>0</xdr:row>
                    <xdr:rowOff>333375</xdr:rowOff>
                  </from>
                  <to>
                    <xdr:col>9</xdr:col>
                    <xdr:colOff>495300</xdr:colOff>
                    <xdr:row>1</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dimension ref="A1:DB61"/>
  <sheetViews>
    <sheetView zoomScaleNormal="100" workbookViewId="0">
      <pane xSplit="5" topLeftCell="AE1" activePane="topRight" state="frozenSplit"/>
      <selection pane="topRight" activeCell="AH9" sqref="AH9"/>
    </sheetView>
  </sheetViews>
  <sheetFormatPr defaultRowHeight="12.75" x14ac:dyDescent="0.2"/>
  <cols>
    <col min="1" max="1" width="5.7109375" style="41" customWidth="1"/>
    <col min="2" max="2" width="16.42578125" style="41" customWidth="1"/>
    <col min="3" max="3" width="59.42578125" customWidth="1"/>
    <col min="4" max="4" width="21" customWidth="1"/>
    <col min="5" max="5" width="13.5703125" customWidth="1"/>
    <col min="6" max="6" width="10.28515625" customWidth="1"/>
    <col min="7" max="7" width="4" bestFit="1" customWidth="1"/>
    <col min="8" max="8" width="8.28515625" bestFit="1" customWidth="1"/>
    <col min="9" max="9" width="3.42578125" bestFit="1" customWidth="1"/>
    <col min="10" max="10" width="5" bestFit="1" customWidth="1"/>
    <col min="11" max="11" width="8.28515625" bestFit="1" customWidth="1"/>
    <col min="12" max="12" width="3.42578125" bestFit="1" customWidth="1"/>
    <col min="13" max="13" width="4" bestFit="1" customWidth="1"/>
    <col min="14" max="14" width="8.28515625" bestFit="1" customWidth="1"/>
    <col min="15" max="15" width="3.42578125" bestFit="1" customWidth="1"/>
    <col min="16" max="16" width="4" bestFit="1" customWidth="1"/>
    <col min="17" max="17" width="8.28515625" bestFit="1" customWidth="1"/>
    <col min="18" max="18" width="3.42578125" bestFit="1" customWidth="1"/>
    <col min="19" max="19" width="4" bestFit="1" customWidth="1"/>
    <col min="20" max="20" width="8.28515625" bestFit="1" customWidth="1"/>
    <col min="21" max="21" width="3.42578125" bestFit="1" customWidth="1"/>
    <col min="22" max="106" width="10.28515625" customWidth="1"/>
  </cols>
  <sheetData>
    <row r="1" spans="1:106" ht="26.25" x14ac:dyDescent="0.4">
      <c r="A1" s="115" t="s">
        <v>315</v>
      </c>
      <c r="B1" s="51"/>
      <c r="C1" s="49"/>
    </row>
    <row r="2" spans="1:106" ht="15" x14ac:dyDescent="0.2">
      <c r="B2" s="50" t="s">
        <v>266</v>
      </c>
      <c r="C2" s="113">
        <v>1</v>
      </c>
    </row>
    <row r="3" spans="1:106" ht="15" x14ac:dyDescent="0.2">
      <c r="B3" s="50" t="s">
        <v>308</v>
      </c>
      <c r="C3" s="113" t="s">
        <v>319</v>
      </c>
    </row>
    <row r="4" spans="1:106" ht="15" x14ac:dyDescent="0.25">
      <c r="B4" s="50" t="s">
        <v>309</v>
      </c>
      <c r="C4" s="114" t="e">
        <f>INDEX(TestMatrixVariableValues,C2,MATCH(C3,TestMatrixVariableNames,0))</f>
        <v>#N/A</v>
      </c>
    </row>
    <row r="5" spans="1:106" x14ac:dyDescent="0.2">
      <c r="F5" s="44" t="s">
        <v>285</v>
      </c>
      <c r="G5" s="45"/>
    </row>
    <row r="6" spans="1:106" x14ac:dyDescent="0.2">
      <c r="A6" s="110" t="s">
        <v>288</v>
      </c>
      <c r="B6" s="91" t="s">
        <v>283</v>
      </c>
      <c r="C6" s="52" t="s">
        <v>24</v>
      </c>
      <c r="D6" s="52" t="s">
        <v>284</v>
      </c>
      <c r="E6" s="91" t="s">
        <v>287</v>
      </c>
      <c r="F6" s="48" t="s">
        <v>286</v>
      </c>
      <c r="G6" s="127" t="s">
        <v>329</v>
      </c>
      <c r="H6" s="125" t="s">
        <v>43</v>
      </c>
      <c r="I6" s="126" t="s">
        <v>330</v>
      </c>
      <c r="J6" s="127" t="s">
        <v>331</v>
      </c>
      <c r="K6" s="125" t="s">
        <v>44</v>
      </c>
      <c r="L6" s="126" t="s">
        <v>332</v>
      </c>
      <c r="M6" s="127" t="s">
        <v>333</v>
      </c>
      <c r="N6" s="125" t="s">
        <v>45</v>
      </c>
      <c r="O6" s="126" t="s">
        <v>334</v>
      </c>
      <c r="P6" s="127" t="s">
        <v>335</v>
      </c>
      <c r="Q6" s="125" t="s">
        <v>327</v>
      </c>
      <c r="R6" s="126" t="s">
        <v>336</v>
      </c>
      <c r="S6" s="127" t="s">
        <v>337</v>
      </c>
      <c r="T6" s="125" t="s">
        <v>328</v>
      </c>
      <c r="U6" s="126" t="s">
        <v>338</v>
      </c>
      <c r="V6" s="47"/>
      <c r="W6" s="48"/>
      <c r="X6" s="48"/>
      <c r="Y6" s="47" t="s">
        <v>415</v>
      </c>
      <c r="Z6" s="47" t="s">
        <v>416</v>
      </c>
      <c r="AA6" s="47"/>
      <c r="AB6" s="47"/>
      <c r="AC6" s="47" t="s">
        <v>417</v>
      </c>
      <c r="AD6" s="47" t="s">
        <v>418</v>
      </c>
      <c r="AE6" s="48" t="s">
        <v>419</v>
      </c>
      <c r="AF6" s="48" t="s">
        <v>420</v>
      </c>
      <c r="AG6" s="48"/>
      <c r="AH6" s="47" t="s">
        <v>371</v>
      </c>
      <c r="AI6" s="47" t="s">
        <v>381</v>
      </c>
      <c r="AJ6" s="47" t="s">
        <v>384</v>
      </c>
      <c r="AK6" s="47" t="s">
        <v>398</v>
      </c>
      <c r="AL6" s="47"/>
      <c r="AM6" s="47"/>
      <c r="AN6" s="47"/>
      <c r="AO6" s="47"/>
      <c r="AP6" s="47"/>
      <c r="AQ6" s="47"/>
      <c r="AR6" s="48"/>
      <c r="AS6" s="48"/>
      <c r="AT6" s="48"/>
      <c r="AU6" s="48"/>
      <c r="AV6" s="48"/>
      <c r="AW6" s="48"/>
      <c r="AX6" s="48"/>
      <c r="AY6" s="48"/>
      <c r="AZ6" s="48"/>
      <c r="BA6" s="48"/>
      <c r="BB6" s="48"/>
      <c r="BC6" s="48"/>
      <c r="BD6" s="48"/>
      <c r="BE6" s="48"/>
      <c r="BF6" s="48"/>
      <c r="BG6" s="48"/>
      <c r="BH6" s="48"/>
      <c r="BI6" s="48"/>
      <c r="BJ6" s="48"/>
      <c r="BK6" s="48"/>
      <c r="BL6" s="48"/>
      <c r="BM6" s="48"/>
      <c r="BN6" s="48"/>
      <c r="BO6" s="48"/>
      <c r="BP6" s="48"/>
      <c r="BQ6" s="48"/>
      <c r="BR6" s="48"/>
      <c r="BS6" s="48"/>
      <c r="BT6" s="48"/>
      <c r="BU6" s="48"/>
      <c r="BV6" s="48"/>
      <c r="BW6" s="48"/>
      <c r="BX6" s="48"/>
      <c r="BY6" s="48"/>
      <c r="BZ6" s="48"/>
      <c r="CA6" s="48"/>
      <c r="CB6" s="48"/>
      <c r="CC6" s="48"/>
      <c r="CD6" s="48"/>
      <c r="CE6" s="48"/>
      <c r="CF6" s="48"/>
      <c r="CG6" s="48"/>
      <c r="CH6" s="48"/>
      <c r="CI6" s="48"/>
      <c r="CJ6" s="48"/>
      <c r="CK6" s="48"/>
      <c r="CL6" s="48"/>
      <c r="CM6" s="48"/>
      <c r="CN6" s="48"/>
      <c r="CO6" s="48"/>
      <c r="CP6" s="48"/>
      <c r="CQ6" s="48"/>
      <c r="CR6" s="48"/>
      <c r="CS6" s="48"/>
      <c r="CT6" s="48"/>
      <c r="CU6" s="48"/>
      <c r="CV6" s="48"/>
      <c r="CW6" s="48"/>
      <c r="CX6" s="48"/>
      <c r="CY6" s="48"/>
      <c r="CZ6" s="48"/>
      <c r="DA6" s="48"/>
      <c r="DB6" s="48"/>
    </row>
    <row r="7" spans="1:106" ht="15" x14ac:dyDescent="0.25">
      <c r="A7" s="111">
        <f>ROW()-ROW($A$6)</f>
        <v>1</v>
      </c>
      <c r="B7" s="92" t="s">
        <v>265</v>
      </c>
      <c r="C7" s="93" t="s">
        <v>412</v>
      </c>
      <c r="D7" s="109" t="str">
        <f>IF(B7="","",IF(ISERROR(FIND("\",B7)),CONCATENATE(B7,"\",B7,".i"),CONCATENATE(B7,".i")))</f>
        <v>Case1\Case1.i</v>
      </c>
      <c r="E7" s="109" t="str">
        <f>IF(B7="","",IF(ISERROR(FIND("\",B7)),B7,RIGHT(B7,LEN(B7)-FIND("\",B7))))</f>
        <v>Case1</v>
      </c>
      <c r="F7" s="107" t="s">
        <v>28</v>
      </c>
      <c r="G7" s="123">
        <v>20</v>
      </c>
      <c r="H7" s="124">
        <v>0.01</v>
      </c>
      <c r="I7" s="123">
        <v>10</v>
      </c>
      <c r="J7" s="123">
        <v>25</v>
      </c>
      <c r="K7" s="124">
        <v>1E-3</v>
      </c>
      <c r="L7" s="123">
        <v>10</v>
      </c>
      <c r="M7" s="123">
        <v>26</v>
      </c>
      <c r="N7" s="124">
        <v>1E-3</v>
      </c>
      <c r="O7" s="123">
        <v>10</v>
      </c>
      <c r="P7" s="123"/>
      <c r="Q7" s="124">
        <v>0.02</v>
      </c>
      <c r="R7" s="123">
        <v>50</v>
      </c>
      <c r="S7" s="123"/>
      <c r="T7" s="124">
        <v>0.02</v>
      </c>
      <c r="U7" s="123">
        <v>50</v>
      </c>
      <c r="V7" s="107"/>
      <c r="W7" s="107"/>
      <c r="X7" s="107"/>
      <c r="Y7" s="107">
        <v>1</v>
      </c>
      <c r="Z7" s="107">
        <v>1</v>
      </c>
      <c r="AA7" s="107"/>
      <c r="AB7" s="107"/>
      <c r="AC7" s="107">
        <v>10</v>
      </c>
      <c r="AD7" s="107">
        <v>10</v>
      </c>
      <c r="AE7" s="107">
        <v>20</v>
      </c>
      <c r="AF7" s="107">
        <v>9999</v>
      </c>
      <c r="AG7" s="107"/>
      <c r="AH7" s="107">
        <v>0.75</v>
      </c>
      <c r="AI7" s="107">
        <v>0.75</v>
      </c>
      <c r="AJ7" s="107">
        <v>0.26500000000000001</v>
      </c>
      <c r="AK7" s="107">
        <v>0.26500000000000001</v>
      </c>
      <c r="AL7" s="107"/>
      <c r="AM7" s="107"/>
      <c r="AN7" s="107"/>
      <c r="AO7" s="107"/>
      <c r="AP7" s="107"/>
      <c r="AQ7" s="107"/>
      <c r="AR7" s="107"/>
      <c r="AS7" s="107"/>
      <c r="AT7" s="107"/>
      <c r="AU7" s="107"/>
      <c r="AV7" s="107"/>
      <c r="AW7" s="107"/>
      <c r="AX7" s="107"/>
      <c r="AY7" s="107"/>
      <c r="AZ7" s="107"/>
      <c r="BA7" s="107"/>
      <c r="BB7" s="107"/>
      <c r="BC7" s="107"/>
      <c r="BD7" s="108"/>
      <c r="BE7" s="108"/>
      <c r="BF7" s="108"/>
      <c r="BG7" s="107"/>
      <c r="BH7" s="107"/>
      <c r="BI7" s="107"/>
      <c r="BJ7" s="107"/>
      <c r="BK7" s="107"/>
      <c r="BL7" s="107"/>
      <c r="BM7" s="107"/>
      <c r="BN7" s="107"/>
      <c r="BO7" s="107"/>
      <c r="BP7" s="93"/>
      <c r="BQ7" s="93"/>
      <c r="BR7" s="93"/>
      <c r="BS7" s="93"/>
      <c r="BT7" s="93"/>
      <c r="BU7" s="93"/>
      <c r="BV7" s="93"/>
      <c r="BW7" s="93"/>
      <c r="BX7" s="93"/>
      <c r="BY7" s="93"/>
      <c r="BZ7" s="93"/>
      <c r="CA7" s="93"/>
      <c r="CB7" s="93"/>
      <c r="CC7" s="93"/>
      <c r="CD7" s="93"/>
      <c r="CE7" s="93"/>
      <c r="CF7" s="93"/>
      <c r="CG7" s="93"/>
      <c r="CH7" s="93"/>
      <c r="CI7" s="93"/>
      <c r="CJ7" s="93"/>
      <c r="CK7" s="93"/>
      <c r="CL7" s="93"/>
      <c r="CM7" s="93"/>
      <c r="CN7" s="93"/>
      <c r="CO7" s="93"/>
      <c r="CP7" s="93"/>
      <c r="CQ7" s="93"/>
      <c r="CR7" s="93"/>
      <c r="CS7" s="93"/>
      <c r="CT7" s="93"/>
      <c r="CU7" s="93"/>
      <c r="CV7" s="93"/>
      <c r="CW7" s="93"/>
      <c r="CX7" s="93"/>
      <c r="CY7" s="93"/>
      <c r="CZ7" s="93"/>
      <c r="DA7" s="93"/>
      <c r="DB7" s="93"/>
    </row>
    <row r="8" spans="1:106" ht="15" x14ac:dyDescent="0.25">
      <c r="A8" s="111">
        <f>ROW()-ROW($A$6)</f>
        <v>2</v>
      </c>
      <c r="B8" s="92" t="s">
        <v>278</v>
      </c>
      <c r="C8" s="93" t="s">
        <v>413</v>
      </c>
      <c r="D8" s="109" t="str">
        <f>IF(B8="","",IF(ISERROR(FIND("\",B8)),CONCATENATE(B8,"\",B8,".i"),CONCATENATE(B8,".i")))</f>
        <v>Case2\Case2.i</v>
      </c>
      <c r="E8" s="109" t="str">
        <f>IF(B8="","",IF(ISERROR(FIND("\",B8)),B8,RIGHT(B8,LEN(B8)-FIND("\",B8))))</f>
        <v>Case2</v>
      </c>
      <c r="F8" s="107" t="s">
        <v>28</v>
      </c>
      <c r="G8" s="123">
        <v>20</v>
      </c>
      <c r="H8" s="124">
        <v>0.01</v>
      </c>
      <c r="I8" s="123">
        <v>10</v>
      </c>
      <c r="J8" s="123">
        <v>25</v>
      </c>
      <c r="K8" s="124">
        <v>1E-3</v>
      </c>
      <c r="L8" s="123">
        <v>10</v>
      </c>
      <c r="M8" s="123">
        <v>26</v>
      </c>
      <c r="N8" s="124">
        <v>1E-3</v>
      </c>
      <c r="O8" s="123">
        <v>10</v>
      </c>
      <c r="P8" s="123"/>
      <c r="Q8" s="124">
        <v>0.02</v>
      </c>
      <c r="R8" s="123">
        <v>50</v>
      </c>
      <c r="S8" s="123"/>
      <c r="T8" s="124">
        <v>0.02</v>
      </c>
      <c r="U8" s="123">
        <v>50</v>
      </c>
      <c r="V8" s="107"/>
      <c r="W8" s="107"/>
      <c r="X8" s="107"/>
      <c r="Y8" s="107">
        <v>1</v>
      </c>
      <c r="Z8" s="107">
        <v>1</v>
      </c>
      <c r="AA8" s="107"/>
      <c r="AB8" s="107"/>
      <c r="AC8" s="107">
        <v>10</v>
      </c>
      <c r="AD8" s="107">
        <v>10</v>
      </c>
      <c r="AE8" s="107">
        <v>20</v>
      </c>
      <c r="AF8" s="107">
        <v>9999</v>
      </c>
      <c r="AG8" s="107"/>
      <c r="AH8" s="107">
        <v>0.26</v>
      </c>
      <c r="AI8" s="107">
        <v>0.26</v>
      </c>
      <c r="AJ8" s="107">
        <v>1</v>
      </c>
      <c r="AK8" s="107">
        <v>1</v>
      </c>
      <c r="AL8" s="107"/>
      <c r="AM8" s="107"/>
      <c r="AN8" s="107"/>
      <c r="AO8" s="107"/>
      <c r="AP8" s="107"/>
      <c r="AQ8" s="107"/>
      <c r="AR8" s="107"/>
      <c r="AS8" s="107"/>
      <c r="AT8" s="107"/>
      <c r="AU8" s="107"/>
      <c r="AV8" s="107"/>
      <c r="AW8" s="107"/>
      <c r="AX8" s="107"/>
      <c r="AY8" s="107"/>
      <c r="AZ8" s="107"/>
      <c r="BA8" s="107"/>
      <c r="BB8" s="107"/>
      <c r="BC8" s="107"/>
      <c r="BD8" s="108"/>
      <c r="BE8" s="108"/>
      <c r="BF8" s="108"/>
      <c r="BG8" s="107"/>
      <c r="BH8" s="107"/>
      <c r="BI8" s="107"/>
      <c r="BJ8" s="107"/>
      <c r="BK8" s="107"/>
      <c r="BL8" s="107"/>
      <c r="BM8" s="107"/>
      <c r="BN8" s="107"/>
      <c r="BO8" s="107"/>
      <c r="BP8" s="93"/>
      <c r="BQ8" s="93"/>
      <c r="BR8" s="93"/>
      <c r="BS8" s="93"/>
      <c r="BT8" s="93"/>
      <c r="BU8" s="93"/>
      <c r="BV8" s="93"/>
      <c r="BW8" s="93"/>
      <c r="BX8" s="93"/>
      <c r="BY8" s="93"/>
      <c r="BZ8" s="93"/>
      <c r="CA8" s="93"/>
      <c r="CB8" s="93"/>
      <c r="CC8" s="93"/>
      <c r="CD8" s="93"/>
      <c r="CE8" s="93"/>
      <c r="CF8" s="93"/>
      <c r="CG8" s="93"/>
      <c r="CH8" s="93"/>
      <c r="CI8" s="93"/>
      <c r="CJ8" s="93"/>
      <c r="CK8" s="93"/>
      <c r="CL8" s="93"/>
      <c r="CM8" s="93"/>
      <c r="CN8" s="93"/>
      <c r="CO8" s="93"/>
      <c r="CP8" s="93"/>
      <c r="CQ8" s="93"/>
      <c r="CR8" s="93"/>
      <c r="CS8" s="93"/>
      <c r="CT8" s="93"/>
      <c r="CU8" s="93"/>
      <c r="CV8" s="93"/>
      <c r="CW8" s="93"/>
      <c r="CX8" s="93"/>
      <c r="CY8" s="93"/>
      <c r="CZ8" s="93"/>
      <c r="DA8" s="93"/>
      <c r="DB8" s="93"/>
    </row>
    <row r="9" spans="1:106" ht="15" x14ac:dyDescent="0.25">
      <c r="A9" s="111">
        <f>ROW()-ROW($A$6)</f>
        <v>3</v>
      </c>
      <c r="B9" s="92" t="s">
        <v>326</v>
      </c>
      <c r="C9" s="93" t="s">
        <v>414</v>
      </c>
      <c r="D9" s="109" t="str">
        <f>IF(B9="","",IF(ISERROR(FIND("\",B9)),CONCATENATE(B9,"\",B9,".i"),CONCATENATE(B9,".i")))</f>
        <v>Case3\Case3.i</v>
      </c>
      <c r="E9" s="109" t="str">
        <f>IF(B9="","",IF(ISERROR(FIND("\",B9)),B9,RIGHT(B9,LEN(B9)-FIND("\",B9))))</f>
        <v>Case3</v>
      </c>
      <c r="F9" s="107" t="s">
        <v>28</v>
      </c>
      <c r="G9" s="123">
        <v>20</v>
      </c>
      <c r="H9" s="124">
        <v>0.01</v>
      </c>
      <c r="I9" s="123">
        <v>10</v>
      </c>
      <c r="J9" s="123">
        <v>25</v>
      </c>
      <c r="K9" s="124">
        <v>1E-3</v>
      </c>
      <c r="L9" s="123">
        <v>10</v>
      </c>
      <c r="M9" s="123">
        <v>26</v>
      </c>
      <c r="N9" s="124">
        <v>1E-3</v>
      </c>
      <c r="O9" s="123">
        <v>10</v>
      </c>
      <c r="P9" s="123"/>
      <c r="Q9" s="124">
        <v>0.02</v>
      </c>
      <c r="R9" s="123">
        <v>50</v>
      </c>
      <c r="S9" s="123"/>
      <c r="T9" s="124">
        <v>0.02</v>
      </c>
      <c r="U9" s="123">
        <v>50</v>
      </c>
      <c r="V9" s="107"/>
      <c r="W9" s="107"/>
      <c r="X9" s="107"/>
      <c r="Y9" s="107">
        <v>1</v>
      </c>
      <c r="Z9" s="107">
        <v>1</v>
      </c>
      <c r="AA9" s="107"/>
      <c r="AB9" s="107"/>
      <c r="AC9" s="107">
        <v>10</v>
      </c>
      <c r="AD9" s="107">
        <v>10</v>
      </c>
      <c r="AE9" s="107">
        <v>20</v>
      </c>
      <c r="AF9" s="107">
        <v>9999</v>
      </c>
      <c r="AG9" s="107"/>
      <c r="AH9" s="107">
        <v>0.75</v>
      </c>
      <c r="AI9" s="107">
        <v>0.75</v>
      </c>
      <c r="AJ9" s="107">
        <v>7.4999999999999997E-2</v>
      </c>
      <c r="AK9" s="107">
        <v>7.4999999999999997E-2</v>
      </c>
      <c r="AL9" s="107"/>
      <c r="AM9" s="107"/>
      <c r="AN9" s="107"/>
      <c r="AO9" s="107"/>
      <c r="AP9" s="107"/>
      <c r="AQ9" s="107"/>
      <c r="AR9" s="107"/>
      <c r="AS9" s="107"/>
      <c r="AT9" s="107"/>
      <c r="AU9" s="107"/>
      <c r="AV9" s="107"/>
      <c r="AW9" s="107"/>
      <c r="AX9" s="107"/>
      <c r="AY9" s="107"/>
      <c r="AZ9" s="107"/>
      <c r="BA9" s="107"/>
      <c r="BB9" s="107"/>
      <c r="BC9" s="107"/>
      <c r="BD9" s="108"/>
      <c r="BE9" s="108"/>
      <c r="BF9" s="108"/>
      <c r="BG9" s="107"/>
      <c r="BH9" s="107"/>
      <c r="BI9" s="107"/>
      <c r="BJ9" s="107"/>
      <c r="BK9" s="107"/>
      <c r="BL9" s="107"/>
      <c r="BM9" s="107"/>
      <c r="BN9" s="107"/>
      <c r="BO9" s="107"/>
      <c r="BP9" s="93"/>
      <c r="BQ9" s="93"/>
      <c r="BR9" s="93"/>
      <c r="BS9" s="93"/>
      <c r="BT9" s="93"/>
      <c r="BU9" s="93"/>
      <c r="BV9" s="93"/>
      <c r="BW9" s="93"/>
      <c r="BX9" s="93"/>
      <c r="BY9" s="93"/>
      <c r="BZ9" s="93"/>
      <c r="CA9" s="93"/>
      <c r="CB9" s="93"/>
      <c r="CC9" s="93"/>
      <c r="CD9" s="93"/>
      <c r="CE9" s="93"/>
      <c r="CF9" s="93"/>
      <c r="CG9" s="93"/>
      <c r="CH9" s="93"/>
      <c r="CI9" s="93"/>
      <c r="CJ9" s="93"/>
      <c r="CK9" s="93"/>
      <c r="CL9" s="93"/>
      <c r="CM9" s="93"/>
      <c r="CN9" s="93"/>
      <c r="CO9" s="93"/>
      <c r="CP9" s="93"/>
      <c r="CQ9" s="93"/>
      <c r="CR9" s="93"/>
      <c r="CS9" s="93"/>
      <c r="CT9" s="93"/>
      <c r="CU9" s="93"/>
      <c r="CV9" s="93"/>
      <c r="CW9" s="93"/>
      <c r="CX9" s="93"/>
      <c r="CY9" s="93"/>
      <c r="CZ9" s="93"/>
      <c r="DA9" s="93"/>
      <c r="DB9" s="93"/>
    </row>
    <row r="10" spans="1:106" ht="15" x14ac:dyDescent="0.25">
      <c r="A10" s="111">
        <f>ROW()-ROW($A$6)</f>
        <v>4</v>
      </c>
      <c r="B10" s="92" t="s">
        <v>422</v>
      </c>
      <c r="C10" s="93"/>
      <c r="D10" s="109" t="str">
        <f t="shared" ref="D10:D17" si="0">IF(B10="","",IF(ISERROR(FIND("\",B10)),CONCATENATE(B10,"\",B10,".i"),CONCATENATE(B10,".i")))</f>
        <v>Instrypn\Instrypn.i</v>
      </c>
      <c r="E10" s="109" t="str">
        <f t="shared" ref="E10:E15" si="1">IF(B10="","",IF(ISERROR(FIND("\",B10)),B10,RIGHT(B10,LEN(B10)-FIND("\",B10))))</f>
        <v>Instrypn</v>
      </c>
      <c r="F10" s="107" t="s">
        <v>28</v>
      </c>
      <c r="G10" s="123">
        <v>200</v>
      </c>
      <c r="H10" s="124">
        <v>0.01</v>
      </c>
      <c r="I10" s="123">
        <v>5</v>
      </c>
      <c r="J10" s="123"/>
      <c r="K10" s="124">
        <v>1E-3</v>
      </c>
      <c r="L10" s="123"/>
      <c r="M10" s="123"/>
      <c r="N10" s="124">
        <v>1E-3</v>
      </c>
      <c r="O10" s="123">
        <v>10</v>
      </c>
      <c r="P10" s="123"/>
      <c r="Q10" s="124">
        <v>0.02</v>
      </c>
      <c r="R10" s="123">
        <v>50</v>
      </c>
      <c r="S10" s="123"/>
      <c r="T10" s="124">
        <v>0.02</v>
      </c>
      <c r="U10" s="123">
        <v>50</v>
      </c>
      <c r="V10" s="107"/>
      <c r="W10" s="107"/>
      <c r="X10" s="107"/>
      <c r="Y10" s="107">
        <v>1</v>
      </c>
      <c r="Z10" s="107">
        <v>1</v>
      </c>
      <c r="AA10" s="107"/>
      <c r="AB10" s="107"/>
      <c r="AC10" s="107">
        <v>10</v>
      </c>
      <c r="AD10" s="107">
        <v>10</v>
      </c>
      <c r="AE10" s="107">
        <v>9999</v>
      </c>
      <c r="AF10" s="107">
        <v>9999</v>
      </c>
      <c r="AG10" s="107"/>
      <c r="AH10" s="107">
        <v>0.75</v>
      </c>
      <c r="AI10" s="107">
        <v>0.75</v>
      </c>
      <c r="AJ10" s="107">
        <v>0.2</v>
      </c>
      <c r="AK10" s="107">
        <v>0.2</v>
      </c>
      <c r="AL10" s="107"/>
      <c r="AM10" s="107"/>
      <c r="AN10" s="107"/>
      <c r="AO10" s="107"/>
      <c r="AP10" s="107"/>
      <c r="AQ10" s="107"/>
      <c r="AR10" s="107"/>
      <c r="AS10" s="107"/>
      <c r="AT10" s="107"/>
      <c r="AU10" s="107"/>
      <c r="AV10" s="107"/>
      <c r="AW10" s="107"/>
      <c r="AX10" s="107"/>
      <c r="AY10" s="107"/>
      <c r="AZ10" s="107"/>
      <c r="BA10" s="107"/>
      <c r="BB10" s="107"/>
      <c r="BC10" s="107"/>
      <c r="BD10" s="108"/>
      <c r="BE10" s="108"/>
      <c r="BF10" s="108"/>
      <c r="BG10" s="107"/>
      <c r="BH10" s="107"/>
      <c r="BI10" s="107"/>
      <c r="BJ10" s="107"/>
      <c r="BK10" s="107"/>
      <c r="BL10" s="107"/>
      <c r="BM10" s="107"/>
      <c r="BN10" s="107"/>
      <c r="BO10" s="107"/>
      <c r="BP10" s="93"/>
      <c r="BQ10" s="93"/>
      <c r="BR10" s="93"/>
      <c r="BS10" s="93"/>
      <c r="BT10" s="93"/>
      <c r="BU10" s="93"/>
      <c r="BV10" s="93"/>
      <c r="BW10" s="93"/>
      <c r="BX10" s="93"/>
      <c r="BY10" s="93"/>
      <c r="BZ10" s="93"/>
      <c r="CA10" s="93"/>
      <c r="CB10" s="93"/>
      <c r="CC10" s="93"/>
      <c r="CD10" s="93"/>
      <c r="CE10" s="93"/>
      <c r="CF10" s="93"/>
      <c r="CG10" s="93"/>
      <c r="CH10" s="93"/>
      <c r="CI10" s="93"/>
      <c r="CJ10" s="93"/>
      <c r="CK10" s="93"/>
      <c r="CL10" s="93"/>
      <c r="CM10" s="93"/>
      <c r="CN10" s="93"/>
      <c r="CO10" s="93"/>
      <c r="CP10" s="93"/>
      <c r="CQ10" s="93"/>
      <c r="CR10" s="93"/>
      <c r="CS10" s="93"/>
      <c r="CT10" s="93"/>
      <c r="CU10" s="93"/>
      <c r="CV10" s="93"/>
      <c r="CW10" s="93"/>
      <c r="CX10" s="93"/>
      <c r="CY10" s="93"/>
      <c r="CZ10" s="93"/>
      <c r="DA10" s="93"/>
      <c r="DB10" s="93"/>
    </row>
    <row r="11" spans="1:106" ht="15" x14ac:dyDescent="0.25">
      <c r="A11" s="111">
        <f t="shared" ref="A11:A18" si="2">ROW()-ROW($A$6)</f>
        <v>5</v>
      </c>
      <c r="B11" s="92"/>
      <c r="C11" s="93"/>
      <c r="D11" s="109" t="str">
        <f t="shared" si="0"/>
        <v/>
      </c>
      <c r="E11" s="109" t="str">
        <f t="shared" si="1"/>
        <v/>
      </c>
      <c r="F11" s="107"/>
      <c r="G11" s="123"/>
      <c r="H11" s="122"/>
      <c r="I11" s="107"/>
      <c r="J11" s="123"/>
      <c r="K11" s="122"/>
      <c r="L11" s="107"/>
      <c r="M11" s="107"/>
      <c r="N11" s="122"/>
      <c r="O11" s="107"/>
      <c r="P11" s="107"/>
      <c r="Q11" s="122"/>
      <c r="R11" s="107"/>
      <c r="S11" s="107"/>
      <c r="T11" s="122"/>
      <c r="U11" s="107"/>
      <c r="V11" s="107"/>
      <c r="W11" s="107"/>
      <c r="X11" s="107"/>
      <c r="Y11" s="107"/>
      <c r="Z11" s="107"/>
      <c r="AA11" s="107"/>
      <c r="AB11" s="107"/>
      <c r="AC11" s="107"/>
      <c r="AD11" s="107"/>
      <c r="AE11" s="107"/>
      <c r="AF11" s="107"/>
      <c r="AG11" s="107"/>
      <c r="AH11" s="107"/>
      <c r="AI11" s="107"/>
      <c r="AJ11" s="107"/>
      <c r="AK11" s="107"/>
      <c r="AL11" s="107"/>
      <c r="AM11" s="107"/>
      <c r="AN11" s="107"/>
      <c r="AO11" s="107"/>
      <c r="AP11" s="107"/>
      <c r="AQ11" s="107"/>
      <c r="AR11" s="107"/>
      <c r="AS11" s="107"/>
      <c r="AT11" s="107"/>
      <c r="AU11" s="107"/>
      <c r="AV11" s="107"/>
      <c r="AW11" s="107"/>
      <c r="AX11" s="107"/>
      <c r="AY11" s="107"/>
      <c r="AZ11" s="107"/>
      <c r="BA11" s="107"/>
      <c r="BB11" s="107"/>
      <c r="BC11" s="107"/>
      <c r="BD11" s="108"/>
      <c r="BE11" s="108"/>
      <c r="BF11" s="108"/>
      <c r="BG11" s="107"/>
      <c r="BH11" s="107"/>
      <c r="BI11" s="107"/>
      <c r="BJ11" s="107"/>
      <c r="BK11" s="107"/>
      <c r="BL11" s="107"/>
      <c r="BM11" s="107"/>
      <c r="BN11" s="107"/>
      <c r="BO11" s="107"/>
      <c r="BP11" s="93"/>
      <c r="BQ11" s="93"/>
      <c r="BR11" s="93"/>
      <c r="BS11" s="93"/>
      <c r="BT11" s="93"/>
      <c r="BU11" s="93"/>
      <c r="BV11" s="93"/>
      <c r="BW11" s="93"/>
      <c r="BX11" s="93"/>
      <c r="BY11" s="93"/>
      <c r="BZ11" s="93"/>
      <c r="CA11" s="93"/>
      <c r="CB11" s="93"/>
      <c r="CC11" s="93"/>
      <c r="CD11" s="93"/>
      <c r="CE11" s="93"/>
      <c r="CF11" s="93"/>
      <c r="CG11" s="93"/>
      <c r="CH11" s="93"/>
      <c r="CI11" s="93"/>
      <c r="CJ11" s="93"/>
      <c r="CK11" s="93"/>
      <c r="CL11" s="93"/>
      <c r="CM11" s="93"/>
      <c r="CN11" s="93"/>
      <c r="CO11" s="93"/>
      <c r="CP11" s="93"/>
      <c r="CQ11" s="93"/>
      <c r="CR11" s="93"/>
      <c r="CS11" s="93"/>
      <c r="CT11" s="93"/>
      <c r="CU11" s="93"/>
      <c r="CV11" s="93"/>
      <c r="CW11" s="93"/>
      <c r="CX11" s="93"/>
      <c r="CY11" s="93"/>
      <c r="CZ11" s="93"/>
      <c r="DA11" s="93"/>
      <c r="DB11" s="93"/>
    </row>
    <row r="12" spans="1:106" ht="15" x14ac:dyDescent="0.25">
      <c r="A12" s="111">
        <f t="shared" si="2"/>
        <v>6</v>
      </c>
      <c r="B12" s="92"/>
      <c r="C12" s="93"/>
      <c r="D12" s="109" t="str">
        <f t="shared" si="0"/>
        <v/>
      </c>
      <c r="E12" s="109" t="str">
        <f t="shared" si="1"/>
        <v/>
      </c>
      <c r="F12" s="107"/>
      <c r="G12" s="123"/>
      <c r="H12" s="122"/>
      <c r="I12" s="107"/>
      <c r="J12" s="123"/>
      <c r="K12" s="122"/>
      <c r="L12" s="107"/>
      <c r="M12" s="107"/>
      <c r="N12" s="122"/>
      <c r="O12" s="107"/>
      <c r="P12" s="107"/>
      <c r="Q12" s="122"/>
      <c r="R12" s="107"/>
      <c r="S12" s="107"/>
      <c r="T12" s="122"/>
      <c r="U12" s="107"/>
      <c r="V12" s="107"/>
      <c r="W12" s="107"/>
      <c r="X12" s="107"/>
      <c r="Y12" s="107"/>
      <c r="Z12" s="107"/>
      <c r="AA12" s="107"/>
      <c r="AB12" s="107"/>
      <c r="AC12" s="107"/>
      <c r="AD12" s="107"/>
      <c r="AE12" s="107"/>
      <c r="AF12" s="107"/>
      <c r="AG12" s="107"/>
      <c r="AH12" s="107"/>
      <c r="AI12" s="107"/>
      <c r="AJ12" s="107"/>
      <c r="AK12" s="107"/>
      <c r="AL12" s="107"/>
      <c r="AM12" s="107"/>
      <c r="AN12" s="107"/>
      <c r="AO12" s="107"/>
      <c r="AP12" s="107"/>
      <c r="AQ12" s="107"/>
      <c r="AR12" s="107"/>
      <c r="AS12" s="107"/>
      <c r="AT12" s="107"/>
      <c r="AU12" s="107"/>
      <c r="AV12" s="107"/>
      <c r="AW12" s="107"/>
      <c r="AX12" s="107"/>
      <c r="AY12" s="107"/>
      <c r="AZ12" s="107"/>
      <c r="BA12" s="107"/>
      <c r="BB12" s="107"/>
      <c r="BC12" s="107"/>
      <c r="BD12" s="108"/>
      <c r="BE12" s="108"/>
      <c r="BF12" s="108"/>
      <c r="BG12" s="107"/>
      <c r="BH12" s="107"/>
      <c r="BI12" s="107"/>
      <c r="BJ12" s="107"/>
      <c r="BK12" s="107"/>
      <c r="BL12" s="107"/>
      <c r="BM12" s="107"/>
      <c r="BN12" s="107"/>
      <c r="BO12" s="107"/>
      <c r="BP12" s="93"/>
      <c r="BQ12" s="93"/>
      <c r="BR12" s="93"/>
      <c r="BS12" s="93"/>
      <c r="BT12" s="93"/>
      <c r="BU12" s="93"/>
      <c r="BV12" s="93"/>
      <c r="BW12" s="93"/>
      <c r="BX12" s="93"/>
      <c r="BY12" s="93"/>
      <c r="BZ12" s="93"/>
      <c r="CA12" s="93"/>
      <c r="CB12" s="93"/>
      <c r="CC12" s="93"/>
      <c r="CD12" s="93"/>
      <c r="CE12" s="93"/>
      <c r="CF12" s="93"/>
      <c r="CG12" s="93"/>
      <c r="CH12" s="93"/>
      <c r="CI12" s="93"/>
      <c r="CJ12" s="93"/>
      <c r="CK12" s="93"/>
      <c r="CL12" s="93"/>
      <c r="CM12" s="93"/>
      <c r="CN12" s="93"/>
      <c r="CO12" s="93"/>
      <c r="CP12" s="93"/>
      <c r="CQ12" s="93"/>
      <c r="CR12" s="93"/>
      <c r="CS12" s="93"/>
      <c r="CT12" s="93"/>
      <c r="CU12" s="93"/>
      <c r="CV12" s="93"/>
      <c r="CW12" s="93"/>
      <c r="CX12" s="93"/>
      <c r="CY12" s="93"/>
      <c r="CZ12" s="93"/>
      <c r="DA12" s="93"/>
      <c r="DB12" s="93"/>
    </row>
    <row r="13" spans="1:106" ht="15" x14ac:dyDescent="0.25">
      <c r="A13" s="111">
        <f t="shared" si="2"/>
        <v>7</v>
      </c>
      <c r="B13" s="92"/>
      <c r="C13" s="93"/>
      <c r="D13" s="109" t="str">
        <f t="shared" si="0"/>
        <v/>
      </c>
      <c r="E13" s="109" t="str">
        <f t="shared" si="1"/>
        <v/>
      </c>
      <c r="F13" s="107"/>
      <c r="G13" s="123"/>
      <c r="H13" s="122"/>
      <c r="I13" s="107"/>
      <c r="J13" s="123"/>
      <c r="K13" s="122"/>
      <c r="L13" s="107"/>
      <c r="M13" s="107"/>
      <c r="N13" s="122"/>
      <c r="O13" s="107"/>
      <c r="P13" s="107"/>
      <c r="Q13" s="122"/>
      <c r="R13" s="107"/>
      <c r="S13" s="107"/>
      <c r="T13" s="122"/>
      <c r="U13" s="107"/>
      <c r="V13" s="107"/>
      <c r="W13" s="107"/>
      <c r="X13" s="107"/>
      <c r="Y13" s="107"/>
      <c r="Z13" s="107"/>
      <c r="AA13" s="107"/>
      <c r="AB13" s="107"/>
      <c r="AC13" s="107"/>
      <c r="AD13" s="107"/>
      <c r="AE13" s="107"/>
      <c r="AF13" s="107"/>
      <c r="AG13" s="107"/>
      <c r="AH13" s="107"/>
      <c r="AI13" s="107"/>
      <c r="AJ13" s="107"/>
      <c r="AK13" s="107"/>
      <c r="AL13" s="107"/>
      <c r="AM13" s="107"/>
      <c r="AN13" s="107"/>
      <c r="AO13" s="107"/>
      <c r="AP13" s="107"/>
      <c r="AQ13" s="107"/>
      <c r="AR13" s="107"/>
      <c r="AS13" s="107"/>
      <c r="AT13" s="107"/>
      <c r="AU13" s="107"/>
      <c r="AV13" s="107"/>
      <c r="AW13" s="107"/>
      <c r="AX13" s="107"/>
      <c r="AY13" s="107"/>
      <c r="AZ13" s="107"/>
      <c r="BA13" s="107"/>
      <c r="BB13" s="107"/>
      <c r="BC13" s="107"/>
      <c r="BD13" s="108"/>
      <c r="BE13" s="108"/>
      <c r="BF13" s="108"/>
      <c r="BG13" s="107"/>
      <c r="BH13" s="107"/>
      <c r="BI13" s="107"/>
      <c r="BJ13" s="107"/>
      <c r="BK13" s="107"/>
      <c r="BL13" s="107"/>
      <c r="BM13" s="107"/>
      <c r="BN13" s="107"/>
      <c r="BO13" s="107"/>
      <c r="BP13" s="93"/>
      <c r="BQ13" s="93"/>
      <c r="BR13" s="93"/>
      <c r="BS13" s="93"/>
      <c r="BT13" s="93"/>
      <c r="BU13" s="93"/>
      <c r="BV13" s="93"/>
      <c r="BW13" s="93"/>
      <c r="BX13" s="93"/>
      <c r="BY13" s="93"/>
      <c r="BZ13" s="93"/>
      <c r="CA13" s="93"/>
      <c r="CB13" s="93"/>
      <c r="CC13" s="93"/>
      <c r="CD13" s="93"/>
      <c r="CE13" s="93"/>
      <c r="CF13" s="93"/>
      <c r="CG13" s="93"/>
      <c r="CH13" s="93"/>
      <c r="CI13" s="93"/>
      <c r="CJ13" s="93"/>
      <c r="CK13" s="93"/>
      <c r="CL13" s="93"/>
      <c r="CM13" s="93"/>
      <c r="CN13" s="93"/>
      <c r="CO13" s="93"/>
      <c r="CP13" s="93"/>
      <c r="CQ13" s="93"/>
      <c r="CR13" s="93"/>
      <c r="CS13" s="93"/>
      <c r="CT13" s="93"/>
      <c r="CU13" s="93"/>
      <c r="CV13" s="93"/>
      <c r="CW13" s="93"/>
      <c r="CX13" s="93"/>
      <c r="CY13" s="93"/>
      <c r="CZ13" s="93"/>
      <c r="DA13" s="93"/>
      <c r="DB13" s="93"/>
    </row>
    <row r="14" spans="1:106" ht="15" x14ac:dyDescent="0.25">
      <c r="A14" s="111">
        <f t="shared" si="2"/>
        <v>8</v>
      </c>
      <c r="B14" s="92"/>
      <c r="C14" s="93"/>
      <c r="D14" s="109" t="str">
        <f t="shared" si="0"/>
        <v/>
      </c>
      <c r="E14" s="109" t="str">
        <f t="shared" si="1"/>
        <v/>
      </c>
      <c r="F14" s="107"/>
      <c r="G14" s="107"/>
      <c r="H14" s="107"/>
      <c r="I14" s="107"/>
      <c r="J14" s="108"/>
      <c r="K14" s="108"/>
      <c r="L14" s="108"/>
      <c r="M14" s="107"/>
      <c r="N14" s="107"/>
      <c r="O14" s="107"/>
      <c r="P14" s="107"/>
      <c r="Q14" s="107"/>
      <c r="R14" s="107"/>
      <c r="S14" s="107"/>
      <c r="T14" s="107"/>
      <c r="U14" s="107"/>
      <c r="V14" s="107"/>
      <c r="W14" s="107"/>
      <c r="X14" s="107"/>
      <c r="Y14" s="107"/>
      <c r="Z14" s="107"/>
      <c r="AA14" s="107"/>
      <c r="AB14" s="107"/>
      <c r="AC14" s="107"/>
      <c r="AD14" s="107"/>
      <c r="AE14" s="107"/>
      <c r="AF14" s="107"/>
      <c r="AG14" s="107"/>
      <c r="AH14" s="107"/>
      <c r="AI14" s="107"/>
      <c r="AJ14" s="107"/>
      <c r="AK14" s="107"/>
      <c r="AL14" s="107"/>
      <c r="AM14" s="107"/>
      <c r="AN14" s="107"/>
      <c r="AO14" s="107"/>
      <c r="AP14" s="107"/>
      <c r="AQ14" s="107"/>
      <c r="AR14" s="107"/>
      <c r="AS14" s="107"/>
      <c r="AT14" s="107"/>
      <c r="AU14" s="107"/>
      <c r="AV14" s="107"/>
      <c r="AW14" s="107"/>
      <c r="AX14" s="107"/>
      <c r="AY14" s="107"/>
      <c r="AZ14" s="107"/>
      <c r="BA14" s="107"/>
      <c r="BB14" s="107"/>
      <c r="BC14" s="107"/>
      <c r="BD14" s="108"/>
      <c r="BE14" s="108"/>
      <c r="BF14" s="108"/>
      <c r="BG14" s="107"/>
      <c r="BH14" s="107"/>
      <c r="BI14" s="107"/>
      <c r="BJ14" s="107"/>
      <c r="BK14" s="107"/>
      <c r="BL14" s="107"/>
      <c r="BM14" s="107"/>
      <c r="BN14" s="107"/>
      <c r="BO14" s="107"/>
      <c r="BP14" s="93"/>
      <c r="BQ14" s="93"/>
      <c r="BR14" s="93"/>
      <c r="BS14" s="93"/>
      <c r="BT14" s="93"/>
      <c r="BU14" s="93"/>
      <c r="BV14" s="93"/>
      <c r="BW14" s="93"/>
      <c r="BX14" s="93"/>
      <c r="BY14" s="93"/>
      <c r="BZ14" s="93"/>
      <c r="CA14" s="93"/>
      <c r="CB14" s="93"/>
      <c r="CC14" s="93"/>
      <c r="CD14" s="93"/>
      <c r="CE14" s="93"/>
      <c r="CF14" s="93"/>
      <c r="CG14" s="93"/>
      <c r="CH14" s="93"/>
      <c r="CI14" s="93"/>
      <c r="CJ14" s="93"/>
      <c r="CK14" s="93"/>
      <c r="CL14" s="93"/>
      <c r="CM14" s="93"/>
      <c r="CN14" s="93"/>
      <c r="CO14" s="93"/>
      <c r="CP14" s="93"/>
      <c r="CQ14" s="93"/>
      <c r="CR14" s="93"/>
      <c r="CS14" s="93"/>
      <c r="CT14" s="93"/>
      <c r="CU14" s="93"/>
      <c r="CV14" s="93"/>
      <c r="CW14" s="93"/>
      <c r="CX14" s="93"/>
      <c r="CY14" s="93"/>
      <c r="CZ14" s="93"/>
      <c r="DA14" s="93"/>
      <c r="DB14" s="93"/>
    </row>
    <row r="15" spans="1:106" ht="15" x14ac:dyDescent="0.25">
      <c r="A15" s="111">
        <f t="shared" si="2"/>
        <v>9</v>
      </c>
      <c r="B15" s="92"/>
      <c r="C15" s="93"/>
      <c r="D15" s="109" t="str">
        <f t="shared" si="0"/>
        <v/>
      </c>
      <c r="E15" s="109" t="str">
        <f t="shared" si="1"/>
        <v/>
      </c>
      <c r="F15" s="107"/>
      <c r="G15" s="107"/>
      <c r="H15" s="107"/>
      <c r="I15" s="107"/>
      <c r="J15" s="108"/>
      <c r="K15" s="108"/>
      <c r="L15" s="108"/>
      <c r="M15" s="107"/>
      <c r="N15" s="107"/>
      <c r="O15" s="107"/>
      <c r="P15" s="107"/>
      <c r="Q15" s="107"/>
      <c r="R15" s="107"/>
      <c r="S15" s="107"/>
      <c r="T15" s="107"/>
      <c r="U15" s="107"/>
      <c r="V15" s="107"/>
      <c r="W15" s="107"/>
      <c r="X15" s="107"/>
      <c r="Y15" s="107"/>
      <c r="Z15" s="107"/>
      <c r="AA15" s="107"/>
      <c r="AB15" s="107"/>
      <c r="AC15" s="107"/>
      <c r="AD15" s="107"/>
      <c r="AE15" s="107"/>
      <c r="AF15" s="107"/>
      <c r="AG15" s="107"/>
      <c r="AH15" s="107"/>
      <c r="AI15" s="107"/>
      <c r="AJ15" s="107"/>
      <c r="AK15" s="107"/>
      <c r="AL15" s="107"/>
      <c r="AM15" s="107"/>
      <c r="AN15" s="107"/>
      <c r="AO15" s="107"/>
      <c r="AP15" s="107"/>
      <c r="AQ15" s="107"/>
      <c r="AR15" s="107"/>
      <c r="AS15" s="107"/>
      <c r="AT15" s="107"/>
      <c r="AU15" s="107"/>
      <c r="AV15" s="107"/>
      <c r="AW15" s="107"/>
      <c r="AX15" s="107"/>
      <c r="AY15" s="107"/>
      <c r="AZ15" s="107"/>
      <c r="BA15" s="107"/>
      <c r="BB15" s="107"/>
      <c r="BC15" s="107"/>
      <c r="BD15" s="108"/>
      <c r="BE15" s="108"/>
      <c r="BF15" s="108"/>
      <c r="BG15" s="107"/>
      <c r="BH15" s="107"/>
      <c r="BI15" s="107"/>
      <c r="BJ15" s="107"/>
      <c r="BK15" s="107"/>
      <c r="BL15" s="107"/>
      <c r="BM15" s="107"/>
      <c r="BN15" s="107"/>
      <c r="BO15" s="107"/>
      <c r="BP15" s="93"/>
      <c r="BQ15" s="93"/>
      <c r="BR15" s="93"/>
      <c r="BS15" s="93"/>
      <c r="BT15" s="93"/>
      <c r="BU15" s="93"/>
      <c r="BV15" s="93"/>
      <c r="BW15" s="93"/>
      <c r="BX15" s="93"/>
      <c r="BY15" s="93"/>
      <c r="BZ15" s="93"/>
      <c r="CA15" s="93"/>
      <c r="CB15" s="93"/>
      <c r="CC15" s="93"/>
      <c r="CD15" s="93"/>
      <c r="CE15" s="93"/>
      <c r="CF15" s="93"/>
      <c r="CG15" s="93"/>
      <c r="CH15" s="93"/>
      <c r="CI15" s="93"/>
      <c r="CJ15" s="93"/>
      <c r="CK15" s="93"/>
      <c r="CL15" s="93"/>
      <c r="CM15" s="93"/>
      <c r="CN15" s="93"/>
      <c r="CO15" s="93"/>
      <c r="CP15" s="93"/>
      <c r="CQ15" s="93"/>
      <c r="CR15" s="93"/>
      <c r="CS15" s="93"/>
      <c r="CT15" s="93"/>
      <c r="CU15" s="93"/>
      <c r="CV15" s="93"/>
      <c r="CW15" s="93"/>
      <c r="CX15" s="93"/>
      <c r="CY15" s="93"/>
      <c r="CZ15" s="93"/>
      <c r="DA15" s="93"/>
      <c r="DB15" s="93"/>
    </row>
    <row r="16" spans="1:106" ht="15" x14ac:dyDescent="0.25">
      <c r="A16" s="111">
        <f t="shared" si="2"/>
        <v>10</v>
      </c>
      <c r="B16" s="92"/>
      <c r="C16" s="93"/>
      <c r="D16" s="109" t="str">
        <f t="shared" si="0"/>
        <v/>
      </c>
      <c r="E16" s="109" t="str">
        <f>IF(B16="","",IF(ISERROR(FIND("\",B16)),B16,RIGHT(B16,LEN(B16)-FIND("\",B16))))</f>
        <v/>
      </c>
      <c r="F16" s="107"/>
      <c r="G16" s="107"/>
      <c r="H16" s="107"/>
      <c r="I16" s="107"/>
      <c r="J16" s="108"/>
      <c r="K16" s="108"/>
      <c r="L16" s="108"/>
      <c r="M16" s="107"/>
      <c r="N16" s="107"/>
      <c r="O16" s="107"/>
      <c r="P16" s="107"/>
      <c r="Q16" s="107"/>
      <c r="R16" s="107"/>
      <c r="S16" s="107"/>
      <c r="T16" s="107"/>
      <c r="U16" s="107"/>
      <c r="V16" s="107"/>
      <c r="W16" s="107"/>
      <c r="X16" s="107"/>
      <c r="Y16" s="107"/>
      <c r="Z16" s="107"/>
      <c r="AA16" s="107"/>
      <c r="AB16" s="107"/>
      <c r="AC16" s="107"/>
      <c r="AD16" s="107"/>
      <c r="AE16" s="107"/>
      <c r="AF16" s="107"/>
      <c r="AG16" s="107"/>
      <c r="AH16" s="107"/>
      <c r="AI16" s="107"/>
      <c r="AJ16" s="107"/>
      <c r="AK16" s="107"/>
      <c r="AL16" s="107"/>
      <c r="AM16" s="107"/>
      <c r="AN16" s="107"/>
      <c r="AO16" s="107"/>
      <c r="AP16" s="107"/>
      <c r="AQ16" s="107"/>
      <c r="AR16" s="107"/>
      <c r="AS16" s="107"/>
      <c r="AT16" s="107"/>
      <c r="AU16" s="107"/>
      <c r="AV16" s="107"/>
      <c r="AW16" s="107"/>
      <c r="AX16" s="107"/>
      <c r="AY16" s="107"/>
      <c r="AZ16" s="107"/>
      <c r="BA16" s="107"/>
      <c r="BB16" s="107"/>
      <c r="BC16" s="107"/>
      <c r="BD16" s="108"/>
      <c r="BE16" s="108"/>
      <c r="BF16" s="108"/>
      <c r="BG16" s="107"/>
      <c r="BH16" s="107"/>
      <c r="BI16" s="107"/>
      <c r="BJ16" s="107"/>
      <c r="BK16" s="107"/>
      <c r="BL16" s="107"/>
      <c r="BM16" s="107"/>
      <c r="BN16" s="107"/>
      <c r="BO16" s="107"/>
      <c r="BP16" s="93"/>
      <c r="BQ16" s="93"/>
      <c r="BR16" s="93"/>
      <c r="BS16" s="93"/>
      <c r="BT16" s="93"/>
      <c r="BU16" s="93"/>
      <c r="BV16" s="93"/>
      <c r="BW16" s="93"/>
      <c r="BX16" s="93"/>
      <c r="BY16" s="93"/>
      <c r="BZ16" s="93"/>
      <c r="CA16" s="93"/>
      <c r="CB16" s="93"/>
      <c r="CC16" s="93"/>
      <c r="CD16" s="93"/>
      <c r="CE16" s="93"/>
      <c r="CF16" s="93"/>
      <c r="CG16" s="93"/>
      <c r="CH16" s="93"/>
      <c r="CI16" s="93"/>
      <c r="CJ16" s="93"/>
      <c r="CK16" s="93"/>
      <c r="CL16" s="93"/>
      <c r="CM16" s="93"/>
      <c r="CN16" s="93"/>
      <c r="CO16" s="93"/>
      <c r="CP16" s="93"/>
      <c r="CQ16" s="93"/>
      <c r="CR16" s="93"/>
      <c r="CS16" s="93"/>
      <c r="CT16" s="93"/>
      <c r="CU16" s="93"/>
      <c r="CV16" s="93"/>
      <c r="CW16" s="93"/>
      <c r="CX16" s="93"/>
      <c r="CY16" s="93"/>
      <c r="CZ16" s="93"/>
      <c r="DA16" s="93"/>
      <c r="DB16" s="93"/>
    </row>
    <row r="17" spans="1:106" ht="15" x14ac:dyDescent="0.25">
      <c r="A17" s="111">
        <f t="shared" si="2"/>
        <v>11</v>
      </c>
      <c r="B17" s="92"/>
      <c r="C17" s="93"/>
      <c r="D17" s="109" t="str">
        <f t="shared" si="0"/>
        <v/>
      </c>
      <c r="E17" s="109" t="str">
        <f>IF(B17="","",IF(ISERROR(FIND("\",B17)),B17,RIGHT(B17,LEN(B17)-FIND("\",B17))))</f>
        <v/>
      </c>
      <c r="F17" s="107"/>
      <c r="G17" s="107"/>
      <c r="H17" s="107"/>
      <c r="I17" s="107"/>
      <c r="J17" s="108"/>
      <c r="K17" s="108"/>
      <c r="L17" s="108"/>
      <c r="M17" s="107"/>
      <c r="N17" s="107"/>
      <c r="O17" s="107"/>
      <c r="P17" s="107"/>
      <c r="Q17" s="107"/>
      <c r="R17" s="107"/>
      <c r="S17" s="107"/>
      <c r="T17" s="107"/>
      <c r="U17" s="107"/>
      <c r="V17" s="107"/>
      <c r="W17" s="107"/>
      <c r="X17" s="107"/>
      <c r="Y17" s="107"/>
      <c r="Z17" s="107"/>
      <c r="AA17" s="107"/>
      <c r="AB17" s="107"/>
      <c r="AC17" s="107"/>
      <c r="AD17" s="107"/>
      <c r="AE17" s="107"/>
      <c r="AF17" s="107"/>
      <c r="AG17" s="107"/>
      <c r="AH17" s="107"/>
      <c r="AI17" s="107"/>
      <c r="AJ17" s="107"/>
      <c r="AK17" s="107"/>
      <c r="AL17" s="107"/>
      <c r="AM17" s="107"/>
      <c r="AN17" s="107"/>
      <c r="AO17" s="107"/>
      <c r="AP17" s="107"/>
      <c r="AQ17" s="107"/>
      <c r="AR17" s="107"/>
      <c r="AS17" s="107"/>
      <c r="AT17" s="107"/>
      <c r="AU17" s="107"/>
      <c r="AV17" s="107"/>
      <c r="AW17" s="107"/>
      <c r="AX17" s="107"/>
      <c r="AY17" s="107"/>
      <c r="AZ17" s="107"/>
      <c r="BA17" s="107"/>
      <c r="BB17" s="107"/>
      <c r="BC17" s="107"/>
      <c r="BD17" s="108"/>
      <c r="BE17" s="108"/>
      <c r="BF17" s="108"/>
      <c r="BG17" s="107"/>
      <c r="BH17" s="107"/>
      <c r="BI17" s="107"/>
      <c r="BJ17" s="107"/>
      <c r="BK17" s="107"/>
      <c r="BL17" s="107"/>
      <c r="BM17" s="107"/>
      <c r="BN17" s="107"/>
      <c r="BO17" s="107"/>
      <c r="BP17" s="93"/>
      <c r="BQ17" s="93"/>
      <c r="BR17" s="93"/>
      <c r="BS17" s="93"/>
      <c r="BT17" s="93"/>
      <c r="BU17" s="93"/>
      <c r="BV17" s="93"/>
      <c r="BW17" s="93"/>
      <c r="BX17" s="93"/>
      <c r="BY17" s="93"/>
      <c r="BZ17" s="93"/>
      <c r="CA17" s="93"/>
      <c r="CB17" s="93"/>
      <c r="CC17" s="93"/>
      <c r="CD17" s="93"/>
      <c r="CE17" s="93"/>
      <c r="CF17" s="93"/>
      <c r="CG17" s="93"/>
      <c r="CH17" s="93"/>
      <c r="CI17" s="93"/>
      <c r="CJ17" s="93"/>
      <c r="CK17" s="93"/>
      <c r="CL17" s="93"/>
      <c r="CM17" s="93"/>
      <c r="CN17" s="93"/>
      <c r="CO17" s="93"/>
      <c r="CP17" s="93"/>
      <c r="CQ17" s="93"/>
      <c r="CR17" s="93"/>
      <c r="CS17" s="93"/>
      <c r="CT17" s="93"/>
      <c r="CU17" s="93"/>
      <c r="CV17" s="93"/>
      <c r="CW17" s="93"/>
      <c r="CX17" s="93"/>
      <c r="CY17" s="93"/>
      <c r="CZ17" s="93"/>
      <c r="DA17" s="93"/>
      <c r="DB17" s="93"/>
    </row>
    <row r="18" spans="1:106" ht="15" x14ac:dyDescent="0.25">
      <c r="A18" s="111">
        <f t="shared" si="2"/>
        <v>12</v>
      </c>
      <c r="B18" s="92"/>
      <c r="C18" s="93"/>
      <c r="D18" s="109" t="str">
        <f>IF(B18="","",IF(ISERROR(FIND("\",B18)),CONCATENATE(B18,"\",B18,".i"),CONCATENATE(B18,".i")))</f>
        <v/>
      </c>
      <c r="E18" s="109" t="str">
        <f>IF(B18="","",IF(ISERROR(FIND("\",B18)),B18,RIGHT(B18,LEN(B18)-FIND("\",B18))))</f>
        <v/>
      </c>
      <c r="F18" s="107"/>
      <c r="G18" s="107"/>
      <c r="H18" s="107"/>
      <c r="I18" s="107"/>
      <c r="J18" s="107"/>
      <c r="K18" s="107"/>
      <c r="L18" s="107"/>
      <c r="M18" s="107"/>
      <c r="N18" s="107"/>
      <c r="O18" s="107"/>
      <c r="P18" s="107"/>
      <c r="Q18" s="107"/>
      <c r="R18" s="107"/>
      <c r="S18" s="107"/>
      <c r="T18" s="107"/>
      <c r="U18" s="107"/>
      <c r="V18" s="107"/>
      <c r="W18" s="107"/>
      <c r="X18" s="107"/>
      <c r="Y18" s="107"/>
      <c r="Z18" s="107"/>
      <c r="AA18" s="107"/>
      <c r="AB18" s="107"/>
      <c r="AC18" s="107"/>
      <c r="AD18" s="107"/>
      <c r="AE18" s="107"/>
      <c r="AF18" s="107"/>
      <c r="AG18" s="107"/>
      <c r="AH18" s="107"/>
      <c r="AI18" s="107"/>
      <c r="AJ18" s="107"/>
      <c r="AK18" s="107"/>
      <c r="AL18" s="107"/>
      <c r="AM18" s="107"/>
      <c r="AN18" s="107"/>
      <c r="AO18" s="107"/>
      <c r="AP18" s="107"/>
      <c r="AQ18" s="107"/>
      <c r="AR18" s="107"/>
      <c r="AS18" s="93"/>
      <c r="AT18" s="93"/>
      <c r="AU18" s="93"/>
      <c r="AV18" s="93"/>
      <c r="AW18" s="93"/>
      <c r="AX18" s="93"/>
      <c r="AY18" s="93"/>
      <c r="AZ18" s="93"/>
      <c r="BA18" s="93"/>
      <c r="BB18" s="93"/>
      <c r="BC18" s="93"/>
      <c r="BD18" s="93"/>
      <c r="BE18" s="93"/>
      <c r="BF18" s="93"/>
      <c r="BG18" s="93"/>
      <c r="BH18" s="93"/>
      <c r="BI18" s="93"/>
      <c r="BJ18" s="93"/>
      <c r="BK18" s="93"/>
      <c r="BL18" s="93"/>
      <c r="BM18" s="93"/>
      <c r="BN18" s="93"/>
      <c r="BO18" s="93"/>
      <c r="BP18" s="93"/>
      <c r="BQ18" s="93"/>
      <c r="BR18" s="93"/>
      <c r="BS18" s="93"/>
      <c r="BT18" s="93"/>
      <c r="BU18" s="93"/>
      <c r="BV18" s="93"/>
      <c r="BW18" s="93"/>
      <c r="BX18" s="93"/>
      <c r="BY18" s="93"/>
      <c r="BZ18" s="93"/>
      <c r="CA18" s="93"/>
      <c r="CB18" s="93"/>
      <c r="CC18" s="93"/>
      <c r="CD18" s="93"/>
      <c r="CE18" s="93"/>
      <c r="CF18" s="93"/>
      <c r="CG18" s="93"/>
      <c r="CH18" s="93"/>
      <c r="CI18" s="93"/>
      <c r="CJ18" s="93"/>
      <c r="CK18" s="93"/>
      <c r="CL18" s="93"/>
      <c r="CM18" s="93"/>
      <c r="CN18" s="93"/>
      <c r="CO18" s="93"/>
      <c r="CP18" s="93"/>
      <c r="CQ18" s="93"/>
      <c r="CR18" s="93"/>
      <c r="CS18" s="93"/>
      <c r="CT18" s="93"/>
      <c r="CU18" s="93"/>
      <c r="CV18" s="93"/>
      <c r="CW18" s="93"/>
      <c r="CX18" s="93"/>
      <c r="CY18" s="93"/>
      <c r="CZ18" s="93"/>
      <c r="DA18" s="93"/>
      <c r="DB18" s="93"/>
    </row>
    <row r="19" spans="1:106" x14ac:dyDescent="0.2">
      <c r="E19" s="46"/>
      <c r="F19" s="40"/>
      <c r="G19" s="40"/>
      <c r="H19" s="40"/>
      <c r="I19" s="40"/>
      <c r="J19" s="40"/>
      <c r="K19" s="40"/>
      <c r="L19" s="40"/>
      <c r="M19" s="40"/>
      <c r="N19" s="40"/>
      <c r="O19" s="40"/>
      <c r="P19" s="40"/>
      <c r="Q19" s="40"/>
      <c r="R19" s="40"/>
      <c r="S19" s="40"/>
      <c r="T19" s="40"/>
      <c r="U19" s="40"/>
      <c r="V19" s="40"/>
      <c r="W19" s="40"/>
      <c r="X19" s="40"/>
      <c r="Y19" s="40"/>
      <c r="Z19" s="40"/>
      <c r="AA19" s="40"/>
      <c r="AB19" s="40"/>
      <c r="AC19" s="40"/>
      <c r="AD19" s="40"/>
      <c r="AE19" s="40"/>
      <c r="AF19" s="40"/>
      <c r="AG19" s="40"/>
      <c r="AH19" s="40"/>
      <c r="AI19" s="40"/>
      <c r="AJ19" s="40"/>
      <c r="AK19" s="40"/>
      <c r="AL19" s="40"/>
      <c r="AM19" s="40"/>
      <c r="AN19" s="40"/>
      <c r="AO19" s="40"/>
      <c r="AP19" s="40"/>
      <c r="AQ19" s="40"/>
      <c r="AR19" s="40"/>
      <c r="AS19" s="46"/>
    </row>
    <row r="20" spans="1:106" x14ac:dyDescent="0.2">
      <c r="E20" s="46"/>
      <c r="F20" s="40"/>
      <c r="G20" s="121"/>
      <c r="H20" s="40"/>
      <c r="I20" s="40"/>
      <c r="J20" s="40"/>
      <c r="K20" s="40"/>
      <c r="L20" s="40"/>
      <c r="M20" s="40"/>
      <c r="N20" s="40"/>
      <c r="O20" s="40"/>
      <c r="P20" s="40"/>
      <c r="Q20" s="40"/>
      <c r="R20" s="40"/>
      <c r="S20" s="40"/>
      <c r="T20" s="40"/>
      <c r="U20" s="40"/>
      <c r="V20" s="40"/>
      <c r="W20" s="40"/>
      <c r="X20" s="40"/>
      <c r="Y20" s="40"/>
      <c r="Z20" s="40"/>
      <c r="AA20" s="40"/>
      <c r="AB20" s="40"/>
      <c r="AC20" s="40"/>
      <c r="AD20" s="40"/>
      <c r="AE20" s="40"/>
      <c r="AF20" s="40"/>
      <c r="AG20" s="40"/>
      <c r="AH20" s="40"/>
      <c r="AI20" s="40"/>
      <c r="AJ20" s="40"/>
      <c r="AK20" s="40"/>
      <c r="AL20" s="40"/>
      <c r="AM20" s="40"/>
      <c r="AN20" s="40"/>
      <c r="AO20" s="40"/>
      <c r="AP20" s="40"/>
      <c r="AQ20" s="40"/>
      <c r="AR20" s="40"/>
      <c r="AS20" s="46"/>
    </row>
    <row r="21" spans="1:106" x14ac:dyDescent="0.2">
      <c r="F21" s="39"/>
      <c r="G21" s="39"/>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40"/>
      <c r="AS21" s="46"/>
    </row>
    <row r="22" spans="1:106" x14ac:dyDescent="0.2">
      <c r="F22" s="39"/>
      <c r="G22" s="39"/>
      <c r="H22" s="39">
        <f>0.02*1</f>
        <v>0.02</v>
      </c>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40"/>
      <c r="AS22" s="46"/>
    </row>
    <row r="23" spans="1:106" x14ac:dyDescent="0.2">
      <c r="F23" s="39"/>
      <c r="G23" s="39"/>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40"/>
      <c r="AS23" s="46"/>
    </row>
    <row r="24" spans="1:106" x14ac:dyDescent="0.2">
      <c r="F24" s="39"/>
      <c r="G24" s="39"/>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40"/>
      <c r="AS24" s="46"/>
    </row>
    <row r="25" spans="1:106" x14ac:dyDescent="0.2">
      <c r="F25" s="39"/>
      <c r="G25" s="39"/>
      <c r="H25" s="39"/>
      <c r="I25" s="39"/>
      <c r="J25" s="39"/>
      <c r="K25" s="39"/>
      <c r="L25" s="39"/>
      <c r="M25" s="39"/>
      <c r="N25" s="39"/>
      <c r="O25" s="39"/>
      <c r="P25" s="39"/>
      <c r="Q25" s="39"/>
      <c r="R25" s="39"/>
      <c r="S25" s="39"/>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40"/>
      <c r="AS25" s="46"/>
    </row>
    <row r="26" spans="1:106" x14ac:dyDescent="0.2">
      <c r="F26" s="39"/>
      <c r="G26" s="39"/>
      <c r="H26" s="39"/>
      <c r="I26" s="39"/>
      <c r="J26" s="39"/>
      <c r="K26" s="39"/>
      <c r="L26" s="39"/>
      <c r="M26" s="39"/>
      <c r="N26" s="39"/>
      <c r="O26" s="39"/>
      <c r="P26" s="39"/>
      <c r="Q26" s="39"/>
      <c r="R26" s="39"/>
      <c r="S26" s="39"/>
      <c r="T26" s="39"/>
      <c r="U26" s="39"/>
      <c r="V26" s="39"/>
      <c r="W26" s="39"/>
      <c r="X26" s="39"/>
      <c r="Y26" s="39"/>
      <c r="Z26" s="39"/>
      <c r="AA26" s="39"/>
      <c r="AB26" s="39"/>
      <c r="AC26" s="39"/>
      <c r="AD26" s="39"/>
      <c r="AE26" s="39"/>
      <c r="AF26" s="39"/>
      <c r="AG26" s="39"/>
      <c r="AH26" s="39"/>
      <c r="AI26" s="39"/>
      <c r="AJ26" s="39"/>
      <c r="AK26" s="39"/>
      <c r="AL26" s="39"/>
      <c r="AM26" s="39"/>
      <c r="AN26" s="39"/>
      <c r="AO26" s="39"/>
      <c r="AP26" s="39"/>
      <c r="AQ26" s="39"/>
      <c r="AR26" s="40"/>
      <c r="AS26" s="46"/>
    </row>
    <row r="27" spans="1:106" x14ac:dyDescent="0.2">
      <c r="F27" s="39"/>
      <c r="G27" s="39"/>
      <c r="H27" s="39"/>
      <c r="I27" s="39"/>
      <c r="J27" s="39"/>
      <c r="K27" s="39"/>
      <c r="L27" s="39"/>
      <c r="M27" s="39"/>
      <c r="N27" s="39"/>
      <c r="O27" s="39"/>
      <c r="P27" s="39"/>
      <c r="Q27" s="39"/>
      <c r="R27" s="39"/>
      <c r="S27" s="39"/>
      <c r="T27" s="39"/>
      <c r="U27" s="39"/>
      <c r="V27" s="39"/>
      <c r="W27" s="39"/>
      <c r="X27" s="39"/>
      <c r="Y27" s="39"/>
      <c r="Z27" s="39"/>
      <c r="AA27" s="39"/>
      <c r="AB27" s="39"/>
      <c r="AC27" s="39"/>
      <c r="AD27" s="39"/>
      <c r="AE27" s="39"/>
      <c r="AF27" s="39"/>
      <c r="AG27" s="39"/>
      <c r="AH27" s="39"/>
      <c r="AI27" s="39"/>
      <c r="AJ27" s="39"/>
      <c r="AK27" s="39"/>
      <c r="AL27" s="39"/>
      <c r="AM27" s="39"/>
      <c r="AN27" s="39"/>
      <c r="AO27" s="39"/>
      <c r="AP27" s="39"/>
      <c r="AQ27" s="39"/>
      <c r="AR27" s="40"/>
      <c r="AS27" s="46"/>
    </row>
    <row r="28" spans="1:106" x14ac:dyDescent="0.2">
      <c r="F28" s="39"/>
      <c r="G28" s="39"/>
      <c r="H28" s="39"/>
      <c r="I28" s="39"/>
      <c r="J28" s="39"/>
      <c r="K28" s="39"/>
      <c r="L28" s="39"/>
      <c r="M28" s="39"/>
      <c r="N28" s="39"/>
      <c r="O28" s="39"/>
      <c r="P28" s="39"/>
      <c r="Q28" s="39"/>
      <c r="R28" s="39"/>
      <c r="S28" s="39"/>
      <c r="T28" s="39"/>
      <c r="U28" s="39"/>
      <c r="V28" s="39"/>
      <c r="W28" s="39"/>
      <c r="X28" s="39"/>
      <c r="Y28" s="39"/>
      <c r="Z28" s="39"/>
      <c r="AA28" s="39"/>
      <c r="AB28" s="39"/>
      <c r="AC28" s="39"/>
      <c r="AD28" s="39"/>
      <c r="AE28" s="39"/>
      <c r="AF28" s="39"/>
      <c r="AG28" s="39"/>
      <c r="AH28" s="39"/>
      <c r="AI28" s="39"/>
      <c r="AJ28" s="39"/>
      <c r="AK28" s="39"/>
      <c r="AL28" s="39"/>
      <c r="AM28" s="39"/>
      <c r="AN28" s="39"/>
      <c r="AO28" s="39"/>
      <c r="AP28" s="39"/>
      <c r="AQ28" s="39"/>
      <c r="AR28" s="40"/>
      <c r="AS28" s="46"/>
    </row>
    <row r="29" spans="1:106" x14ac:dyDescent="0.2">
      <c r="F29" s="39"/>
      <c r="G29" s="39"/>
      <c r="H29" s="39"/>
      <c r="I29" s="39"/>
      <c r="J29" s="39"/>
      <c r="K29" s="39"/>
      <c r="L29" s="39"/>
      <c r="M29" s="39"/>
      <c r="N29" s="39"/>
      <c r="O29" s="39"/>
      <c r="P29" s="39"/>
      <c r="Q29" s="39"/>
      <c r="R29" s="39"/>
      <c r="S29" s="39"/>
      <c r="T29" s="39"/>
      <c r="U29" s="39"/>
      <c r="V29" s="39"/>
      <c r="W29" s="39"/>
      <c r="X29" s="39"/>
      <c r="Y29" s="39"/>
      <c r="Z29" s="39"/>
      <c r="AA29" s="39"/>
      <c r="AB29" s="39"/>
      <c r="AC29" s="39"/>
      <c r="AD29" s="39"/>
      <c r="AE29" s="39"/>
      <c r="AF29" s="39"/>
      <c r="AG29" s="39"/>
      <c r="AH29" s="39"/>
      <c r="AI29" s="39"/>
      <c r="AJ29" s="39"/>
      <c r="AK29" s="39"/>
      <c r="AL29" s="39"/>
      <c r="AM29" s="39"/>
      <c r="AN29" s="39"/>
      <c r="AO29" s="39"/>
      <c r="AP29" s="39"/>
      <c r="AQ29" s="39"/>
      <c r="AR29" s="39"/>
    </row>
    <row r="30" spans="1:106" x14ac:dyDescent="0.2">
      <c r="F30" s="39"/>
      <c r="G30" s="39"/>
      <c r="H30" s="39"/>
      <c r="I30" s="39"/>
      <c r="J30" s="39"/>
      <c r="K30" s="39"/>
      <c r="L30" s="39"/>
      <c r="M30" s="39"/>
      <c r="N30" s="39"/>
      <c r="O30" s="39"/>
      <c r="P30" s="39"/>
      <c r="Q30" s="39"/>
      <c r="R30" s="39"/>
      <c r="S30" s="39"/>
      <c r="T30" s="39"/>
      <c r="U30" s="39"/>
      <c r="V30" s="39"/>
      <c r="W30" s="39"/>
      <c r="X30" s="39"/>
      <c r="Y30" s="39"/>
      <c r="Z30" s="39"/>
      <c r="AA30" s="39"/>
      <c r="AB30" s="39"/>
      <c r="AC30" s="39"/>
      <c r="AD30" s="39"/>
      <c r="AE30" s="39"/>
      <c r="AF30" s="39"/>
      <c r="AG30" s="39"/>
      <c r="AH30" s="39"/>
      <c r="AI30" s="39"/>
      <c r="AJ30" s="39"/>
      <c r="AK30" s="39"/>
      <c r="AL30" s="39"/>
      <c r="AM30" s="39"/>
      <c r="AN30" s="39"/>
      <c r="AO30" s="39"/>
      <c r="AP30" s="39"/>
      <c r="AQ30" s="39"/>
      <c r="AR30" s="39"/>
    </row>
    <row r="31" spans="1:106" x14ac:dyDescent="0.2">
      <c r="F31" s="39"/>
      <c r="G31" s="39"/>
      <c r="H31" s="39"/>
      <c r="I31" s="39"/>
      <c r="J31" s="39"/>
      <c r="K31" s="39"/>
      <c r="L31" s="39"/>
      <c r="M31" s="39"/>
      <c r="N31" s="39"/>
      <c r="O31" s="39"/>
      <c r="P31" s="39"/>
      <c r="Q31" s="39"/>
      <c r="R31" s="39"/>
      <c r="S31" s="39"/>
      <c r="T31" s="39"/>
      <c r="U31" s="39"/>
      <c r="V31" s="39"/>
      <c r="W31" s="39"/>
      <c r="X31" s="39"/>
      <c r="Y31" s="39"/>
      <c r="Z31" s="39"/>
      <c r="AA31" s="39"/>
      <c r="AB31" s="39"/>
      <c r="AC31" s="39"/>
      <c r="AD31" s="39"/>
      <c r="AE31" s="39"/>
      <c r="AF31" s="39"/>
      <c r="AG31" s="39"/>
      <c r="AH31" s="39"/>
      <c r="AI31" s="39"/>
      <c r="AJ31" s="39"/>
      <c r="AK31" s="39"/>
      <c r="AL31" s="39"/>
      <c r="AM31" s="39"/>
      <c r="AN31" s="39"/>
      <c r="AO31" s="39"/>
      <c r="AP31" s="39"/>
      <c r="AQ31" s="39"/>
      <c r="AR31" s="39"/>
    </row>
    <row r="32" spans="1:106" x14ac:dyDescent="0.2">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row>
    <row r="33" spans="6:44" x14ac:dyDescent="0.2">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row>
    <row r="34" spans="6:44" x14ac:dyDescent="0.2">
      <c r="F34" s="39"/>
      <c r="G34" s="39"/>
      <c r="H34" s="39"/>
      <c r="I34" s="39"/>
      <c r="J34" s="39"/>
      <c r="K34" s="39"/>
      <c r="L34" s="39"/>
      <c r="M34" s="39"/>
      <c r="N34" s="39"/>
      <c r="O34" s="39"/>
      <c r="P34" s="39"/>
      <c r="Q34" s="39"/>
      <c r="R34" s="39"/>
      <c r="S34" s="39"/>
      <c r="T34" s="39"/>
      <c r="U34" s="39"/>
      <c r="V34" s="39"/>
      <c r="W34" s="39"/>
      <c r="X34" s="39"/>
      <c r="Y34" s="39"/>
      <c r="Z34" s="39"/>
      <c r="AA34" s="39"/>
      <c r="AB34" s="39"/>
      <c r="AC34" s="39"/>
      <c r="AD34" s="39"/>
      <c r="AE34" s="39"/>
      <c r="AF34" s="39"/>
      <c r="AG34" s="39"/>
      <c r="AH34" s="39"/>
      <c r="AI34" s="39"/>
      <c r="AJ34" s="39"/>
      <c r="AK34" s="39"/>
      <c r="AL34" s="39"/>
      <c r="AM34" s="39"/>
      <c r="AN34" s="39"/>
      <c r="AO34" s="39"/>
      <c r="AP34" s="39"/>
      <c r="AQ34" s="39"/>
      <c r="AR34" s="39"/>
    </row>
    <row r="35" spans="6:44" x14ac:dyDescent="0.2">
      <c r="F35" s="39"/>
      <c r="G35" s="39"/>
      <c r="H35" s="39"/>
      <c r="I35" s="39"/>
      <c r="J35" s="39"/>
      <c r="K35" s="39"/>
      <c r="L35" s="39"/>
      <c r="M35" s="39"/>
      <c r="N35" s="39"/>
      <c r="O35" s="39"/>
      <c r="P35" s="39"/>
      <c r="Q35" s="39"/>
      <c r="R35" s="39"/>
      <c r="S35" s="39"/>
      <c r="T35" s="39"/>
      <c r="U35" s="39"/>
      <c r="V35" s="39"/>
      <c r="W35" s="39"/>
      <c r="X35" s="39"/>
      <c r="Y35" s="39"/>
      <c r="Z35" s="39"/>
      <c r="AA35" s="39"/>
      <c r="AB35" s="39"/>
      <c r="AC35" s="39"/>
      <c r="AD35" s="39"/>
      <c r="AE35" s="39"/>
      <c r="AF35" s="39"/>
      <c r="AG35" s="39"/>
      <c r="AH35" s="39"/>
      <c r="AI35" s="39"/>
      <c r="AJ35" s="39"/>
      <c r="AK35" s="39"/>
      <c r="AL35" s="39"/>
      <c r="AM35" s="39"/>
      <c r="AN35" s="39"/>
      <c r="AO35" s="39"/>
      <c r="AP35" s="39"/>
      <c r="AQ35" s="39"/>
      <c r="AR35" s="39"/>
    </row>
    <row r="36" spans="6:44" x14ac:dyDescent="0.2">
      <c r="F36" s="39"/>
      <c r="G36" s="39"/>
      <c r="H36" s="39"/>
      <c r="I36" s="39"/>
      <c r="J36" s="39"/>
      <c r="K36" s="39"/>
      <c r="L36" s="39"/>
      <c r="M36" s="39"/>
      <c r="N36" s="39"/>
      <c r="O36" s="39"/>
      <c r="P36" s="39"/>
      <c r="Q36" s="39"/>
      <c r="R36" s="39"/>
      <c r="S36" s="39"/>
      <c r="T36" s="39"/>
      <c r="U36" s="39"/>
      <c r="V36" s="39"/>
      <c r="W36" s="39"/>
      <c r="X36" s="39"/>
      <c r="Y36" s="39"/>
      <c r="Z36" s="39"/>
      <c r="AA36" s="39"/>
      <c r="AB36" s="39"/>
      <c r="AC36" s="39"/>
      <c r="AD36" s="39"/>
      <c r="AE36" s="39"/>
      <c r="AF36" s="39"/>
      <c r="AG36" s="39"/>
      <c r="AH36" s="39"/>
      <c r="AI36" s="39"/>
      <c r="AJ36" s="39"/>
      <c r="AK36" s="39"/>
      <c r="AL36" s="39"/>
      <c r="AM36" s="39"/>
      <c r="AN36" s="39"/>
      <c r="AO36" s="39"/>
      <c r="AP36" s="39"/>
      <c r="AQ36" s="39"/>
      <c r="AR36" s="39"/>
    </row>
    <row r="37" spans="6:44" x14ac:dyDescent="0.2">
      <c r="F37" s="39"/>
      <c r="G37" s="39"/>
      <c r="H37" s="39"/>
      <c r="I37" s="39"/>
      <c r="J37" s="39"/>
      <c r="K37" s="39"/>
      <c r="L37" s="39"/>
      <c r="M37" s="39"/>
      <c r="N37" s="39"/>
      <c r="O37" s="39"/>
      <c r="P37" s="39"/>
      <c r="Q37" s="39"/>
      <c r="R37" s="39"/>
      <c r="S37" s="39"/>
      <c r="T37" s="39"/>
      <c r="U37" s="39"/>
      <c r="V37" s="39"/>
      <c r="W37" s="39"/>
      <c r="X37" s="39"/>
      <c r="Y37" s="39"/>
      <c r="Z37" s="39"/>
      <c r="AA37" s="39"/>
      <c r="AB37" s="39"/>
      <c r="AC37" s="39"/>
      <c r="AD37" s="39"/>
      <c r="AE37" s="39"/>
      <c r="AF37" s="39"/>
      <c r="AG37" s="39"/>
      <c r="AH37" s="39"/>
      <c r="AI37" s="39"/>
      <c r="AJ37" s="39"/>
      <c r="AK37" s="39"/>
      <c r="AL37" s="39"/>
      <c r="AM37" s="39"/>
      <c r="AN37" s="39"/>
      <c r="AO37" s="39"/>
      <c r="AP37" s="39"/>
      <c r="AQ37" s="39"/>
      <c r="AR37" s="39"/>
    </row>
    <row r="38" spans="6:44" x14ac:dyDescent="0.2">
      <c r="F38" s="39"/>
      <c r="G38" s="39"/>
      <c r="H38" s="39"/>
      <c r="I38" s="39"/>
      <c r="J38" s="39"/>
      <c r="K38" s="39"/>
      <c r="L38" s="39"/>
      <c r="M38" s="39"/>
      <c r="N38" s="39"/>
      <c r="O38" s="39"/>
      <c r="P38" s="39"/>
      <c r="Q38" s="39"/>
      <c r="R38" s="39"/>
      <c r="S38" s="39"/>
      <c r="T38" s="39"/>
      <c r="U38" s="39"/>
      <c r="V38" s="39"/>
      <c r="W38" s="39"/>
      <c r="X38" s="39"/>
      <c r="Y38" s="39"/>
      <c r="Z38" s="39"/>
      <c r="AA38" s="39"/>
      <c r="AB38" s="39"/>
      <c r="AC38" s="39"/>
      <c r="AD38" s="39"/>
      <c r="AE38" s="39"/>
      <c r="AF38" s="39"/>
      <c r="AG38" s="39"/>
      <c r="AH38" s="39"/>
      <c r="AI38" s="39"/>
      <c r="AJ38" s="39"/>
      <c r="AK38" s="39"/>
      <c r="AL38" s="39"/>
      <c r="AM38" s="39"/>
      <c r="AN38" s="39"/>
      <c r="AO38" s="39"/>
      <c r="AP38" s="39"/>
      <c r="AQ38" s="39"/>
      <c r="AR38" s="39"/>
    </row>
    <row r="39" spans="6:44" x14ac:dyDescent="0.2">
      <c r="F39" s="39"/>
      <c r="G39" s="39"/>
      <c r="H39" s="39"/>
      <c r="I39" s="39"/>
      <c r="J39" s="39"/>
      <c r="K39" s="39"/>
      <c r="L39" s="39"/>
      <c r="M39" s="39"/>
      <c r="N39" s="39"/>
      <c r="O39" s="39"/>
      <c r="P39" s="39"/>
      <c r="Q39" s="39"/>
      <c r="R39" s="39"/>
      <c r="S39" s="39"/>
      <c r="T39" s="39"/>
      <c r="U39" s="39"/>
      <c r="V39" s="39"/>
      <c r="W39" s="39"/>
      <c r="X39" s="39"/>
      <c r="Y39" s="39"/>
      <c r="Z39" s="39"/>
      <c r="AA39" s="39"/>
      <c r="AB39" s="39"/>
      <c r="AC39" s="39"/>
      <c r="AD39" s="39"/>
      <c r="AE39" s="39"/>
      <c r="AF39" s="39"/>
      <c r="AG39" s="39"/>
      <c r="AH39" s="39"/>
      <c r="AI39" s="39"/>
      <c r="AJ39" s="39"/>
      <c r="AK39" s="39"/>
      <c r="AL39" s="39"/>
      <c r="AM39" s="39"/>
      <c r="AN39" s="39"/>
      <c r="AO39" s="39"/>
      <c r="AP39" s="39"/>
      <c r="AQ39" s="39"/>
      <c r="AR39" s="39"/>
    </row>
    <row r="40" spans="6:44" x14ac:dyDescent="0.2">
      <c r="F40" s="39"/>
      <c r="G40" s="39"/>
      <c r="H40" s="39"/>
      <c r="I40" s="39"/>
      <c r="J40" s="39"/>
      <c r="K40" s="39"/>
      <c r="L40" s="39"/>
      <c r="M40" s="39"/>
      <c r="N40" s="39"/>
      <c r="O40" s="39"/>
      <c r="P40" s="39"/>
      <c r="Q40" s="39"/>
      <c r="R40" s="39"/>
      <c r="S40" s="39"/>
      <c r="T40" s="39"/>
      <c r="U40" s="39"/>
      <c r="V40" s="39"/>
      <c r="W40" s="39"/>
      <c r="X40" s="39"/>
      <c r="Y40" s="39"/>
      <c r="Z40" s="39"/>
      <c r="AA40" s="39"/>
      <c r="AB40" s="39"/>
      <c r="AC40" s="39"/>
      <c r="AD40" s="39"/>
      <c r="AE40" s="39"/>
      <c r="AF40" s="39"/>
      <c r="AG40" s="39"/>
      <c r="AH40" s="39"/>
      <c r="AI40" s="39"/>
      <c r="AJ40" s="39"/>
      <c r="AK40" s="39"/>
      <c r="AL40" s="39"/>
      <c r="AM40" s="39"/>
      <c r="AN40" s="39"/>
      <c r="AO40" s="39"/>
      <c r="AP40" s="39"/>
      <c r="AQ40" s="39"/>
      <c r="AR40" s="39"/>
    </row>
    <row r="41" spans="6:44" x14ac:dyDescent="0.2">
      <c r="F41" s="39"/>
      <c r="G41" s="39"/>
      <c r="H41" s="39"/>
      <c r="I41" s="39"/>
      <c r="J41" s="39"/>
      <c r="K41" s="39"/>
      <c r="L41" s="39"/>
      <c r="M41" s="39"/>
      <c r="N41" s="39"/>
      <c r="O41" s="39"/>
      <c r="P41" s="39"/>
      <c r="Q41" s="39"/>
      <c r="R41" s="39"/>
      <c r="S41" s="39"/>
      <c r="T41" s="39"/>
      <c r="U41" s="39"/>
      <c r="V41" s="39"/>
      <c r="W41" s="39"/>
      <c r="X41" s="39"/>
      <c r="Y41" s="39"/>
      <c r="Z41" s="39"/>
      <c r="AA41" s="39"/>
      <c r="AB41" s="39"/>
      <c r="AC41" s="39"/>
      <c r="AD41" s="39"/>
      <c r="AE41" s="39"/>
      <c r="AF41" s="39"/>
      <c r="AG41" s="39"/>
      <c r="AH41" s="39"/>
      <c r="AI41" s="39"/>
      <c r="AJ41" s="39"/>
      <c r="AK41" s="39"/>
      <c r="AL41" s="39"/>
      <c r="AM41" s="39"/>
      <c r="AN41" s="39"/>
      <c r="AO41" s="39"/>
      <c r="AP41" s="39"/>
      <c r="AQ41" s="39"/>
      <c r="AR41" s="39"/>
    </row>
    <row r="42" spans="6:44" x14ac:dyDescent="0.2">
      <c r="F42" s="39"/>
      <c r="G42" s="39"/>
      <c r="H42" s="39"/>
      <c r="I42" s="39"/>
      <c r="J42" s="39"/>
      <c r="K42" s="39"/>
      <c r="L42" s="39"/>
      <c r="M42" s="39"/>
      <c r="N42" s="39"/>
      <c r="O42" s="39"/>
      <c r="P42" s="39"/>
      <c r="Q42" s="39"/>
      <c r="R42" s="39"/>
      <c r="S42" s="39"/>
      <c r="T42" s="39"/>
      <c r="U42" s="39"/>
      <c r="V42" s="39"/>
      <c r="W42" s="39"/>
      <c r="X42" s="39"/>
      <c r="Y42" s="39"/>
      <c r="Z42" s="39"/>
      <c r="AA42" s="39"/>
      <c r="AB42" s="39"/>
      <c r="AC42" s="39"/>
      <c r="AD42" s="39"/>
      <c r="AE42" s="39"/>
      <c r="AF42" s="39"/>
      <c r="AG42" s="39"/>
      <c r="AH42" s="39"/>
      <c r="AI42" s="39"/>
      <c r="AJ42" s="39"/>
      <c r="AK42" s="39"/>
      <c r="AL42" s="39"/>
      <c r="AM42" s="39"/>
      <c r="AN42" s="39"/>
      <c r="AO42" s="39"/>
      <c r="AP42" s="39"/>
      <c r="AQ42" s="39"/>
      <c r="AR42" s="39"/>
    </row>
    <row r="43" spans="6:44" x14ac:dyDescent="0.2">
      <c r="F43" s="39"/>
      <c r="G43" s="39"/>
      <c r="H43" s="39"/>
      <c r="I43" s="39"/>
      <c r="J43" s="39"/>
      <c r="K43" s="39"/>
      <c r="L43" s="39"/>
      <c r="M43" s="39"/>
      <c r="N43" s="39"/>
      <c r="O43" s="39"/>
      <c r="P43" s="39"/>
      <c r="Q43" s="39"/>
      <c r="R43" s="39"/>
      <c r="S43" s="39"/>
      <c r="T43" s="39"/>
      <c r="U43" s="39"/>
      <c r="V43" s="39"/>
      <c r="W43" s="39"/>
      <c r="X43" s="39"/>
      <c r="Y43" s="39"/>
      <c r="Z43" s="39"/>
      <c r="AA43" s="39"/>
      <c r="AB43" s="39"/>
      <c r="AC43" s="39"/>
      <c r="AD43" s="39"/>
      <c r="AE43" s="39"/>
      <c r="AF43" s="39"/>
      <c r="AG43" s="39"/>
      <c r="AH43" s="39"/>
      <c r="AI43" s="39"/>
      <c r="AJ43" s="39"/>
      <c r="AK43" s="39"/>
      <c r="AL43" s="39"/>
      <c r="AM43" s="39"/>
      <c r="AN43" s="39"/>
      <c r="AO43" s="39"/>
      <c r="AP43" s="39"/>
      <c r="AQ43" s="39"/>
      <c r="AR43" s="39"/>
    </row>
    <row r="44" spans="6:44" x14ac:dyDescent="0.2">
      <c r="F44" s="39"/>
      <c r="G44" s="39"/>
      <c r="H44" s="39"/>
      <c r="I44" s="39"/>
      <c r="J44" s="39"/>
      <c r="K44" s="39"/>
      <c r="L44" s="39"/>
      <c r="M44" s="39"/>
      <c r="N44" s="39"/>
      <c r="O44" s="39"/>
      <c r="P44" s="39"/>
      <c r="Q44" s="39"/>
      <c r="R44" s="39"/>
      <c r="S44" s="39"/>
      <c r="T44" s="39"/>
      <c r="U44" s="39"/>
      <c r="V44" s="39"/>
      <c r="W44" s="39"/>
      <c r="X44" s="39"/>
      <c r="Y44" s="39"/>
      <c r="Z44" s="39"/>
      <c r="AA44" s="39"/>
      <c r="AB44" s="39"/>
      <c r="AC44" s="39"/>
      <c r="AD44" s="39"/>
      <c r="AE44" s="39"/>
      <c r="AF44" s="39"/>
      <c r="AG44" s="39"/>
      <c r="AH44" s="39"/>
      <c r="AI44" s="39"/>
      <c r="AJ44" s="39"/>
      <c r="AK44" s="39"/>
      <c r="AL44" s="39"/>
      <c r="AM44" s="39"/>
      <c r="AN44" s="39"/>
      <c r="AO44" s="39"/>
      <c r="AP44" s="39"/>
      <c r="AQ44" s="39"/>
      <c r="AR44" s="39"/>
    </row>
    <row r="45" spans="6:44" x14ac:dyDescent="0.2">
      <c r="F45" s="39"/>
      <c r="G45" s="39"/>
      <c r="H45" s="39"/>
      <c r="I45" s="39"/>
      <c r="J45" s="39"/>
      <c r="K45" s="39"/>
      <c r="L45" s="39"/>
      <c r="M45" s="39"/>
      <c r="N45" s="39"/>
      <c r="O45" s="39"/>
      <c r="P45" s="39"/>
      <c r="Q45" s="39"/>
      <c r="R45" s="39"/>
      <c r="S45" s="39"/>
      <c r="T45" s="39"/>
      <c r="U45" s="39"/>
      <c r="V45" s="39"/>
      <c r="W45" s="39"/>
      <c r="X45" s="39"/>
      <c r="Y45" s="39"/>
      <c r="Z45" s="39"/>
      <c r="AA45" s="39"/>
      <c r="AB45" s="39"/>
      <c r="AC45" s="39"/>
      <c r="AD45" s="39"/>
      <c r="AE45" s="39"/>
      <c r="AF45" s="39"/>
      <c r="AG45" s="39"/>
      <c r="AH45" s="39"/>
      <c r="AI45" s="39"/>
      <c r="AJ45" s="39"/>
      <c r="AK45" s="39"/>
      <c r="AL45" s="39"/>
      <c r="AM45" s="39"/>
      <c r="AN45" s="39"/>
      <c r="AO45" s="39"/>
      <c r="AP45" s="39"/>
      <c r="AQ45" s="39"/>
      <c r="AR45" s="39"/>
    </row>
    <row r="46" spans="6:44" x14ac:dyDescent="0.2">
      <c r="F46" s="39"/>
      <c r="G46" s="39"/>
      <c r="H46" s="39"/>
      <c r="I46" s="39"/>
      <c r="J46" s="39"/>
      <c r="K46" s="39"/>
      <c r="L46" s="39"/>
      <c r="M46" s="39"/>
      <c r="N46" s="39"/>
      <c r="O46" s="39"/>
      <c r="P46" s="39"/>
      <c r="Q46" s="39"/>
      <c r="R46" s="39"/>
      <c r="S46" s="39"/>
      <c r="T46" s="39"/>
      <c r="U46" s="39"/>
      <c r="V46" s="39"/>
      <c r="W46" s="39"/>
      <c r="X46" s="39"/>
      <c r="Y46" s="39"/>
      <c r="Z46" s="39"/>
      <c r="AA46" s="39"/>
      <c r="AB46" s="39"/>
      <c r="AC46" s="39"/>
      <c r="AD46" s="39"/>
      <c r="AE46" s="39"/>
      <c r="AF46" s="39"/>
      <c r="AG46" s="39"/>
      <c r="AH46" s="39"/>
      <c r="AI46" s="39"/>
      <c r="AJ46" s="39"/>
      <c r="AK46" s="39"/>
      <c r="AL46" s="39"/>
      <c r="AM46" s="39"/>
      <c r="AN46" s="39"/>
      <c r="AO46" s="39"/>
      <c r="AP46" s="39"/>
      <c r="AQ46" s="39"/>
      <c r="AR46" s="39"/>
    </row>
    <row r="47" spans="6:44" x14ac:dyDescent="0.2">
      <c r="F47" s="39"/>
      <c r="G47" s="39"/>
      <c r="H47" s="39"/>
      <c r="I47" s="39"/>
      <c r="J47" s="39"/>
      <c r="K47" s="39"/>
      <c r="L47" s="39"/>
      <c r="M47" s="39"/>
      <c r="N47" s="39"/>
      <c r="O47" s="39"/>
      <c r="P47" s="39"/>
      <c r="Q47" s="39"/>
      <c r="R47" s="39"/>
      <c r="S47" s="39"/>
      <c r="T47" s="39"/>
      <c r="U47" s="39"/>
      <c r="V47" s="39"/>
      <c r="W47" s="39"/>
      <c r="X47" s="39"/>
      <c r="Y47" s="39"/>
      <c r="Z47" s="39"/>
      <c r="AA47" s="39"/>
      <c r="AB47" s="39"/>
      <c r="AC47" s="39"/>
      <c r="AD47" s="39"/>
      <c r="AE47" s="39"/>
      <c r="AF47" s="39"/>
      <c r="AG47" s="39"/>
      <c r="AH47" s="39"/>
      <c r="AI47" s="39"/>
      <c r="AJ47" s="39"/>
      <c r="AK47" s="39"/>
      <c r="AL47" s="39"/>
      <c r="AM47" s="39"/>
      <c r="AN47" s="39"/>
      <c r="AO47" s="39"/>
      <c r="AP47" s="39"/>
      <c r="AQ47" s="39"/>
      <c r="AR47" s="39"/>
    </row>
    <row r="48" spans="6:44" x14ac:dyDescent="0.2">
      <c r="F48" s="39"/>
      <c r="G48" s="39"/>
      <c r="H48" s="39"/>
      <c r="I48" s="39"/>
      <c r="J48" s="39"/>
      <c r="K48" s="39"/>
      <c r="L48" s="39"/>
      <c r="M48" s="39"/>
      <c r="N48" s="39"/>
      <c r="O48" s="39"/>
      <c r="P48" s="39"/>
      <c r="Q48" s="39"/>
      <c r="R48" s="39"/>
      <c r="S48" s="39"/>
      <c r="T48" s="39"/>
      <c r="U48" s="39"/>
      <c r="V48" s="39"/>
      <c r="W48" s="39"/>
      <c r="X48" s="39"/>
      <c r="Y48" s="39"/>
      <c r="Z48" s="39"/>
      <c r="AA48" s="39"/>
      <c r="AB48" s="39"/>
      <c r="AC48" s="39"/>
      <c r="AD48" s="39"/>
      <c r="AE48" s="39"/>
      <c r="AF48" s="39"/>
      <c r="AG48" s="39"/>
      <c r="AH48" s="39"/>
      <c r="AI48" s="39"/>
      <c r="AJ48" s="39"/>
      <c r="AK48" s="39"/>
      <c r="AL48" s="39"/>
      <c r="AM48" s="39"/>
      <c r="AN48" s="39"/>
      <c r="AO48" s="39"/>
      <c r="AP48" s="39"/>
      <c r="AQ48" s="39"/>
      <c r="AR48" s="39"/>
    </row>
    <row r="49" spans="6:44" x14ac:dyDescent="0.2">
      <c r="F49" s="39"/>
      <c r="G49" s="39"/>
      <c r="H49" s="39"/>
      <c r="I49" s="39"/>
      <c r="J49" s="39"/>
      <c r="K49" s="39"/>
      <c r="L49" s="39"/>
      <c r="M49" s="39"/>
      <c r="N49" s="39"/>
      <c r="O49" s="39"/>
      <c r="P49" s="39"/>
      <c r="Q49" s="39"/>
      <c r="R49" s="39"/>
      <c r="S49" s="39"/>
      <c r="T49" s="39"/>
      <c r="U49" s="39"/>
      <c r="V49" s="39"/>
      <c r="W49" s="39"/>
      <c r="X49" s="39"/>
      <c r="Y49" s="39"/>
      <c r="Z49" s="39"/>
      <c r="AA49" s="39"/>
      <c r="AB49" s="39"/>
      <c r="AC49" s="39"/>
      <c r="AD49" s="39"/>
      <c r="AE49" s="39"/>
      <c r="AF49" s="39"/>
      <c r="AG49" s="39"/>
      <c r="AH49" s="39"/>
      <c r="AI49" s="39"/>
      <c r="AJ49" s="39"/>
      <c r="AK49" s="39"/>
      <c r="AL49" s="39"/>
      <c r="AM49" s="39"/>
      <c r="AN49" s="39"/>
      <c r="AO49" s="39"/>
      <c r="AP49" s="39"/>
      <c r="AQ49" s="39"/>
      <c r="AR49" s="39"/>
    </row>
    <row r="50" spans="6:44" x14ac:dyDescent="0.2">
      <c r="F50" s="39"/>
      <c r="G50" s="39"/>
      <c r="H50" s="39"/>
      <c r="I50" s="39"/>
      <c r="J50" s="39"/>
      <c r="K50" s="39"/>
      <c r="L50" s="39"/>
      <c r="M50" s="39"/>
      <c r="N50" s="39"/>
      <c r="O50" s="39"/>
      <c r="P50" s="39"/>
      <c r="Q50" s="39"/>
      <c r="R50" s="39"/>
      <c r="S50" s="39"/>
      <c r="T50" s="39"/>
      <c r="U50" s="39"/>
      <c r="V50" s="39"/>
      <c r="W50" s="39"/>
      <c r="X50" s="39"/>
      <c r="Y50" s="39"/>
      <c r="Z50" s="39"/>
      <c r="AA50" s="39"/>
      <c r="AB50" s="39"/>
      <c r="AC50" s="39"/>
      <c r="AD50" s="39"/>
      <c r="AE50" s="39"/>
      <c r="AF50" s="39"/>
      <c r="AG50" s="39"/>
      <c r="AH50" s="39"/>
      <c r="AI50" s="39"/>
      <c r="AJ50" s="39"/>
      <c r="AK50" s="39"/>
      <c r="AL50" s="39"/>
      <c r="AM50" s="39"/>
      <c r="AN50" s="39"/>
      <c r="AO50" s="39"/>
      <c r="AP50" s="39"/>
      <c r="AQ50" s="39"/>
      <c r="AR50" s="39"/>
    </row>
    <row r="51" spans="6:44" x14ac:dyDescent="0.2">
      <c r="F51" s="39"/>
      <c r="G51" s="39"/>
      <c r="H51" s="39"/>
      <c r="I51" s="39"/>
      <c r="J51" s="39"/>
      <c r="K51" s="39"/>
      <c r="L51" s="39"/>
      <c r="M51" s="39"/>
      <c r="N51" s="39"/>
      <c r="O51" s="39"/>
      <c r="P51" s="39"/>
      <c r="Q51" s="39"/>
      <c r="R51" s="39"/>
      <c r="S51" s="39"/>
      <c r="T51" s="39"/>
      <c r="U51" s="39"/>
      <c r="V51" s="39"/>
      <c r="W51" s="39"/>
      <c r="X51" s="39"/>
      <c r="Y51" s="39"/>
      <c r="Z51" s="39"/>
      <c r="AA51" s="39"/>
      <c r="AB51" s="39"/>
      <c r="AC51" s="39"/>
      <c r="AD51" s="39"/>
      <c r="AE51" s="39"/>
      <c r="AF51" s="39"/>
      <c r="AG51" s="39"/>
      <c r="AH51" s="39"/>
      <c r="AI51" s="39"/>
      <c r="AJ51" s="39"/>
      <c r="AK51" s="39"/>
      <c r="AL51" s="39"/>
      <c r="AM51" s="39"/>
      <c r="AN51" s="39"/>
      <c r="AO51" s="39"/>
      <c r="AP51" s="39"/>
      <c r="AQ51" s="39"/>
      <c r="AR51" s="39"/>
    </row>
    <row r="52" spans="6:44" x14ac:dyDescent="0.2">
      <c r="F52" s="39"/>
      <c r="G52" s="39"/>
      <c r="H52" s="39"/>
      <c r="I52" s="39"/>
      <c r="J52" s="39"/>
      <c r="K52" s="39"/>
      <c r="L52" s="39"/>
      <c r="M52" s="39"/>
      <c r="N52" s="39"/>
      <c r="O52" s="39"/>
      <c r="P52" s="39"/>
      <c r="Q52" s="39"/>
      <c r="R52" s="39"/>
      <c r="S52" s="39"/>
      <c r="T52" s="39"/>
      <c r="U52" s="39"/>
      <c r="V52" s="39"/>
      <c r="W52" s="39"/>
      <c r="X52" s="39"/>
      <c r="Y52" s="39"/>
      <c r="Z52" s="39"/>
      <c r="AA52" s="39"/>
      <c r="AB52" s="39"/>
      <c r="AC52" s="39"/>
      <c r="AD52" s="39"/>
      <c r="AE52" s="39"/>
      <c r="AF52" s="39"/>
      <c r="AG52" s="39"/>
      <c r="AH52" s="39"/>
      <c r="AI52" s="39"/>
      <c r="AJ52" s="39"/>
      <c r="AK52" s="39"/>
      <c r="AL52" s="39"/>
      <c r="AM52" s="39"/>
      <c r="AN52" s="39"/>
      <c r="AO52" s="39"/>
      <c r="AP52" s="39"/>
      <c r="AQ52" s="39"/>
      <c r="AR52" s="39"/>
    </row>
    <row r="53" spans="6:44" x14ac:dyDescent="0.2">
      <c r="F53" s="39"/>
      <c r="G53" s="39"/>
      <c r="H53" s="39"/>
      <c r="I53" s="39"/>
      <c r="J53" s="39"/>
      <c r="K53" s="39"/>
      <c r="L53" s="39"/>
      <c r="M53" s="39"/>
      <c r="N53" s="39"/>
      <c r="O53" s="39"/>
      <c r="P53" s="39"/>
      <c r="Q53" s="39"/>
      <c r="R53" s="39"/>
      <c r="S53" s="39"/>
      <c r="T53" s="39"/>
      <c r="U53" s="39"/>
      <c r="V53" s="39"/>
      <c r="W53" s="39"/>
      <c r="X53" s="39"/>
      <c r="Y53" s="39"/>
      <c r="Z53" s="39"/>
      <c r="AA53" s="39"/>
      <c r="AB53" s="39"/>
      <c r="AC53" s="39"/>
      <c r="AD53" s="39"/>
      <c r="AE53" s="39"/>
      <c r="AF53" s="39"/>
      <c r="AG53" s="39"/>
      <c r="AH53" s="39"/>
      <c r="AI53" s="39"/>
      <c r="AJ53" s="39"/>
      <c r="AK53" s="39"/>
      <c r="AL53" s="39"/>
      <c r="AM53" s="39"/>
      <c r="AN53" s="39"/>
      <c r="AO53" s="39"/>
      <c r="AP53" s="39"/>
      <c r="AQ53" s="39"/>
      <c r="AR53" s="39"/>
    </row>
    <row r="54" spans="6:44" x14ac:dyDescent="0.2">
      <c r="F54" s="39"/>
      <c r="G54" s="39"/>
      <c r="H54" s="39"/>
      <c r="I54" s="39"/>
      <c r="J54" s="39"/>
      <c r="K54" s="39"/>
      <c r="L54" s="39"/>
      <c r="M54" s="39"/>
      <c r="N54" s="39"/>
      <c r="O54" s="39"/>
      <c r="P54" s="39"/>
      <c r="Q54" s="39"/>
      <c r="R54" s="39"/>
      <c r="S54" s="39"/>
      <c r="T54" s="39"/>
      <c r="U54" s="39"/>
      <c r="V54" s="39"/>
      <c r="W54" s="39"/>
      <c r="X54" s="39"/>
      <c r="Y54" s="39"/>
      <c r="Z54" s="39"/>
      <c r="AA54" s="39"/>
      <c r="AB54" s="39"/>
      <c r="AC54" s="39"/>
      <c r="AD54" s="39"/>
      <c r="AE54" s="39"/>
      <c r="AF54" s="39"/>
      <c r="AG54" s="39"/>
      <c r="AH54" s="39"/>
      <c r="AI54" s="39"/>
      <c r="AJ54" s="39"/>
      <c r="AK54" s="39"/>
      <c r="AL54" s="39"/>
      <c r="AM54" s="39"/>
      <c r="AN54" s="39"/>
      <c r="AO54" s="39"/>
      <c r="AP54" s="39"/>
      <c r="AQ54" s="39"/>
      <c r="AR54" s="39"/>
    </row>
    <row r="55" spans="6:44" x14ac:dyDescent="0.2">
      <c r="F55" s="39"/>
      <c r="G55" s="39"/>
      <c r="H55" s="39"/>
      <c r="I55" s="39"/>
      <c r="J55" s="39"/>
      <c r="K55" s="39"/>
      <c r="L55" s="39"/>
      <c r="M55" s="39"/>
      <c r="N55" s="39"/>
      <c r="O55" s="39"/>
      <c r="P55" s="39"/>
      <c r="Q55" s="39"/>
      <c r="R55" s="39"/>
      <c r="S55" s="39"/>
      <c r="T55" s="39"/>
      <c r="U55" s="39"/>
      <c r="V55" s="39"/>
      <c r="W55" s="39"/>
      <c r="X55" s="39"/>
      <c r="Y55" s="39"/>
      <c r="Z55" s="39"/>
      <c r="AA55" s="39"/>
      <c r="AB55" s="39"/>
      <c r="AC55" s="39"/>
      <c r="AD55" s="39"/>
      <c r="AE55" s="39"/>
      <c r="AF55" s="39"/>
      <c r="AG55" s="39"/>
      <c r="AH55" s="39"/>
      <c r="AI55" s="39"/>
      <c r="AJ55" s="39"/>
      <c r="AK55" s="39"/>
      <c r="AL55" s="39"/>
      <c r="AM55" s="39"/>
      <c r="AN55" s="39"/>
      <c r="AO55" s="39"/>
      <c r="AP55" s="39"/>
      <c r="AQ55" s="39"/>
      <c r="AR55" s="39"/>
    </row>
    <row r="56" spans="6:44" x14ac:dyDescent="0.2">
      <c r="F56" s="39"/>
      <c r="G56" s="39"/>
      <c r="H56" s="39"/>
      <c r="I56" s="39"/>
      <c r="J56" s="39"/>
      <c r="K56" s="39"/>
      <c r="L56" s="39"/>
      <c r="M56" s="39"/>
      <c r="N56" s="39"/>
      <c r="O56" s="39"/>
      <c r="P56" s="39"/>
      <c r="Q56" s="39"/>
      <c r="R56" s="39"/>
      <c r="S56" s="39"/>
      <c r="T56" s="39"/>
      <c r="U56" s="39"/>
      <c r="V56" s="39"/>
      <c r="W56" s="39"/>
      <c r="X56" s="39"/>
      <c r="Y56" s="39"/>
      <c r="Z56" s="39"/>
      <c r="AA56" s="39"/>
      <c r="AB56" s="39"/>
      <c r="AC56" s="39"/>
      <c r="AD56" s="39"/>
      <c r="AE56" s="39"/>
      <c r="AF56" s="39"/>
      <c r="AG56" s="39"/>
      <c r="AH56" s="39"/>
      <c r="AI56" s="39"/>
      <c r="AJ56" s="39"/>
      <c r="AK56" s="39"/>
      <c r="AL56" s="39"/>
      <c r="AM56" s="39"/>
      <c r="AN56" s="39"/>
      <c r="AO56" s="39"/>
      <c r="AP56" s="39"/>
      <c r="AQ56" s="39"/>
      <c r="AR56" s="39"/>
    </row>
    <row r="57" spans="6:44" x14ac:dyDescent="0.2">
      <c r="F57" s="39"/>
      <c r="G57" s="39"/>
      <c r="H57" s="39"/>
      <c r="I57" s="39"/>
      <c r="J57" s="39"/>
      <c r="K57" s="39"/>
      <c r="L57" s="39"/>
      <c r="M57" s="39"/>
      <c r="N57" s="39"/>
      <c r="O57" s="39"/>
      <c r="P57" s="39"/>
      <c r="Q57" s="39"/>
      <c r="R57" s="39"/>
      <c r="S57" s="39"/>
      <c r="T57" s="39"/>
      <c r="U57" s="39"/>
      <c r="V57" s="39"/>
      <c r="W57" s="39"/>
      <c r="X57" s="39"/>
      <c r="Y57" s="39"/>
      <c r="Z57" s="39"/>
      <c r="AA57" s="39"/>
      <c r="AB57" s="39"/>
      <c r="AC57" s="39"/>
      <c r="AD57" s="39"/>
      <c r="AE57" s="39"/>
      <c r="AF57" s="39"/>
      <c r="AG57" s="39"/>
      <c r="AH57" s="39"/>
      <c r="AI57" s="39"/>
      <c r="AJ57" s="39"/>
      <c r="AK57" s="39"/>
      <c r="AL57" s="39"/>
      <c r="AM57" s="39"/>
      <c r="AN57" s="39"/>
      <c r="AO57" s="39"/>
      <c r="AP57" s="39"/>
      <c r="AQ57" s="39"/>
      <c r="AR57" s="39"/>
    </row>
    <row r="58" spans="6:44" x14ac:dyDescent="0.2">
      <c r="F58" s="39"/>
      <c r="G58" s="39"/>
      <c r="H58" s="39"/>
      <c r="I58" s="39"/>
      <c r="J58" s="39"/>
      <c r="K58" s="39"/>
      <c r="L58" s="39"/>
      <c r="M58" s="39"/>
      <c r="N58" s="39"/>
      <c r="O58" s="39"/>
      <c r="P58" s="39"/>
      <c r="Q58" s="39"/>
      <c r="R58" s="39"/>
      <c r="S58" s="39"/>
      <c r="T58" s="39"/>
      <c r="U58" s="39"/>
      <c r="V58" s="39"/>
      <c r="W58" s="39"/>
      <c r="X58" s="39"/>
      <c r="Y58" s="39"/>
      <c r="Z58" s="39"/>
      <c r="AA58" s="39"/>
      <c r="AB58" s="39"/>
      <c r="AC58" s="39"/>
      <c r="AD58" s="39"/>
      <c r="AE58" s="39"/>
      <c r="AF58" s="39"/>
      <c r="AG58" s="39"/>
      <c r="AH58" s="39"/>
      <c r="AI58" s="39"/>
      <c r="AJ58" s="39"/>
      <c r="AK58" s="39"/>
      <c r="AL58" s="39"/>
      <c r="AM58" s="39"/>
      <c r="AN58" s="39"/>
      <c r="AO58" s="39"/>
      <c r="AP58" s="39"/>
      <c r="AQ58" s="39"/>
      <c r="AR58" s="39"/>
    </row>
    <row r="59" spans="6:44" x14ac:dyDescent="0.2">
      <c r="F59" s="39"/>
      <c r="G59" s="39"/>
      <c r="H59" s="39"/>
      <c r="I59" s="39"/>
      <c r="J59" s="39"/>
      <c r="K59" s="39"/>
      <c r="L59" s="39"/>
      <c r="M59" s="39"/>
      <c r="N59" s="39"/>
      <c r="O59" s="39"/>
      <c r="P59" s="39"/>
      <c r="Q59" s="39"/>
      <c r="R59" s="39"/>
      <c r="S59" s="39"/>
      <c r="T59" s="39"/>
      <c r="U59" s="39"/>
      <c r="V59" s="39"/>
      <c r="W59" s="39"/>
      <c r="X59" s="39"/>
      <c r="Y59" s="39"/>
      <c r="Z59" s="39"/>
      <c r="AA59" s="39"/>
      <c r="AB59" s="39"/>
      <c r="AC59" s="39"/>
      <c r="AD59" s="39"/>
      <c r="AE59" s="39"/>
      <c r="AF59" s="39"/>
      <c r="AG59" s="39"/>
      <c r="AH59" s="39"/>
      <c r="AI59" s="39"/>
      <c r="AJ59" s="39"/>
      <c r="AK59" s="39"/>
      <c r="AL59" s="39"/>
      <c r="AM59" s="39"/>
      <c r="AN59" s="39"/>
      <c r="AO59" s="39"/>
      <c r="AP59" s="39"/>
      <c r="AQ59" s="39"/>
      <c r="AR59" s="39"/>
    </row>
    <row r="60" spans="6:44" x14ac:dyDescent="0.2">
      <c r="F60" s="39"/>
      <c r="G60" s="39"/>
      <c r="H60" s="39"/>
      <c r="I60" s="39"/>
      <c r="J60" s="39"/>
      <c r="K60" s="39"/>
      <c r="L60" s="39"/>
      <c r="M60" s="39"/>
      <c r="N60" s="39"/>
      <c r="O60" s="39"/>
      <c r="P60" s="39"/>
      <c r="Q60" s="39"/>
      <c r="R60" s="39"/>
      <c r="S60" s="39"/>
      <c r="T60" s="39"/>
      <c r="U60" s="39"/>
      <c r="V60" s="39"/>
      <c r="W60" s="39"/>
      <c r="X60" s="39"/>
      <c r="Y60" s="39"/>
      <c r="Z60" s="39"/>
      <c r="AA60" s="39"/>
      <c r="AB60" s="39"/>
      <c r="AC60" s="39"/>
      <c r="AD60" s="39"/>
      <c r="AE60" s="39"/>
      <c r="AF60" s="39"/>
      <c r="AG60" s="39"/>
      <c r="AH60" s="39"/>
      <c r="AI60" s="39"/>
      <c r="AJ60" s="39"/>
      <c r="AK60" s="39"/>
      <c r="AL60" s="39"/>
      <c r="AM60" s="39"/>
      <c r="AN60" s="39"/>
      <c r="AO60" s="39"/>
      <c r="AP60" s="39"/>
      <c r="AQ60" s="39"/>
      <c r="AR60" s="39"/>
    </row>
    <row r="61" spans="6:44" x14ac:dyDescent="0.2">
      <c r="F61" s="39"/>
      <c r="G61" s="39"/>
      <c r="H61" s="39"/>
      <c r="I61" s="39"/>
      <c r="J61" s="39"/>
      <c r="K61" s="39"/>
      <c r="L61" s="39"/>
      <c r="M61" s="39"/>
      <c r="N61" s="39"/>
      <c r="O61" s="39"/>
      <c r="P61" s="39"/>
      <c r="Q61" s="39"/>
      <c r="R61" s="39"/>
      <c r="S61" s="39"/>
      <c r="T61" s="39"/>
      <c r="U61" s="39"/>
      <c r="V61" s="39"/>
      <c r="W61" s="39"/>
      <c r="X61" s="39"/>
      <c r="Y61" s="39"/>
      <c r="Z61" s="39"/>
      <c r="AA61" s="39"/>
      <c r="AB61" s="39"/>
      <c r="AC61" s="39"/>
      <c r="AD61" s="39"/>
      <c r="AE61" s="39"/>
      <c r="AF61" s="39"/>
      <c r="AG61" s="39"/>
      <c r="AH61" s="39"/>
      <c r="AI61" s="39"/>
      <c r="AJ61" s="39"/>
      <c r="AK61" s="39"/>
      <c r="AL61" s="39"/>
      <c r="AM61" s="39"/>
      <c r="AN61" s="39"/>
      <c r="AO61" s="39"/>
      <c r="AP61" s="39"/>
      <c r="AQ61" s="39"/>
      <c r="AR61" s="39"/>
    </row>
  </sheetData>
  <phoneticPr fontId="25"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dublicateCurrLoadCase">
                <anchor>
                  <from>
                    <xdr:col>3</xdr:col>
                    <xdr:colOff>219075</xdr:colOff>
                    <xdr:row>1</xdr:row>
                    <xdr:rowOff>85725</xdr:rowOff>
                  </from>
                  <to>
                    <xdr:col>4</xdr:col>
                    <xdr:colOff>542925</xdr:colOff>
                    <xdr:row>3</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pageSetUpPr fitToPage="1"/>
  </sheetPr>
  <dimension ref="B2"/>
  <sheetViews>
    <sheetView zoomScale="140" zoomScaleNormal="140" workbookViewId="0">
      <selection sqref="A1:T36"/>
    </sheetView>
  </sheetViews>
  <sheetFormatPr defaultRowHeight="12.75" x14ac:dyDescent="0.2"/>
  <cols>
    <col min="1" max="16384" width="9.140625" style="139"/>
  </cols>
  <sheetData>
    <row r="2" spans="2:2" x14ac:dyDescent="0.2">
      <c r="B2" s="140"/>
    </row>
  </sheetData>
  <pageMargins left="0.75" right="0.75" top="1" bottom="1" header="0.5" footer="0.5"/>
  <pageSetup paperSize="9" scale="72"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dimension ref="A1:V315"/>
  <sheetViews>
    <sheetView topLeftCell="A91" workbookViewId="0">
      <selection activeCell="A25" sqref="A25"/>
    </sheetView>
  </sheetViews>
  <sheetFormatPr defaultRowHeight="12.75" x14ac:dyDescent="0.2"/>
  <cols>
    <col min="1" max="1" width="15.85546875" style="53" customWidth="1"/>
    <col min="2" max="2" width="13.5703125" style="53" customWidth="1"/>
    <col min="3" max="3" width="9.7109375" style="53" customWidth="1"/>
    <col min="4" max="4" width="9.28515625" style="53" bestFit="1" customWidth="1"/>
    <col min="5" max="5" width="12.7109375" style="53" customWidth="1"/>
    <col min="6" max="9" width="9.28515625" style="53" bestFit="1" customWidth="1"/>
    <col min="10" max="10" width="10.85546875" style="53" customWidth="1"/>
    <col min="11" max="11" width="9.140625" style="53"/>
    <col min="12" max="12" width="9.28515625" style="53" bestFit="1" customWidth="1"/>
    <col min="13" max="13" width="9.140625" style="53"/>
    <col min="14" max="14" width="14" style="53" customWidth="1"/>
    <col min="15" max="16" width="9.28515625" style="53" bestFit="1" customWidth="1"/>
    <col min="17" max="17" width="11.28515625" style="53" bestFit="1" customWidth="1"/>
    <col min="18" max="21" width="9.140625" style="53"/>
    <col min="22" max="22" width="9.28515625" style="53" bestFit="1" customWidth="1"/>
    <col min="23" max="16384" width="9.140625" style="53"/>
  </cols>
  <sheetData>
    <row r="1" spans="1:2" ht="23.25" x14ac:dyDescent="0.35">
      <c r="A1" s="69" t="s">
        <v>58</v>
      </c>
    </row>
    <row r="2" spans="1:2" ht="13.5" customHeight="1" x14ac:dyDescent="0.2">
      <c r="A2" s="80" t="s">
        <v>251</v>
      </c>
    </row>
    <row r="4" spans="1:2" ht="15.75" x14ac:dyDescent="0.25">
      <c r="A4" s="72" t="s">
        <v>59</v>
      </c>
    </row>
    <row r="5" spans="1:2" x14ac:dyDescent="0.2">
      <c r="A5" s="53" t="s">
        <v>60</v>
      </c>
    </row>
    <row r="6" spans="1:2" x14ac:dyDescent="0.2">
      <c r="A6" s="53" t="s">
        <v>61</v>
      </c>
    </row>
    <row r="11" spans="1:2" ht="15.75" x14ac:dyDescent="0.25">
      <c r="A11" s="72" t="s">
        <v>62</v>
      </c>
    </row>
    <row r="12" spans="1:2" x14ac:dyDescent="0.2">
      <c r="A12" s="53" t="s">
        <v>63</v>
      </c>
    </row>
    <row r="15" spans="1:2" x14ac:dyDescent="0.2">
      <c r="A15" s="70" t="s">
        <v>64</v>
      </c>
      <c r="B15" s="70" t="s">
        <v>65</v>
      </c>
    </row>
    <row r="17" spans="1:2" ht="13.5" x14ac:dyDescent="0.25">
      <c r="A17" s="71" t="s">
        <v>24</v>
      </c>
      <c r="B17" s="53" t="s">
        <v>88</v>
      </c>
    </row>
    <row r="18" spans="1:2" ht="13.5" x14ac:dyDescent="0.25">
      <c r="A18" s="71" t="s">
        <v>25</v>
      </c>
      <c r="B18" s="53" t="s">
        <v>89</v>
      </c>
    </row>
    <row r="19" spans="1:2" ht="13.5" x14ac:dyDescent="0.25">
      <c r="A19" s="71" t="s">
        <v>26</v>
      </c>
      <c r="B19" s="53" t="s">
        <v>90</v>
      </c>
    </row>
    <row r="20" spans="1:2" ht="13.5" x14ac:dyDescent="0.25">
      <c r="A20" s="71" t="s">
        <v>27</v>
      </c>
      <c r="B20" s="53" t="s">
        <v>91</v>
      </c>
    </row>
    <row r="21" spans="1:2" ht="13.5" x14ac:dyDescent="0.25">
      <c r="A21" s="71" t="s">
        <v>30</v>
      </c>
      <c r="B21" s="53" t="s">
        <v>92</v>
      </c>
    </row>
    <row r="22" spans="1:2" ht="13.5" x14ac:dyDescent="0.25">
      <c r="A22" s="71" t="s">
        <v>31</v>
      </c>
      <c r="B22" s="53" t="s">
        <v>93</v>
      </c>
    </row>
    <row r="23" spans="1:2" ht="13.5" x14ac:dyDescent="0.25">
      <c r="A23" s="71" t="s">
        <v>32</v>
      </c>
      <c r="B23" s="53" t="s">
        <v>94</v>
      </c>
    </row>
    <row r="24" spans="1:2" ht="13.5" x14ac:dyDescent="0.25">
      <c r="A24" s="71" t="s">
        <v>33</v>
      </c>
      <c r="B24" s="53" t="s">
        <v>95</v>
      </c>
    </row>
    <row r="25" spans="1:2" ht="13.5" x14ac:dyDescent="0.25">
      <c r="A25" s="71"/>
    </row>
    <row r="26" spans="1:2" ht="13.5" x14ac:dyDescent="0.25">
      <c r="A26" s="71"/>
    </row>
    <row r="27" spans="1:2" ht="13.5" x14ac:dyDescent="0.25">
      <c r="A27" s="71" t="s">
        <v>41</v>
      </c>
      <c r="B27" s="53" t="s">
        <v>78</v>
      </c>
    </row>
    <row r="28" spans="1:2" ht="13.5" x14ac:dyDescent="0.25">
      <c r="A28" s="71" t="s">
        <v>39</v>
      </c>
      <c r="B28" s="53" t="s">
        <v>79</v>
      </c>
    </row>
    <row r="29" spans="1:2" ht="13.5" x14ac:dyDescent="0.25">
      <c r="A29" s="71" t="s">
        <v>56</v>
      </c>
      <c r="B29" s="53" t="s">
        <v>82</v>
      </c>
    </row>
    <row r="30" spans="1:2" ht="13.5" x14ac:dyDescent="0.25">
      <c r="A30" s="71" t="s">
        <v>46</v>
      </c>
      <c r="B30" s="53" t="s">
        <v>81</v>
      </c>
    </row>
    <row r="31" spans="1:2" ht="13.5" x14ac:dyDescent="0.25">
      <c r="A31" s="71" t="s">
        <v>66</v>
      </c>
      <c r="B31" s="53" t="s">
        <v>80</v>
      </c>
    </row>
    <row r="32" spans="1:2" ht="13.5" x14ac:dyDescent="0.25">
      <c r="A32" s="71" t="s">
        <v>51</v>
      </c>
      <c r="B32" s="53" t="s">
        <v>83</v>
      </c>
    </row>
    <row r="33" spans="1:2" ht="13.5" x14ac:dyDescent="0.25">
      <c r="A33" s="71" t="s">
        <v>69</v>
      </c>
      <c r="B33" s="53" t="s">
        <v>84</v>
      </c>
    </row>
    <row r="34" spans="1:2" ht="13.5" x14ac:dyDescent="0.25">
      <c r="A34" s="71" t="s">
        <v>37</v>
      </c>
      <c r="B34" s="53" t="s">
        <v>85</v>
      </c>
    </row>
    <row r="35" spans="1:2" ht="13.5" x14ac:dyDescent="0.25">
      <c r="A35" s="71" t="s">
        <v>67</v>
      </c>
      <c r="B35" s="53" t="s">
        <v>86</v>
      </c>
    </row>
    <row r="36" spans="1:2" ht="13.5" x14ac:dyDescent="0.25">
      <c r="A36" s="71" t="s">
        <v>68</v>
      </c>
      <c r="B36" s="53" t="s">
        <v>87</v>
      </c>
    </row>
    <row r="37" spans="1:2" ht="13.5" x14ac:dyDescent="0.25">
      <c r="A37" s="71" t="s">
        <v>49</v>
      </c>
      <c r="B37" s="53" t="s">
        <v>49</v>
      </c>
    </row>
    <row r="38" spans="1:2" ht="13.5" x14ac:dyDescent="0.25">
      <c r="A38" s="71"/>
    </row>
    <row r="39" spans="1:2" ht="13.5" x14ac:dyDescent="0.25">
      <c r="A39" s="71" t="s">
        <v>35</v>
      </c>
      <c r="B39" s="53" t="s">
        <v>75</v>
      </c>
    </row>
    <row r="40" spans="1:2" ht="13.5" x14ac:dyDescent="0.25">
      <c r="A40" s="71" t="s">
        <v>36</v>
      </c>
      <c r="B40" s="53" t="s">
        <v>76</v>
      </c>
    </row>
    <row r="41" spans="1:2" ht="13.5" x14ac:dyDescent="0.25">
      <c r="A41" s="71" t="s">
        <v>70</v>
      </c>
      <c r="B41" s="53" t="s">
        <v>77</v>
      </c>
    </row>
    <row r="42" spans="1:2" ht="13.5" x14ac:dyDescent="0.25">
      <c r="A42" s="71"/>
    </row>
    <row r="43" spans="1:2" ht="13.5" x14ac:dyDescent="0.25">
      <c r="A43" s="71" t="s">
        <v>71</v>
      </c>
      <c r="B43" s="53" t="s">
        <v>74</v>
      </c>
    </row>
    <row r="44" spans="1:2" ht="13.5" x14ac:dyDescent="0.25">
      <c r="A44" s="71" t="s">
        <v>72</v>
      </c>
      <c r="B44" s="53" t="s">
        <v>73</v>
      </c>
    </row>
    <row r="45" spans="1:2" ht="13.5" x14ac:dyDescent="0.25">
      <c r="A45" s="71" t="s">
        <v>197</v>
      </c>
      <c r="B45" s="53" t="s">
        <v>200</v>
      </c>
    </row>
    <row r="46" spans="1:2" ht="13.5" x14ac:dyDescent="0.25">
      <c r="A46" s="71" t="s">
        <v>198</v>
      </c>
      <c r="B46" s="53" t="s">
        <v>199</v>
      </c>
    </row>
    <row r="47" spans="1:2" ht="13.5" x14ac:dyDescent="0.25">
      <c r="A47" s="71"/>
    </row>
    <row r="48" spans="1:2" ht="13.5" x14ac:dyDescent="0.25">
      <c r="A48" s="71" t="s">
        <v>34</v>
      </c>
      <c r="B48" s="53" t="s">
        <v>96</v>
      </c>
    </row>
    <row r="49" spans="1:2" ht="13.5" x14ac:dyDescent="0.25">
      <c r="A49" s="71" t="s">
        <v>42</v>
      </c>
      <c r="B49" s="53" t="s">
        <v>113</v>
      </c>
    </row>
    <row r="50" spans="1:2" ht="13.5" x14ac:dyDescent="0.25">
      <c r="A50" s="71" t="s">
        <v>279</v>
      </c>
      <c r="B50" s="53" t="s">
        <v>322</v>
      </c>
    </row>
    <row r="52" spans="1:2" x14ac:dyDescent="0.2">
      <c r="A52" s="53" t="s">
        <v>253</v>
      </c>
    </row>
    <row r="53" spans="1:2" x14ac:dyDescent="0.2">
      <c r="A53" s="53" t="s">
        <v>252</v>
      </c>
    </row>
    <row r="54" spans="1:2" x14ac:dyDescent="0.2">
      <c r="A54" s="53" t="s">
        <v>254</v>
      </c>
    </row>
    <row r="55" spans="1:2" x14ac:dyDescent="0.2">
      <c r="A55" s="53" t="s">
        <v>255</v>
      </c>
    </row>
    <row r="59" spans="1:2" ht="15.75" x14ac:dyDescent="0.25">
      <c r="A59" s="72" t="s">
        <v>97</v>
      </c>
    </row>
    <row r="60" spans="1:2" x14ac:dyDescent="0.2">
      <c r="A60" s="53" t="s">
        <v>98</v>
      </c>
    </row>
    <row r="61" spans="1:2" x14ac:dyDescent="0.2">
      <c r="A61" s="53" t="s">
        <v>99</v>
      </c>
    </row>
    <row r="62" spans="1:2" x14ac:dyDescent="0.2">
      <c r="A62" s="53" t="s">
        <v>100</v>
      </c>
    </row>
    <row r="64" spans="1:2" x14ac:dyDescent="0.2">
      <c r="A64" s="53" t="s">
        <v>101</v>
      </c>
    </row>
    <row r="66" spans="1:2" ht="15.75" x14ac:dyDescent="0.25">
      <c r="A66" s="73" t="s">
        <v>104</v>
      </c>
    </row>
    <row r="67" spans="1:2" ht="15.75" x14ac:dyDescent="0.25">
      <c r="A67" s="73" t="s">
        <v>102</v>
      </c>
    </row>
    <row r="68" spans="1:2" ht="15.75" x14ac:dyDescent="0.25">
      <c r="A68" s="73" t="s">
        <v>103</v>
      </c>
    </row>
    <row r="70" spans="1:2" ht="15.75" x14ac:dyDescent="0.25">
      <c r="A70" s="73" t="s">
        <v>107</v>
      </c>
    </row>
    <row r="71" spans="1:2" ht="15.75" x14ac:dyDescent="0.25">
      <c r="A71" s="73" t="s">
        <v>106</v>
      </c>
    </row>
    <row r="72" spans="1:2" ht="15.75" x14ac:dyDescent="0.25">
      <c r="A72" s="73" t="s">
        <v>105</v>
      </c>
    </row>
    <row r="75" spans="1:2" x14ac:dyDescent="0.2">
      <c r="A75" s="70" t="s">
        <v>108</v>
      </c>
    </row>
    <row r="76" spans="1:2" x14ac:dyDescent="0.2">
      <c r="A76" s="53" t="s">
        <v>112</v>
      </c>
    </row>
    <row r="78" spans="1:2" x14ac:dyDescent="0.2">
      <c r="A78" s="53" t="s">
        <v>109</v>
      </c>
    </row>
    <row r="79" spans="1:2" ht="13.5" x14ac:dyDescent="0.25">
      <c r="B79" s="53" t="s">
        <v>110</v>
      </c>
    </row>
    <row r="80" spans="1:2" ht="13.5" x14ac:dyDescent="0.25">
      <c r="B80" s="53" t="s">
        <v>111</v>
      </c>
    </row>
    <row r="82" spans="1:22" x14ac:dyDescent="0.2">
      <c r="A82" s="70" t="s">
        <v>204</v>
      </c>
    </row>
    <row r="83" spans="1:22" x14ac:dyDescent="0.2">
      <c r="A83" s="53" t="s">
        <v>201</v>
      </c>
    </row>
    <row r="85" spans="1:22" x14ac:dyDescent="0.2">
      <c r="A85" s="53" t="s">
        <v>202</v>
      </c>
    </row>
    <row r="86" spans="1:22" ht="13.5" x14ac:dyDescent="0.25">
      <c r="A86" s="74" t="s">
        <v>39</v>
      </c>
      <c r="B86" s="75" t="s">
        <v>38</v>
      </c>
      <c r="C86" s="75" t="s">
        <v>38</v>
      </c>
      <c r="D86" s="75" t="s">
        <v>38</v>
      </c>
      <c r="E86" s="74">
        <v>1.302E-3</v>
      </c>
      <c r="F86" s="75" t="s">
        <v>38</v>
      </c>
      <c r="G86" s="75" t="s">
        <v>38</v>
      </c>
      <c r="H86" s="74">
        <v>0</v>
      </c>
      <c r="I86" s="74">
        <v>0</v>
      </c>
      <c r="J86" s="74" t="s">
        <v>40</v>
      </c>
      <c r="K86" s="75" t="s">
        <v>38</v>
      </c>
      <c r="L86" s="75" t="s">
        <v>38</v>
      </c>
      <c r="M86" s="74" t="s">
        <v>130</v>
      </c>
      <c r="N86" s="74" t="s">
        <v>203</v>
      </c>
      <c r="O86" s="74">
        <v>2</v>
      </c>
      <c r="P86" s="74">
        <v>1</v>
      </c>
      <c r="Q86" s="75" t="s">
        <v>38</v>
      </c>
      <c r="R86" s="75" t="s">
        <v>38</v>
      </c>
      <c r="S86" s="75" t="s">
        <v>38</v>
      </c>
      <c r="T86" s="75" t="s">
        <v>38</v>
      </c>
      <c r="U86" s="74" t="s">
        <v>38</v>
      </c>
      <c r="V86" s="74" t="s">
        <v>38</v>
      </c>
    </row>
    <row r="89" spans="1:22" ht="15.75" x14ac:dyDescent="0.25">
      <c r="A89" s="72" t="s">
        <v>114</v>
      </c>
    </row>
    <row r="90" spans="1:22" x14ac:dyDescent="0.2">
      <c r="A90" s="53" t="s">
        <v>116</v>
      </c>
    </row>
    <row r="91" spans="1:22" x14ac:dyDescent="0.2">
      <c r="A91" s="53" t="s">
        <v>115</v>
      </c>
    </row>
    <row r="93" spans="1:22" x14ac:dyDescent="0.2">
      <c r="A93" s="53" t="s">
        <v>118</v>
      </c>
    </row>
    <row r="94" spans="1:22" x14ac:dyDescent="0.2">
      <c r="A94" s="53" t="s">
        <v>119</v>
      </c>
    </row>
    <row r="96" spans="1:22" x14ac:dyDescent="0.2">
      <c r="A96" s="53" t="s">
        <v>124</v>
      </c>
    </row>
    <row r="97" spans="1:22" ht="13.5" x14ac:dyDescent="0.25">
      <c r="A97" s="74" t="s">
        <v>49</v>
      </c>
      <c r="B97" s="75" t="s">
        <v>38</v>
      </c>
      <c r="C97" s="75" t="s">
        <v>38</v>
      </c>
      <c r="D97" s="75" t="s">
        <v>38</v>
      </c>
      <c r="E97" s="74">
        <v>7.8539816339744835E-3</v>
      </c>
      <c r="F97" s="75" t="s">
        <v>38</v>
      </c>
      <c r="G97" s="75" t="s">
        <v>38</v>
      </c>
      <c r="H97" s="74">
        <v>0</v>
      </c>
      <c r="I97" s="74">
        <v>0</v>
      </c>
      <c r="J97" s="74" t="s">
        <v>122</v>
      </c>
      <c r="K97" s="75" t="s">
        <v>38</v>
      </c>
      <c r="L97" s="75" t="s">
        <v>38</v>
      </c>
      <c r="M97" s="74" t="s">
        <v>120</v>
      </c>
      <c r="N97" s="74" t="s">
        <v>121</v>
      </c>
      <c r="O97" s="74">
        <v>2</v>
      </c>
      <c r="P97" s="74">
        <v>1</v>
      </c>
      <c r="Q97" s="75" t="s">
        <v>38</v>
      </c>
      <c r="R97" s="74">
        <v>0.04</v>
      </c>
      <c r="S97" s="74">
        <v>700</v>
      </c>
      <c r="T97" s="74">
        <v>157.07963267948966</v>
      </c>
      <c r="U97" s="74" t="s">
        <v>38</v>
      </c>
      <c r="V97" s="74" t="s">
        <v>38</v>
      </c>
    </row>
    <row r="99" spans="1:22" x14ac:dyDescent="0.2">
      <c r="A99" s="53" t="s">
        <v>136</v>
      </c>
    </row>
    <row r="101" spans="1:22" ht="13.5" x14ac:dyDescent="0.25">
      <c r="A101" s="76" t="s">
        <v>41</v>
      </c>
      <c r="B101" s="76" t="s">
        <v>127</v>
      </c>
      <c r="C101" s="76">
        <v>0.66300000000000003</v>
      </c>
      <c r="D101" s="76">
        <v>0.2</v>
      </c>
      <c r="E101" s="76">
        <v>4.7685999999999996E-3</v>
      </c>
      <c r="F101" s="76">
        <v>0</v>
      </c>
      <c r="G101" s="76">
        <v>0</v>
      </c>
      <c r="H101" s="76">
        <v>0</v>
      </c>
      <c r="I101" s="76">
        <v>0</v>
      </c>
      <c r="J101" s="76" t="s">
        <v>128</v>
      </c>
      <c r="K101" s="76" t="s">
        <v>129</v>
      </c>
      <c r="L101" s="76">
        <v>105</v>
      </c>
      <c r="M101" s="75" t="s">
        <v>38</v>
      </c>
      <c r="N101" s="75" t="s">
        <v>38</v>
      </c>
      <c r="O101" s="75" t="s">
        <v>38</v>
      </c>
      <c r="P101" s="75" t="s">
        <v>38</v>
      </c>
      <c r="Q101" s="77">
        <v>4.5000000000000003E-5</v>
      </c>
      <c r="R101" s="75" t="s">
        <v>38</v>
      </c>
      <c r="S101" s="75" t="s">
        <v>38</v>
      </c>
      <c r="T101" s="75" t="s">
        <v>38</v>
      </c>
      <c r="U101" s="76" t="s">
        <v>38</v>
      </c>
      <c r="V101" s="76" t="s">
        <v>38</v>
      </c>
    </row>
    <row r="102" spans="1:22" ht="13.5" x14ac:dyDescent="0.25">
      <c r="A102" s="76" t="s">
        <v>41</v>
      </c>
      <c r="B102" s="76" t="s">
        <v>130</v>
      </c>
      <c r="C102" s="76">
        <v>0.50600000000000001</v>
      </c>
      <c r="D102" s="76">
        <v>0.2</v>
      </c>
      <c r="E102" s="76">
        <v>4.7685999999999996E-3</v>
      </c>
      <c r="F102" s="76">
        <v>90</v>
      </c>
      <c r="G102" s="76">
        <v>0</v>
      </c>
      <c r="H102" s="76">
        <v>0</v>
      </c>
      <c r="I102" s="76">
        <v>0</v>
      </c>
      <c r="J102" s="76" t="s">
        <v>128</v>
      </c>
      <c r="K102" s="76" t="s">
        <v>129</v>
      </c>
      <c r="L102" s="76">
        <v>106</v>
      </c>
      <c r="M102" s="75" t="s">
        <v>38</v>
      </c>
      <c r="N102" s="75" t="s">
        <v>38</v>
      </c>
      <c r="O102" s="75" t="s">
        <v>38</v>
      </c>
      <c r="P102" s="75" t="s">
        <v>38</v>
      </c>
      <c r="Q102" s="77">
        <v>4.5000000000000003E-5</v>
      </c>
      <c r="R102" s="75" t="s">
        <v>38</v>
      </c>
      <c r="S102" s="75" t="s">
        <v>38</v>
      </c>
      <c r="T102" s="75" t="s">
        <v>38</v>
      </c>
      <c r="U102" s="76" t="s">
        <v>38</v>
      </c>
      <c r="V102" s="76" t="s">
        <v>38</v>
      </c>
    </row>
    <row r="103" spans="1:22" ht="13.5" x14ac:dyDescent="0.25">
      <c r="A103" s="58" t="s">
        <v>35</v>
      </c>
      <c r="B103" s="58">
        <v>125</v>
      </c>
      <c r="C103" s="71"/>
      <c r="D103" s="71"/>
      <c r="E103" s="71"/>
      <c r="F103" s="71"/>
      <c r="G103" s="71"/>
      <c r="H103" s="71"/>
      <c r="I103" s="71"/>
      <c r="J103" s="71"/>
      <c r="K103" s="71"/>
      <c r="L103" s="71"/>
      <c r="M103" s="71"/>
      <c r="N103" s="71"/>
      <c r="O103" s="71"/>
      <c r="P103" s="71"/>
      <c r="Q103" s="71"/>
      <c r="R103" s="71"/>
      <c r="S103" s="71"/>
      <c r="T103" s="71"/>
      <c r="U103" s="71"/>
      <c r="V103" s="71"/>
    </row>
    <row r="104" spans="1:22" ht="13.5" x14ac:dyDescent="0.25">
      <c r="A104" s="74" t="s">
        <v>39</v>
      </c>
      <c r="B104" s="75" t="s">
        <v>38</v>
      </c>
      <c r="C104" s="75" t="s">
        <v>38</v>
      </c>
      <c r="D104" s="75" t="s">
        <v>38</v>
      </c>
      <c r="E104" s="74">
        <v>1.302E-3</v>
      </c>
      <c r="F104" s="75" t="s">
        <v>38</v>
      </c>
      <c r="G104" s="75" t="s">
        <v>38</v>
      </c>
      <c r="H104" s="74">
        <v>0</v>
      </c>
      <c r="I104" s="74">
        <v>0</v>
      </c>
      <c r="J104" s="74" t="s">
        <v>131</v>
      </c>
      <c r="K104" s="75" t="s">
        <v>38</v>
      </c>
      <c r="L104" s="75" t="s">
        <v>38</v>
      </c>
      <c r="M104" s="74" t="s">
        <v>130</v>
      </c>
      <c r="N104" s="74" t="s">
        <v>132</v>
      </c>
      <c r="O104" s="74">
        <v>2</v>
      </c>
      <c r="P104" s="74">
        <v>1</v>
      </c>
      <c r="Q104" s="75" t="s">
        <v>38</v>
      </c>
      <c r="R104" s="75" t="s">
        <v>38</v>
      </c>
      <c r="S104" s="75" t="s">
        <v>38</v>
      </c>
      <c r="T104" s="75" t="s">
        <v>38</v>
      </c>
      <c r="U104" s="74" t="s">
        <v>38</v>
      </c>
      <c r="V104" s="74" t="s">
        <v>38</v>
      </c>
    </row>
    <row r="105" spans="1:22" ht="13.5" x14ac:dyDescent="0.25">
      <c r="A105" s="58" t="s">
        <v>35</v>
      </c>
      <c r="B105" s="58">
        <v>128</v>
      </c>
      <c r="C105" s="71"/>
      <c r="D105" s="71"/>
      <c r="E105" s="71"/>
      <c r="F105" s="71"/>
      <c r="G105" s="71"/>
      <c r="H105" s="71"/>
      <c r="I105" s="71"/>
      <c r="J105" s="71"/>
      <c r="K105" s="71"/>
      <c r="L105" s="71"/>
      <c r="M105" s="71"/>
      <c r="N105" s="71"/>
      <c r="O105" s="71"/>
      <c r="P105" s="71"/>
      <c r="Q105" s="71"/>
      <c r="R105" s="71"/>
      <c r="S105" s="71"/>
      <c r="T105" s="71"/>
      <c r="U105" s="71"/>
      <c r="V105" s="71"/>
    </row>
    <row r="106" spans="1:22" ht="13.5" x14ac:dyDescent="0.25">
      <c r="A106" s="76" t="s">
        <v>41</v>
      </c>
      <c r="B106" s="76" t="s">
        <v>132</v>
      </c>
      <c r="C106" s="76">
        <v>0.51500000000000001</v>
      </c>
      <c r="D106" s="76">
        <v>0.2</v>
      </c>
      <c r="E106" s="76">
        <v>9.1947999999999995E-3</v>
      </c>
      <c r="F106" s="76">
        <v>0</v>
      </c>
      <c r="G106" s="76">
        <v>0</v>
      </c>
      <c r="H106" s="76">
        <v>0</v>
      </c>
      <c r="I106" s="76">
        <v>0</v>
      </c>
      <c r="J106" s="76" t="s">
        <v>133</v>
      </c>
      <c r="K106" s="76" t="s">
        <v>134</v>
      </c>
      <c r="L106" s="76">
        <v>110</v>
      </c>
      <c r="M106" s="75" t="s">
        <v>38</v>
      </c>
      <c r="N106" s="75" t="s">
        <v>38</v>
      </c>
      <c r="O106" s="75" t="s">
        <v>38</v>
      </c>
      <c r="P106" s="75" t="s">
        <v>38</v>
      </c>
      <c r="Q106" s="77">
        <v>4.5000000000000003E-5</v>
      </c>
      <c r="R106" s="75" t="s">
        <v>38</v>
      </c>
      <c r="S106" s="75" t="s">
        <v>38</v>
      </c>
      <c r="T106" s="75" t="s">
        <v>38</v>
      </c>
      <c r="U106" s="76" t="s">
        <v>38</v>
      </c>
      <c r="V106" s="76" t="s">
        <v>38</v>
      </c>
    </row>
    <row r="107" spans="1:22" ht="13.5" x14ac:dyDescent="0.25">
      <c r="A107" s="76" t="s">
        <v>41</v>
      </c>
      <c r="B107" s="76" t="s">
        <v>135</v>
      </c>
      <c r="C107" s="76">
        <v>0.88700000000000001</v>
      </c>
      <c r="D107" s="76">
        <v>0.2</v>
      </c>
      <c r="E107" s="76">
        <v>9.1947999999999995E-3</v>
      </c>
      <c r="F107" s="76">
        <v>90</v>
      </c>
      <c r="G107" s="76">
        <v>0</v>
      </c>
      <c r="H107" s="76">
        <v>0</v>
      </c>
      <c r="I107" s="76">
        <v>0</v>
      </c>
      <c r="J107" s="76" t="s">
        <v>133</v>
      </c>
      <c r="K107" s="76" t="s">
        <v>134</v>
      </c>
      <c r="L107" s="76">
        <v>111</v>
      </c>
      <c r="M107" s="75" t="s">
        <v>38</v>
      </c>
      <c r="N107" s="75" t="s">
        <v>38</v>
      </c>
      <c r="O107" s="75" t="s">
        <v>38</v>
      </c>
      <c r="P107" s="75" t="s">
        <v>38</v>
      </c>
      <c r="Q107" s="77">
        <v>4.5000000000000003E-5</v>
      </c>
      <c r="R107" s="75" t="s">
        <v>38</v>
      </c>
      <c r="S107" s="75" t="s">
        <v>38</v>
      </c>
      <c r="T107" s="75" t="s">
        <v>38</v>
      </c>
      <c r="U107" s="76" t="s">
        <v>38</v>
      </c>
      <c r="V107" s="76" t="s">
        <v>38</v>
      </c>
    </row>
    <row r="109" spans="1:22" x14ac:dyDescent="0.2">
      <c r="A109" s="53" t="s">
        <v>117</v>
      </c>
    </row>
    <row r="112" spans="1:22" x14ac:dyDescent="0.2">
      <c r="A112" s="53" t="s">
        <v>125</v>
      </c>
    </row>
    <row r="113" spans="1:3" ht="13.5" x14ac:dyDescent="0.25">
      <c r="A113" s="58" t="s">
        <v>34</v>
      </c>
      <c r="B113" s="58" t="s">
        <v>123</v>
      </c>
    </row>
    <row r="116" spans="1:3" x14ac:dyDescent="0.2">
      <c r="A116" s="53" t="s">
        <v>263</v>
      </c>
    </row>
    <row r="117" spans="1:3" ht="13.5" x14ac:dyDescent="0.25">
      <c r="A117" s="58" t="s">
        <v>34</v>
      </c>
      <c r="B117" s="58" t="s">
        <v>123</v>
      </c>
      <c r="C117" s="71" t="s">
        <v>126</v>
      </c>
    </row>
    <row r="120" spans="1:3" x14ac:dyDescent="0.2">
      <c r="A120" s="70" t="s">
        <v>189</v>
      </c>
    </row>
    <row r="122" spans="1:3" x14ac:dyDescent="0.2">
      <c r="A122" s="53" t="s">
        <v>137</v>
      </c>
    </row>
    <row r="123" spans="1:3" ht="13.5" x14ac:dyDescent="0.25">
      <c r="A123" s="71" t="s">
        <v>138</v>
      </c>
      <c r="B123" s="53" t="s">
        <v>139</v>
      </c>
    </row>
    <row r="124" spans="1:3" ht="13.5" x14ac:dyDescent="0.25">
      <c r="A124" s="71" t="s">
        <v>140</v>
      </c>
      <c r="B124" s="53" t="s">
        <v>143</v>
      </c>
    </row>
    <row r="125" spans="1:3" ht="13.5" x14ac:dyDescent="0.25">
      <c r="A125" s="71" t="s">
        <v>141</v>
      </c>
      <c r="B125" s="53" t="s">
        <v>142</v>
      </c>
    </row>
    <row r="126" spans="1:3" ht="13.5" x14ac:dyDescent="0.25">
      <c r="A126" s="71" t="s">
        <v>144</v>
      </c>
      <c r="B126" s="53" t="s">
        <v>145</v>
      </c>
    </row>
    <row r="127" spans="1:3" ht="13.5" x14ac:dyDescent="0.25">
      <c r="A127" s="71" t="s">
        <v>146</v>
      </c>
      <c r="B127" s="53" t="s">
        <v>164</v>
      </c>
    </row>
    <row r="128" spans="1:3" ht="13.5" x14ac:dyDescent="0.25">
      <c r="A128" s="71" t="s">
        <v>147</v>
      </c>
      <c r="B128" s="53" t="s">
        <v>165</v>
      </c>
    </row>
    <row r="129" spans="1:2" ht="13.5" x14ac:dyDescent="0.25">
      <c r="A129" s="71" t="s">
        <v>182</v>
      </c>
      <c r="B129" s="53" t="s">
        <v>183</v>
      </c>
    </row>
    <row r="130" spans="1:2" ht="13.5" x14ac:dyDescent="0.25">
      <c r="A130" s="71" t="s">
        <v>148</v>
      </c>
      <c r="B130" s="53" t="s">
        <v>166</v>
      </c>
    </row>
    <row r="131" spans="1:2" ht="13.5" x14ac:dyDescent="0.25">
      <c r="A131" s="71" t="s">
        <v>149</v>
      </c>
      <c r="B131" s="53" t="s">
        <v>167</v>
      </c>
    </row>
    <row r="132" spans="1:2" ht="13.5" x14ac:dyDescent="0.25">
      <c r="A132" s="71" t="s">
        <v>150</v>
      </c>
      <c r="B132" s="53" t="s">
        <v>168</v>
      </c>
    </row>
    <row r="133" spans="1:2" ht="13.5" x14ac:dyDescent="0.25">
      <c r="A133" s="71" t="s">
        <v>151</v>
      </c>
      <c r="B133" s="53" t="s">
        <v>169</v>
      </c>
    </row>
    <row r="134" spans="1:2" ht="13.5" x14ac:dyDescent="0.25">
      <c r="A134" s="71" t="s">
        <v>152</v>
      </c>
      <c r="B134" s="53" t="s">
        <v>170</v>
      </c>
    </row>
    <row r="135" spans="1:2" ht="13.5" x14ac:dyDescent="0.25">
      <c r="A135" s="71" t="s">
        <v>153</v>
      </c>
      <c r="B135" s="53" t="s">
        <v>171</v>
      </c>
    </row>
    <row r="136" spans="1:2" ht="13.5" x14ac:dyDescent="0.25">
      <c r="A136" s="71" t="s">
        <v>154</v>
      </c>
      <c r="B136" s="53" t="s">
        <v>173</v>
      </c>
    </row>
    <row r="137" spans="1:2" ht="13.5" x14ac:dyDescent="0.25">
      <c r="A137" s="71" t="s">
        <v>155</v>
      </c>
      <c r="B137" s="53" t="s">
        <v>172</v>
      </c>
    </row>
    <row r="138" spans="1:2" ht="13.5" x14ac:dyDescent="0.25">
      <c r="A138" s="71" t="s">
        <v>156</v>
      </c>
      <c r="B138" s="53" t="s">
        <v>174</v>
      </c>
    </row>
    <row r="139" spans="1:2" ht="13.5" x14ac:dyDescent="0.25">
      <c r="A139" s="71" t="s">
        <v>157</v>
      </c>
      <c r="B139" s="53" t="s">
        <v>176</v>
      </c>
    </row>
    <row r="140" spans="1:2" ht="13.5" x14ac:dyDescent="0.25">
      <c r="A140" s="71" t="s">
        <v>158</v>
      </c>
      <c r="B140" s="53" t="s">
        <v>177</v>
      </c>
    </row>
    <row r="141" spans="1:2" ht="13.5" x14ac:dyDescent="0.25">
      <c r="A141" s="71" t="s">
        <v>159</v>
      </c>
      <c r="B141" s="53" t="s">
        <v>175</v>
      </c>
    </row>
    <row r="142" spans="1:2" ht="13.5" x14ac:dyDescent="0.25">
      <c r="A142" s="71" t="s">
        <v>160</v>
      </c>
      <c r="B142" s="53" t="s">
        <v>178</v>
      </c>
    </row>
    <row r="143" spans="1:2" ht="13.5" x14ac:dyDescent="0.25">
      <c r="A143" s="71" t="s">
        <v>161</v>
      </c>
      <c r="B143" s="53" t="s">
        <v>179</v>
      </c>
    </row>
    <row r="144" spans="1:2" ht="13.5" x14ac:dyDescent="0.25">
      <c r="A144" s="71" t="s">
        <v>162</v>
      </c>
      <c r="B144" s="53" t="s">
        <v>180</v>
      </c>
    </row>
    <row r="145" spans="1:2" ht="13.5" x14ac:dyDescent="0.25">
      <c r="A145" s="71" t="s">
        <v>163</v>
      </c>
      <c r="B145" s="53" t="s">
        <v>181</v>
      </c>
    </row>
    <row r="146" spans="1:2" ht="13.5" x14ac:dyDescent="0.25">
      <c r="A146" s="71" t="s">
        <v>260</v>
      </c>
    </row>
    <row r="147" spans="1:2" ht="13.5" x14ac:dyDescent="0.25">
      <c r="A147" s="71" t="s">
        <v>261</v>
      </c>
      <c r="B147" s="53" t="s">
        <v>262</v>
      </c>
    </row>
    <row r="148" spans="1:2" ht="13.5" x14ac:dyDescent="0.25">
      <c r="A148" s="71"/>
    </row>
    <row r="149" spans="1:2" x14ac:dyDescent="0.2">
      <c r="A149" s="53" t="s">
        <v>184</v>
      </c>
    </row>
    <row r="150" spans="1:2" ht="13.5" x14ac:dyDescent="0.25">
      <c r="A150" s="71" t="s">
        <v>185</v>
      </c>
      <c r="B150" s="53" t="s">
        <v>186</v>
      </c>
    </row>
    <row r="151" spans="1:2" ht="13.5" x14ac:dyDescent="0.25">
      <c r="A151" s="71" t="s">
        <v>188</v>
      </c>
      <c r="B151" s="53" t="s">
        <v>187</v>
      </c>
    </row>
    <row r="152" spans="1:2" ht="13.5" x14ac:dyDescent="0.25">
      <c r="A152" s="71" t="s">
        <v>260</v>
      </c>
    </row>
    <row r="153" spans="1:2" ht="13.5" x14ac:dyDescent="0.25">
      <c r="A153" s="71" t="s">
        <v>261</v>
      </c>
      <c r="B153" s="53" t="s">
        <v>262</v>
      </c>
    </row>
    <row r="155" spans="1:2" x14ac:dyDescent="0.2">
      <c r="A155" s="70" t="s">
        <v>323</v>
      </c>
    </row>
    <row r="156" spans="1:2" x14ac:dyDescent="0.2">
      <c r="A156" s="53" t="s">
        <v>190</v>
      </c>
    </row>
    <row r="158" spans="1:2" x14ac:dyDescent="0.2">
      <c r="A158" s="53" t="s">
        <v>191</v>
      </c>
    </row>
    <row r="159" spans="1:2" ht="13.5" x14ac:dyDescent="0.25">
      <c r="A159" s="58" t="s">
        <v>279</v>
      </c>
      <c r="B159" s="58" t="s">
        <v>192</v>
      </c>
    </row>
    <row r="161" spans="1:22" x14ac:dyDescent="0.2">
      <c r="A161" s="53" t="s">
        <v>194</v>
      </c>
    </row>
    <row r="162" spans="1:22" ht="13.5" x14ac:dyDescent="0.25">
      <c r="A162" s="58" t="s">
        <v>279</v>
      </c>
      <c r="B162" s="58" t="s">
        <v>193</v>
      </c>
    </row>
    <row r="164" spans="1:22" x14ac:dyDescent="0.2">
      <c r="A164" s="53" t="s">
        <v>195</v>
      </c>
    </row>
    <row r="165" spans="1:22" ht="13.5" x14ac:dyDescent="0.25">
      <c r="A165" s="58" t="s">
        <v>279</v>
      </c>
      <c r="B165" s="58" t="s">
        <v>196</v>
      </c>
    </row>
    <row r="171" spans="1:22" ht="15.75" x14ac:dyDescent="0.25">
      <c r="A171" s="72" t="s">
        <v>205</v>
      </c>
    </row>
    <row r="172" spans="1:22" x14ac:dyDescent="0.2">
      <c r="A172" s="53" t="s">
        <v>206</v>
      </c>
    </row>
    <row r="174" spans="1:22" x14ac:dyDescent="0.2">
      <c r="A174" s="70" t="s">
        <v>209</v>
      </c>
    </row>
    <row r="176" spans="1:22" ht="13.5" x14ac:dyDescent="0.25">
      <c r="A176" s="76" t="s">
        <v>41</v>
      </c>
      <c r="B176" s="76" t="s">
        <v>127</v>
      </c>
      <c r="C176" s="76">
        <v>0.66300000000000003</v>
      </c>
      <c r="D176" s="76">
        <v>0.2</v>
      </c>
      <c r="E176" s="76">
        <v>4.7685999999999996E-3</v>
      </c>
      <c r="F176" s="76">
        <v>0</v>
      </c>
      <c r="G176" s="76">
        <v>0</v>
      </c>
      <c r="H176" s="76">
        <v>0</v>
      </c>
      <c r="I176" s="76">
        <v>0</v>
      </c>
      <c r="J176" s="76" t="s">
        <v>128</v>
      </c>
      <c r="K176" s="76" t="s">
        <v>129</v>
      </c>
      <c r="L176" s="76">
        <v>105</v>
      </c>
      <c r="M176" s="75" t="s">
        <v>38</v>
      </c>
      <c r="N176" s="75" t="s">
        <v>38</v>
      </c>
      <c r="O176" s="75" t="s">
        <v>38</v>
      </c>
      <c r="P176" s="75" t="s">
        <v>38</v>
      </c>
      <c r="Q176" s="77">
        <v>4.5000000000000003E-5</v>
      </c>
      <c r="R176" s="75" t="s">
        <v>38</v>
      </c>
      <c r="S176" s="75" t="s">
        <v>38</v>
      </c>
      <c r="T176" s="75" t="s">
        <v>38</v>
      </c>
      <c r="U176" s="76" t="s">
        <v>38</v>
      </c>
      <c r="V176" s="76" t="s">
        <v>38</v>
      </c>
    </row>
    <row r="177" spans="1:22" ht="13.5" x14ac:dyDescent="0.25">
      <c r="A177" s="76" t="s">
        <v>41</v>
      </c>
      <c r="B177" s="76" t="s">
        <v>130</v>
      </c>
      <c r="C177" s="76">
        <v>0.50600000000000001</v>
      </c>
      <c r="D177" s="76">
        <v>0.2</v>
      </c>
      <c r="E177" s="76">
        <v>4.7685999999999996E-3</v>
      </c>
      <c r="F177" s="76">
        <v>90</v>
      </c>
      <c r="G177" s="76">
        <v>0</v>
      </c>
      <c r="H177" s="76">
        <v>0</v>
      </c>
      <c r="I177" s="76">
        <v>0</v>
      </c>
      <c r="J177" s="76" t="s">
        <v>128</v>
      </c>
      <c r="K177" s="76" t="s">
        <v>129</v>
      </c>
      <c r="L177" s="76">
        <v>106</v>
      </c>
      <c r="M177" s="75" t="s">
        <v>38</v>
      </c>
      <c r="N177" s="75" t="s">
        <v>38</v>
      </c>
      <c r="O177" s="75" t="s">
        <v>38</v>
      </c>
      <c r="P177" s="75" t="s">
        <v>38</v>
      </c>
      <c r="Q177" s="77">
        <v>4.5000000000000003E-5</v>
      </c>
      <c r="R177" s="75" t="s">
        <v>38</v>
      </c>
      <c r="S177" s="75" t="s">
        <v>38</v>
      </c>
      <c r="T177" s="75" t="s">
        <v>38</v>
      </c>
      <c r="U177" s="76" t="s">
        <v>38</v>
      </c>
      <c r="V177" s="76" t="s">
        <v>38</v>
      </c>
    </row>
    <row r="178" spans="1:22" ht="13.5" x14ac:dyDescent="0.25">
      <c r="A178" s="71"/>
      <c r="B178" s="71"/>
      <c r="C178" s="71"/>
      <c r="D178" s="71"/>
      <c r="E178" s="71"/>
      <c r="F178" s="71"/>
      <c r="G178" s="71"/>
      <c r="H178" s="71"/>
      <c r="I178" s="71"/>
      <c r="J178" s="71"/>
      <c r="K178" s="71"/>
      <c r="L178" s="71"/>
      <c r="M178" s="71"/>
      <c r="N178" s="71"/>
      <c r="O178" s="71"/>
      <c r="P178" s="71"/>
      <c r="Q178" s="71"/>
      <c r="R178" s="71"/>
      <c r="S178" s="71"/>
      <c r="T178" s="71"/>
      <c r="U178" s="71"/>
      <c r="V178" s="71"/>
    </row>
    <row r="179" spans="1:22" ht="13.5" x14ac:dyDescent="0.25">
      <c r="A179" s="74" t="s">
        <v>66</v>
      </c>
      <c r="B179" s="75" t="s">
        <v>38</v>
      </c>
      <c r="C179" s="75" t="s">
        <v>38</v>
      </c>
      <c r="D179" s="75" t="s">
        <v>38</v>
      </c>
      <c r="E179" s="74">
        <v>1.302E-3</v>
      </c>
      <c r="F179" s="75" t="s">
        <v>38</v>
      </c>
      <c r="G179" s="75" t="s">
        <v>38</v>
      </c>
      <c r="H179" s="74">
        <v>0</v>
      </c>
      <c r="I179" s="74">
        <v>0</v>
      </c>
      <c r="J179" s="74" t="s">
        <v>52</v>
      </c>
      <c r="K179" s="75" t="s">
        <v>38</v>
      </c>
      <c r="L179" s="75" t="s">
        <v>38</v>
      </c>
      <c r="M179" s="74" t="s">
        <v>130</v>
      </c>
      <c r="N179" s="74" t="s">
        <v>132</v>
      </c>
      <c r="O179" s="74">
        <v>2</v>
      </c>
      <c r="P179" s="74">
        <v>1</v>
      </c>
      <c r="Q179" s="75" t="s">
        <v>38</v>
      </c>
      <c r="R179" s="75" t="s">
        <v>38</v>
      </c>
      <c r="S179" s="75" t="s">
        <v>38</v>
      </c>
      <c r="T179" s="74">
        <v>0</v>
      </c>
      <c r="U179" s="74" t="s">
        <v>38</v>
      </c>
      <c r="V179" s="74" t="s">
        <v>38</v>
      </c>
    </row>
    <row r="180" spans="1:22" ht="13.5" x14ac:dyDescent="0.25">
      <c r="A180" s="58" t="s">
        <v>36</v>
      </c>
      <c r="B180" s="78">
        <v>8000000</v>
      </c>
      <c r="C180" s="61">
        <v>300</v>
      </c>
      <c r="D180" s="71"/>
      <c r="E180" s="71"/>
      <c r="F180" s="71"/>
      <c r="G180" s="71"/>
      <c r="H180" s="71"/>
      <c r="I180" s="71"/>
      <c r="J180" s="71"/>
      <c r="K180" s="71"/>
      <c r="L180" s="71"/>
      <c r="M180" s="71"/>
      <c r="N180" s="71"/>
      <c r="O180" s="71"/>
      <c r="P180" s="71"/>
      <c r="Q180" s="71"/>
      <c r="R180" s="71"/>
      <c r="S180" s="71"/>
      <c r="T180" s="71"/>
      <c r="U180" s="71"/>
      <c r="V180" s="71"/>
    </row>
    <row r="181" spans="1:22" ht="13.5" x14ac:dyDescent="0.25">
      <c r="A181" s="76" t="s">
        <v>41</v>
      </c>
      <c r="B181" s="76" t="s">
        <v>132</v>
      </c>
      <c r="C181" s="76">
        <v>0.51500000000000001</v>
      </c>
      <c r="D181" s="76">
        <v>0.2</v>
      </c>
      <c r="E181" s="76">
        <v>9.1947999999999995E-3</v>
      </c>
      <c r="F181" s="76">
        <v>0</v>
      </c>
      <c r="G181" s="76">
        <v>0</v>
      </c>
      <c r="H181" s="76">
        <v>0</v>
      </c>
      <c r="I181" s="76">
        <v>0</v>
      </c>
      <c r="J181" s="76" t="s">
        <v>133</v>
      </c>
      <c r="K181" s="76" t="s">
        <v>134</v>
      </c>
      <c r="L181" s="76">
        <v>110</v>
      </c>
      <c r="M181" s="75" t="s">
        <v>38</v>
      </c>
      <c r="N181" s="75" t="s">
        <v>38</v>
      </c>
      <c r="O181" s="75" t="s">
        <v>38</v>
      </c>
      <c r="P181" s="75" t="s">
        <v>38</v>
      </c>
      <c r="Q181" s="77">
        <v>4.5000000000000003E-5</v>
      </c>
      <c r="R181" s="75" t="s">
        <v>38</v>
      </c>
      <c r="S181" s="75" t="s">
        <v>38</v>
      </c>
      <c r="T181" s="75" t="s">
        <v>38</v>
      </c>
      <c r="U181" s="76" t="s">
        <v>38</v>
      </c>
      <c r="V181" s="76" t="s">
        <v>38</v>
      </c>
    </row>
    <row r="182" spans="1:22" ht="13.5" x14ac:dyDescent="0.25">
      <c r="A182" s="76" t="s">
        <v>41</v>
      </c>
      <c r="B182" s="76" t="s">
        <v>135</v>
      </c>
      <c r="C182" s="76">
        <v>0.88700000000000001</v>
      </c>
      <c r="D182" s="76">
        <v>0.2</v>
      </c>
      <c r="E182" s="76">
        <v>9.1947999999999995E-3</v>
      </c>
      <c r="F182" s="76">
        <v>90</v>
      </c>
      <c r="G182" s="76">
        <v>0</v>
      </c>
      <c r="H182" s="76">
        <v>0</v>
      </c>
      <c r="I182" s="76">
        <v>0</v>
      </c>
      <c r="J182" s="76" t="s">
        <v>133</v>
      </c>
      <c r="K182" s="76" t="s">
        <v>134</v>
      </c>
      <c r="L182" s="76">
        <v>111</v>
      </c>
      <c r="M182" s="75" t="s">
        <v>38</v>
      </c>
      <c r="N182" s="75" t="s">
        <v>38</v>
      </c>
      <c r="O182" s="75" t="s">
        <v>38</v>
      </c>
      <c r="P182" s="75" t="s">
        <v>38</v>
      </c>
      <c r="Q182" s="77">
        <v>4.5000000000000003E-5</v>
      </c>
      <c r="R182" s="75" t="s">
        <v>38</v>
      </c>
      <c r="S182" s="75" t="s">
        <v>38</v>
      </c>
      <c r="T182" s="75" t="s">
        <v>38</v>
      </c>
      <c r="U182" s="76" t="s">
        <v>38</v>
      </c>
      <c r="V182" s="76" t="s">
        <v>38</v>
      </c>
    </row>
    <row r="184" spans="1:22" ht="13.5" x14ac:dyDescent="0.25">
      <c r="A184" s="74" t="s">
        <v>66</v>
      </c>
      <c r="B184" s="75" t="s">
        <v>38</v>
      </c>
      <c r="C184" s="75" t="s">
        <v>38</v>
      </c>
      <c r="D184" s="75" t="s">
        <v>38</v>
      </c>
      <c r="E184" s="74">
        <v>1.302E-3</v>
      </c>
      <c r="F184" s="75" t="s">
        <v>38</v>
      </c>
      <c r="G184" s="75" t="s">
        <v>38</v>
      </c>
      <c r="H184" s="74">
        <v>0</v>
      </c>
      <c r="I184" s="74">
        <v>0</v>
      </c>
      <c r="J184" s="74" t="s">
        <v>52</v>
      </c>
      <c r="K184" s="75" t="s">
        <v>38</v>
      </c>
      <c r="L184" s="75" t="s">
        <v>38</v>
      </c>
      <c r="M184" s="74" t="s">
        <v>130</v>
      </c>
      <c r="N184" s="74" t="s">
        <v>132</v>
      </c>
      <c r="O184" s="74">
        <v>2</v>
      </c>
      <c r="P184" s="74">
        <v>1</v>
      </c>
      <c r="Q184" s="75" t="s">
        <v>38</v>
      </c>
      <c r="R184" s="75" t="s">
        <v>38</v>
      </c>
      <c r="S184" s="75" t="s">
        <v>38</v>
      </c>
      <c r="T184" s="74">
        <v>0</v>
      </c>
      <c r="U184" s="74" t="s">
        <v>38</v>
      </c>
      <c r="V184" s="74" t="s">
        <v>38</v>
      </c>
    </row>
    <row r="186" spans="1:22" ht="13.5" x14ac:dyDescent="0.25">
      <c r="A186" s="58" t="s">
        <v>37</v>
      </c>
      <c r="B186" s="58" t="s">
        <v>207</v>
      </c>
      <c r="C186" s="58">
        <v>1</v>
      </c>
      <c r="D186" s="75" t="s">
        <v>38</v>
      </c>
      <c r="E186" s="58">
        <v>1</v>
      </c>
      <c r="F186" s="58">
        <v>0</v>
      </c>
      <c r="G186" s="58">
        <v>0</v>
      </c>
      <c r="H186" s="75" t="s">
        <v>38</v>
      </c>
      <c r="I186" s="75" t="s">
        <v>38</v>
      </c>
      <c r="J186" s="58" t="s">
        <v>47</v>
      </c>
      <c r="K186" s="75" t="s">
        <v>38</v>
      </c>
      <c r="L186" s="75" t="s">
        <v>38</v>
      </c>
      <c r="M186" s="75" t="s">
        <v>38</v>
      </c>
      <c r="N186" s="75" t="s">
        <v>38</v>
      </c>
      <c r="O186" s="75" t="s">
        <v>38</v>
      </c>
      <c r="P186" s="75" t="s">
        <v>38</v>
      </c>
      <c r="Q186" s="78">
        <v>8000000</v>
      </c>
      <c r="R186" s="61">
        <v>300</v>
      </c>
      <c r="S186" s="75" t="s">
        <v>38</v>
      </c>
      <c r="T186" s="75" t="s">
        <v>38</v>
      </c>
      <c r="U186" s="78" t="s">
        <v>38</v>
      </c>
      <c r="V186" s="61" t="s">
        <v>38</v>
      </c>
    </row>
    <row r="188" spans="1:22" x14ac:dyDescent="0.2">
      <c r="A188" s="70" t="s">
        <v>210</v>
      </c>
    </row>
    <row r="189" spans="1:22" ht="13.5" x14ac:dyDescent="0.25">
      <c r="A189" s="58" t="s">
        <v>70</v>
      </c>
      <c r="B189" s="78">
        <v>8000000</v>
      </c>
      <c r="C189" s="61">
        <v>300</v>
      </c>
    </row>
    <row r="192" spans="1:22" x14ac:dyDescent="0.2">
      <c r="A192" s="70" t="s">
        <v>211</v>
      </c>
    </row>
    <row r="193" spans="1:22" ht="13.5" x14ac:dyDescent="0.25">
      <c r="A193" s="58" t="s">
        <v>36</v>
      </c>
      <c r="B193" s="78">
        <v>8000000</v>
      </c>
      <c r="C193" s="61">
        <v>300</v>
      </c>
      <c r="D193" s="71"/>
      <c r="E193" s="71"/>
      <c r="F193" s="71"/>
      <c r="G193" s="71"/>
      <c r="H193" s="71"/>
      <c r="I193" s="71"/>
      <c r="J193" s="71"/>
      <c r="K193" s="71"/>
      <c r="L193" s="71"/>
      <c r="M193" s="71"/>
      <c r="N193" s="71"/>
      <c r="O193" s="71"/>
      <c r="P193" s="71"/>
      <c r="Q193" s="71"/>
      <c r="R193" s="71"/>
      <c r="S193" s="71"/>
      <c r="T193" s="71"/>
      <c r="U193" s="71"/>
      <c r="V193" s="71"/>
    </row>
    <row r="194" spans="1:22" ht="13.5" x14ac:dyDescent="0.25">
      <c r="A194" s="76" t="s">
        <v>41</v>
      </c>
      <c r="B194" s="76" t="s">
        <v>132</v>
      </c>
      <c r="C194" s="76">
        <v>0.51500000000000001</v>
      </c>
      <c r="D194" s="76">
        <v>0.2</v>
      </c>
      <c r="E194" s="76">
        <v>9.1947999999999995E-3</v>
      </c>
      <c r="F194" s="76">
        <v>0</v>
      </c>
      <c r="G194" s="76">
        <v>0</v>
      </c>
      <c r="H194" s="76">
        <v>0</v>
      </c>
      <c r="I194" s="76">
        <v>0</v>
      </c>
      <c r="J194" s="76" t="s">
        <v>133</v>
      </c>
      <c r="K194" s="76" t="s">
        <v>134</v>
      </c>
      <c r="L194" s="76">
        <v>110</v>
      </c>
      <c r="M194" s="75" t="s">
        <v>38</v>
      </c>
      <c r="N194" s="75" t="s">
        <v>38</v>
      </c>
      <c r="O194" s="75" t="s">
        <v>38</v>
      </c>
      <c r="P194" s="75" t="s">
        <v>38</v>
      </c>
      <c r="Q194" s="77">
        <v>4.5000000000000003E-5</v>
      </c>
      <c r="R194" s="75" t="s">
        <v>38</v>
      </c>
      <c r="S194" s="75" t="s">
        <v>38</v>
      </c>
      <c r="T194" s="75" t="s">
        <v>38</v>
      </c>
      <c r="U194" s="76" t="s">
        <v>38</v>
      </c>
      <c r="V194" s="76" t="s">
        <v>38</v>
      </c>
    </row>
    <row r="195" spans="1:22" ht="13.5" x14ac:dyDescent="0.25">
      <c r="A195" s="76" t="s">
        <v>41</v>
      </c>
      <c r="B195" s="76" t="s">
        <v>135</v>
      </c>
      <c r="C195" s="76">
        <v>0.88700000000000001</v>
      </c>
      <c r="D195" s="76">
        <v>0.2</v>
      </c>
      <c r="E195" s="76">
        <v>9.1947999999999995E-3</v>
      </c>
      <c r="F195" s="76">
        <v>90</v>
      </c>
      <c r="G195" s="76">
        <v>0</v>
      </c>
      <c r="H195" s="76">
        <v>0</v>
      </c>
      <c r="I195" s="76">
        <v>0</v>
      </c>
      <c r="J195" s="76" t="s">
        <v>133</v>
      </c>
      <c r="K195" s="76" t="s">
        <v>134</v>
      </c>
      <c r="L195" s="76">
        <v>111</v>
      </c>
      <c r="M195" s="75" t="s">
        <v>38</v>
      </c>
      <c r="N195" s="75" t="s">
        <v>38</v>
      </c>
      <c r="O195" s="75" t="s">
        <v>38</v>
      </c>
      <c r="P195" s="75" t="s">
        <v>38</v>
      </c>
      <c r="Q195" s="77">
        <v>4.5000000000000003E-5</v>
      </c>
      <c r="R195" s="75" t="s">
        <v>38</v>
      </c>
      <c r="S195" s="75" t="s">
        <v>38</v>
      </c>
      <c r="T195" s="75" t="s">
        <v>38</v>
      </c>
      <c r="U195" s="76" t="s">
        <v>38</v>
      </c>
      <c r="V195" s="76" t="s">
        <v>38</v>
      </c>
    </row>
    <row r="196" spans="1:22" ht="13.5" x14ac:dyDescent="0.25">
      <c r="A196" s="76" t="s">
        <v>41</v>
      </c>
      <c r="B196" s="76" t="s">
        <v>208</v>
      </c>
      <c r="C196" s="76">
        <v>0.88700000000000001</v>
      </c>
      <c r="D196" s="76">
        <v>0.2</v>
      </c>
      <c r="E196" s="76">
        <v>9.1947999999999995E-3</v>
      </c>
      <c r="F196" s="76">
        <v>90</v>
      </c>
      <c r="G196" s="76">
        <v>0</v>
      </c>
      <c r="H196" s="76">
        <v>0</v>
      </c>
      <c r="I196" s="76">
        <v>0</v>
      </c>
      <c r="J196" s="76" t="s">
        <v>133</v>
      </c>
      <c r="K196" s="76" t="s">
        <v>134</v>
      </c>
      <c r="L196" s="76">
        <v>111</v>
      </c>
      <c r="M196" s="75" t="s">
        <v>38</v>
      </c>
      <c r="N196" s="75" t="s">
        <v>38</v>
      </c>
      <c r="O196" s="75" t="s">
        <v>38</v>
      </c>
      <c r="P196" s="75" t="s">
        <v>38</v>
      </c>
      <c r="Q196" s="77">
        <v>4.5000000000000003E-5</v>
      </c>
      <c r="R196" s="75" t="s">
        <v>38</v>
      </c>
      <c r="S196" s="75" t="s">
        <v>38</v>
      </c>
      <c r="T196" s="75" t="s">
        <v>38</v>
      </c>
      <c r="U196" s="76" t="s">
        <v>38</v>
      </c>
      <c r="V196" s="76" t="s">
        <v>38</v>
      </c>
    </row>
    <row r="200" spans="1:22" ht="13.5" x14ac:dyDescent="0.25">
      <c r="A200" s="58" t="s">
        <v>36</v>
      </c>
      <c r="B200" s="78">
        <v>8000000</v>
      </c>
      <c r="C200" s="61">
        <v>450</v>
      </c>
      <c r="D200" s="79" t="s">
        <v>135</v>
      </c>
    </row>
    <row r="204" spans="1:22" x14ac:dyDescent="0.2">
      <c r="A204" s="70" t="s">
        <v>212</v>
      </c>
    </row>
    <row r="205" spans="1:22" ht="13.5" x14ac:dyDescent="0.25">
      <c r="A205" s="58" t="s">
        <v>70</v>
      </c>
      <c r="B205" s="78">
        <v>8000000</v>
      </c>
      <c r="C205" s="61">
        <v>450</v>
      </c>
      <c r="D205" s="79" t="s">
        <v>135</v>
      </c>
      <c r="E205" s="79">
        <v>0.05</v>
      </c>
    </row>
    <row r="214" spans="1:1" ht="15.75" x14ac:dyDescent="0.25">
      <c r="A214" s="72" t="s">
        <v>213</v>
      </c>
    </row>
    <row r="215" spans="1:1" x14ac:dyDescent="0.2">
      <c r="A215" s="53" t="s">
        <v>214</v>
      </c>
    </row>
    <row r="217" spans="1:1" ht="13.5" x14ac:dyDescent="0.25">
      <c r="A217" s="71" t="s">
        <v>215</v>
      </c>
    </row>
    <row r="220" spans="1:1" x14ac:dyDescent="0.2">
      <c r="A220" s="53" t="s">
        <v>250</v>
      </c>
    </row>
    <row r="227" spans="1:1" x14ac:dyDescent="0.2">
      <c r="A227" s="70" t="s">
        <v>216</v>
      </c>
    </row>
    <row r="228" spans="1:1" x14ac:dyDescent="0.2">
      <c r="A228" s="53" t="s">
        <v>217</v>
      </c>
    </row>
    <row r="229" spans="1:1" x14ac:dyDescent="0.2">
      <c r="A229" s="53" t="s">
        <v>218</v>
      </c>
    </row>
    <row r="231" spans="1:1" ht="13.5" x14ac:dyDescent="0.25">
      <c r="A231" s="71" t="s">
        <v>220</v>
      </c>
    </row>
    <row r="232" spans="1:1" ht="13.5" x14ac:dyDescent="0.25">
      <c r="A232" s="71" t="s">
        <v>219</v>
      </c>
    </row>
    <row r="242" spans="1:11" ht="15.75" x14ac:dyDescent="0.25">
      <c r="A242" s="72" t="s">
        <v>264</v>
      </c>
    </row>
    <row r="244" spans="1:11" ht="13.5" x14ac:dyDescent="0.25">
      <c r="A244" s="71" t="s">
        <v>9</v>
      </c>
      <c r="C244" s="71" t="s">
        <v>222</v>
      </c>
    </row>
    <row r="245" spans="1:11" ht="13.5" x14ac:dyDescent="0.25">
      <c r="A245" s="71" t="s">
        <v>221</v>
      </c>
      <c r="C245" s="71" t="s">
        <v>224</v>
      </c>
      <c r="K245" s="53" t="s">
        <v>244</v>
      </c>
    </row>
    <row r="246" spans="1:11" ht="13.5" x14ac:dyDescent="0.25">
      <c r="A246" s="71" t="s">
        <v>223</v>
      </c>
      <c r="C246" s="71" t="s">
        <v>225</v>
      </c>
      <c r="K246" s="53" t="s">
        <v>245</v>
      </c>
    </row>
    <row r="247" spans="1:11" ht="13.5" x14ac:dyDescent="0.25">
      <c r="A247" s="71" t="s">
        <v>226</v>
      </c>
      <c r="C247" s="71" t="s">
        <v>227</v>
      </c>
      <c r="K247" s="53" t="s">
        <v>246</v>
      </c>
    </row>
    <row r="248" spans="1:11" ht="13.5" x14ac:dyDescent="0.25">
      <c r="A248" s="71" t="s">
        <v>228</v>
      </c>
      <c r="C248" s="71" t="s">
        <v>229</v>
      </c>
      <c r="K248" s="53" t="s">
        <v>247</v>
      </c>
    </row>
    <row r="249" spans="1:11" ht="13.5" x14ac:dyDescent="0.25">
      <c r="A249" s="71" t="s">
        <v>230</v>
      </c>
      <c r="C249" s="71" t="s">
        <v>231</v>
      </c>
      <c r="K249" s="53" t="s">
        <v>249</v>
      </c>
    </row>
    <row r="250" spans="1:11" ht="13.5" x14ac:dyDescent="0.25">
      <c r="A250" s="71" t="s">
        <v>232</v>
      </c>
      <c r="C250" s="71" t="s">
        <v>233</v>
      </c>
      <c r="K250" s="53" t="s">
        <v>248</v>
      </c>
    </row>
    <row r="251" spans="1:11" ht="13.5" x14ac:dyDescent="0.25">
      <c r="A251" s="71"/>
      <c r="C251" s="71"/>
    </row>
    <row r="252" spans="1:11" ht="13.5" x14ac:dyDescent="0.25">
      <c r="A252" s="71"/>
      <c r="C252" s="71"/>
    </row>
    <row r="253" spans="1:11" ht="13.5" x14ac:dyDescent="0.25">
      <c r="A253" s="71" t="s">
        <v>241</v>
      </c>
      <c r="C253" s="71"/>
    </row>
    <row r="254" spans="1:11" ht="13.5" x14ac:dyDescent="0.25">
      <c r="A254" s="71" t="s">
        <v>234</v>
      </c>
      <c r="C254" s="71" t="s">
        <v>235</v>
      </c>
      <c r="K254" s="53" t="s">
        <v>242</v>
      </c>
    </row>
    <row r="255" spans="1:11" ht="13.5" x14ac:dyDescent="0.25">
      <c r="A255" s="71" t="s">
        <v>239</v>
      </c>
      <c r="C255" s="71" t="s">
        <v>240</v>
      </c>
      <c r="K255" s="53" t="s">
        <v>238</v>
      </c>
    </row>
    <row r="256" spans="1:11" ht="13.5" x14ac:dyDescent="0.25">
      <c r="A256" s="71" t="s">
        <v>236</v>
      </c>
      <c r="C256" s="71" t="s">
        <v>237</v>
      </c>
      <c r="K256" s="53" t="s">
        <v>243</v>
      </c>
    </row>
    <row r="281" spans="1:22" ht="15.75" x14ac:dyDescent="0.25">
      <c r="A281" s="72" t="s">
        <v>256</v>
      </c>
    </row>
    <row r="283" spans="1:22" ht="33.75" x14ac:dyDescent="0.2">
      <c r="A283" s="81" t="s">
        <v>0</v>
      </c>
      <c r="B283" s="82" t="s">
        <v>1</v>
      </c>
      <c r="C283" s="83" t="s">
        <v>2</v>
      </c>
      <c r="D283" s="83" t="s">
        <v>3</v>
      </c>
      <c r="E283" s="84" t="s">
        <v>4</v>
      </c>
      <c r="F283" s="85" t="s">
        <v>5</v>
      </c>
      <c r="G283" s="85" t="s">
        <v>6</v>
      </c>
      <c r="H283" s="85" t="s">
        <v>7</v>
      </c>
      <c r="I283" s="85" t="s">
        <v>8</v>
      </c>
      <c r="J283" s="81" t="s">
        <v>9</v>
      </c>
      <c r="K283" s="81" t="s">
        <v>10</v>
      </c>
      <c r="L283" s="86" t="s">
        <v>11</v>
      </c>
      <c r="M283" s="82" t="s">
        <v>12</v>
      </c>
      <c r="N283" s="82" t="s">
        <v>13</v>
      </c>
      <c r="O283" s="87" t="s">
        <v>14</v>
      </c>
      <c r="P283" s="87" t="s">
        <v>15</v>
      </c>
      <c r="Q283" s="88" t="s">
        <v>16</v>
      </c>
      <c r="R283" s="89" t="s">
        <v>17</v>
      </c>
      <c r="S283" s="89" t="s">
        <v>18</v>
      </c>
      <c r="T283" s="89" t="s">
        <v>19</v>
      </c>
      <c r="U283" s="89" t="s">
        <v>20</v>
      </c>
      <c r="V283" s="89" t="s">
        <v>21</v>
      </c>
    </row>
    <row r="284" spans="1:22" ht="13.5" x14ac:dyDescent="0.25">
      <c r="A284" s="11"/>
      <c r="B284" s="12"/>
      <c r="C284" s="13"/>
      <c r="D284" s="13"/>
      <c r="E284" s="14"/>
      <c r="F284" s="15"/>
      <c r="G284" s="15"/>
      <c r="H284" s="15"/>
      <c r="I284" s="15"/>
      <c r="J284" s="11"/>
      <c r="K284" s="11"/>
      <c r="L284" s="11"/>
      <c r="M284" s="12"/>
      <c r="N284" s="12"/>
      <c r="O284" s="12"/>
      <c r="P284" s="12"/>
      <c r="Q284" s="17"/>
      <c r="R284" s="13"/>
      <c r="S284" s="15"/>
      <c r="T284" s="15"/>
      <c r="U284" s="36"/>
      <c r="V284" s="36"/>
    </row>
    <row r="285" spans="1:22" ht="13.5" x14ac:dyDescent="0.25">
      <c r="A285" s="11" t="s">
        <v>54</v>
      </c>
      <c r="B285" s="12"/>
      <c r="C285" s="13"/>
      <c r="D285" s="13"/>
      <c r="E285" s="14"/>
      <c r="F285" s="15"/>
      <c r="G285" s="15"/>
      <c r="H285" s="15"/>
      <c r="I285" s="15"/>
      <c r="J285" s="11"/>
      <c r="K285" s="11"/>
      <c r="L285" s="11"/>
      <c r="M285" s="12"/>
      <c r="N285" s="12"/>
      <c r="O285" s="12"/>
      <c r="P285" s="12"/>
      <c r="Q285" s="17"/>
      <c r="R285" s="13"/>
      <c r="S285" s="15"/>
      <c r="T285" s="15"/>
      <c r="U285" s="36"/>
      <c r="V285" s="36"/>
    </row>
    <row r="286" spans="1:22" ht="13.5" x14ac:dyDescent="0.25">
      <c r="A286" s="11" t="s">
        <v>35</v>
      </c>
      <c r="B286" s="12">
        <v>100</v>
      </c>
      <c r="C286" s="13"/>
      <c r="D286" s="13"/>
      <c r="E286" s="14"/>
      <c r="F286" s="15"/>
      <c r="G286" s="15"/>
      <c r="H286" s="15"/>
      <c r="I286" s="15"/>
      <c r="J286" s="11"/>
      <c r="K286" s="11"/>
      <c r="L286" s="11"/>
      <c r="M286" s="12"/>
      <c r="N286" s="12"/>
      <c r="O286" s="12"/>
      <c r="P286" s="12"/>
      <c r="Q286" s="17"/>
      <c r="R286" s="13"/>
      <c r="S286" s="15"/>
      <c r="T286" s="15"/>
      <c r="U286" s="36"/>
      <c r="V286" s="36"/>
    </row>
    <row r="287" spans="1:22" ht="13.5" x14ac:dyDescent="0.25">
      <c r="A287" s="11" t="s">
        <v>36</v>
      </c>
      <c r="B287" s="12">
        <v>100000</v>
      </c>
      <c r="C287" s="13">
        <v>300</v>
      </c>
      <c r="D287" s="13"/>
      <c r="E287" s="14"/>
      <c r="F287" s="15"/>
      <c r="G287" s="15"/>
      <c r="H287" s="15"/>
      <c r="I287" s="15"/>
      <c r="J287" s="11"/>
      <c r="K287" s="11"/>
      <c r="L287" s="11"/>
      <c r="M287" s="12"/>
      <c r="N287" s="12"/>
      <c r="O287" s="12"/>
      <c r="P287" s="12"/>
      <c r="Q287" s="17"/>
      <c r="R287" s="13"/>
      <c r="S287" s="15"/>
      <c r="T287" s="15"/>
      <c r="U287" s="36"/>
      <c r="V287" s="36"/>
    </row>
    <row r="288" spans="1:22" ht="13.5" x14ac:dyDescent="0.25">
      <c r="A288" s="11" t="s">
        <v>37</v>
      </c>
      <c r="B288" s="12" t="str">
        <f>CONCATENATE("TMDV_",ROW())</f>
        <v>TMDV_288</v>
      </c>
      <c r="C288" s="13">
        <v>1</v>
      </c>
      <c r="D288" s="13" t="s">
        <v>38</v>
      </c>
      <c r="E288" s="14">
        <v>1</v>
      </c>
      <c r="F288" s="15">
        <v>0</v>
      </c>
      <c r="G288" s="15">
        <v>0</v>
      </c>
      <c r="H288" s="15" t="s">
        <v>38</v>
      </c>
      <c r="I288" s="15" t="s">
        <v>38</v>
      </c>
      <c r="J288" s="11" t="s">
        <v>257</v>
      </c>
      <c r="K288" s="11" t="s">
        <v>38</v>
      </c>
      <c r="L288" s="11" t="s">
        <v>38</v>
      </c>
      <c r="M288" s="12" t="s">
        <v>38</v>
      </c>
      <c r="N288" s="12" t="s">
        <v>38</v>
      </c>
      <c r="O288" s="12" t="s">
        <v>38</v>
      </c>
      <c r="P288" s="12" t="s">
        <v>38</v>
      </c>
      <c r="Q288" s="17">
        <v>100000</v>
      </c>
      <c r="R288" s="13">
        <v>300</v>
      </c>
      <c r="S288" s="15" t="s">
        <v>38</v>
      </c>
      <c r="T288" s="15" t="s">
        <v>38</v>
      </c>
      <c r="U288" s="36" t="s">
        <v>38</v>
      </c>
      <c r="V288" s="36" t="s">
        <v>38</v>
      </c>
    </row>
    <row r="289" spans="1:22" ht="13.5" x14ac:dyDescent="0.25">
      <c r="A289" s="11"/>
      <c r="B289" s="12"/>
      <c r="C289" s="13"/>
      <c r="D289" s="13"/>
      <c r="E289" s="14"/>
      <c r="F289" s="15"/>
      <c r="G289" s="15"/>
      <c r="H289" s="15"/>
      <c r="I289" s="15"/>
      <c r="J289" s="11"/>
      <c r="K289" s="11"/>
      <c r="L289" s="11"/>
      <c r="M289" s="12"/>
      <c r="N289" s="12"/>
      <c r="O289" s="12"/>
      <c r="P289" s="12"/>
      <c r="Q289" s="17"/>
      <c r="R289" s="13"/>
      <c r="S289" s="15"/>
      <c r="T289" s="15"/>
      <c r="U289" s="36"/>
      <c r="V289" s="36"/>
    </row>
    <row r="290" spans="1:22" ht="13.5" x14ac:dyDescent="0.25">
      <c r="A290" s="11" t="s">
        <v>39</v>
      </c>
      <c r="B290" s="12" t="s">
        <v>38</v>
      </c>
      <c r="C290" s="13" t="s">
        <v>38</v>
      </c>
      <c r="D290" s="13" t="s">
        <v>38</v>
      </c>
      <c r="E290" s="14">
        <v>0</v>
      </c>
      <c r="F290" s="15" t="s">
        <v>38</v>
      </c>
      <c r="G290" s="15" t="s">
        <v>38</v>
      </c>
      <c r="H290" s="15">
        <v>0</v>
      </c>
      <c r="I290" s="15">
        <v>0</v>
      </c>
      <c r="J290" s="11" t="s">
        <v>40</v>
      </c>
      <c r="K290" s="11" t="s">
        <v>38</v>
      </c>
      <c r="L290" s="11" t="s">
        <v>38</v>
      </c>
      <c r="M290" s="12" t="str">
        <f ca="1">OFFSET($A$1,ROW()-3,1)</f>
        <v>TMDV_288</v>
      </c>
      <c r="N290" s="12" t="str">
        <f ca="1">OFFSET($A$1,ROW()+1,1)</f>
        <v>PIPE_292</v>
      </c>
      <c r="O290" s="12">
        <v>2</v>
      </c>
      <c r="P290" s="12">
        <v>1</v>
      </c>
      <c r="Q290" s="17" t="s">
        <v>38</v>
      </c>
      <c r="R290" s="13" t="s">
        <v>38</v>
      </c>
      <c r="S290" s="15" t="s">
        <v>38</v>
      </c>
      <c r="T290" s="15" t="s">
        <v>38</v>
      </c>
      <c r="U290" s="36" t="s">
        <v>38</v>
      </c>
      <c r="V290" s="36" t="s">
        <v>38</v>
      </c>
    </row>
    <row r="291" spans="1:22" ht="13.5" x14ac:dyDescent="0.25">
      <c r="A291" s="11"/>
      <c r="B291" s="12"/>
      <c r="C291" s="13"/>
      <c r="D291" s="13"/>
      <c r="E291" s="14"/>
      <c r="F291" s="15"/>
      <c r="G291" s="15"/>
      <c r="H291" s="15"/>
      <c r="I291" s="15"/>
      <c r="J291" s="11"/>
      <c r="K291" s="11"/>
      <c r="L291" s="11"/>
      <c r="M291" s="12"/>
      <c r="N291" s="12"/>
      <c r="O291" s="12"/>
      <c r="P291" s="12"/>
      <c r="Q291" s="17"/>
      <c r="R291" s="13"/>
      <c r="S291" s="15"/>
      <c r="T291" s="15"/>
      <c r="U291" s="36"/>
      <c r="V291" s="36"/>
    </row>
    <row r="292" spans="1:22" ht="13.5" x14ac:dyDescent="0.25">
      <c r="A292" s="11" t="s">
        <v>41</v>
      </c>
      <c r="B292" s="12" t="str">
        <f>CONCATENATE("PIPE_",ROW())</f>
        <v>PIPE_292</v>
      </c>
      <c r="C292" s="13">
        <v>2</v>
      </c>
      <c r="D292" s="13" t="e">
        <f>dx</f>
        <v>#NAME?</v>
      </c>
      <c r="E292" s="14">
        <f>0.2^2*PI()/4</f>
        <v>3.1415926535897934E-2</v>
      </c>
      <c r="F292" s="15">
        <v>-90</v>
      </c>
      <c r="G292" s="15">
        <v>0</v>
      </c>
      <c r="H292" s="15">
        <v>0</v>
      </c>
      <c r="I292" s="15">
        <v>0</v>
      </c>
      <c r="J292" s="11" t="s">
        <v>48</v>
      </c>
      <c r="K292" s="11" t="s">
        <v>38</v>
      </c>
      <c r="L292" s="11" t="s">
        <v>38</v>
      </c>
      <c r="M292" s="12" t="s">
        <v>38</v>
      </c>
      <c r="N292" s="12" t="s">
        <v>38</v>
      </c>
      <c r="O292" s="12" t="s">
        <v>38</v>
      </c>
      <c r="P292" s="12" t="s">
        <v>38</v>
      </c>
      <c r="Q292" s="17">
        <v>4.5000000000000003E-5</v>
      </c>
      <c r="R292" s="13" t="s">
        <v>38</v>
      </c>
      <c r="S292" s="15" t="s">
        <v>38</v>
      </c>
      <c r="T292" s="15" t="s">
        <v>38</v>
      </c>
      <c r="U292" s="36" t="s">
        <v>38</v>
      </c>
      <c r="V292" s="36" t="s">
        <v>38</v>
      </c>
    </row>
    <row r="293" spans="1:22" ht="13.5" x14ac:dyDescent="0.25">
      <c r="A293" s="11" t="s">
        <v>41</v>
      </c>
      <c r="B293" s="12" t="str">
        <f>CONCATENATE("PIPE_",ROW())</f>
        <v>PIPE_293</v>
      </c>
      <c r="C293" s="13">
        <v>6</v>
      </c>
      <c r="D293" s="13" t="e">
        <f>dx</f>
        <v>#NAME?</v>
      </c>
      <c r="E293" s="14">
        <f>0.2^2*PI()/4</f>
        <v>3.1415926535897934E-2</v>
      </c>
      <c r="F293" s="15">
        <v>0</v>
      </c>
      <c r="G293" s="15">
        <v>0</v>
      </c>
      <c r="H293" s="15">
        <v>0</v>
      </c>
      <c r="I293" s="15">
        <v>0</v>
      </c>
      <c r="J293" s="11" t="s">
        <v>48</v>
      </c>
      <c r="K293" s="11" t="s">
        <v>38</v>
      </c>
      <c r="L293" s="11" t="s">
        <v>38</v>
      </c>
      <c r="M293" s="12" t="s">
        <v>38</v>
      </c>
      <c r="N293" s="12" t="s">
        <v>38</v>
      </c>
      <c r="O293" s="12" t="s">
        <v>38</v>
      </c>
      <c r="P293" s="12" t="s">
        <v>38</v>
      </c>
      <c r="Q293" s="17">
        <v>4.5000000000000003E-5</v>
      </c>
      <c r="R293" s="13" t="s">
        <v>38</v>
      </c>
      <c r="S293" s="15" t="s">
        <v>38</v>
      </c>
      <c r="T293" s="15" t="s">
        <v>38</v>
      </c>
      <c r="U293" s="36" t="s">
        <v>38</v>
      </c>
      <c r="V293" s="36" t="s">
        <v>38</v>
      </c>
    </row>
    <row r="294" spans="1:22" ht="13.5" x14ac:dyDescent="0.25">
      <c r="A294" s="11" t="s">
        <v>35</v>
      </c>
      <c r="B294" s="12">
        <v>111</v>
      </c>
      <c r="C294" s="13"/>
      <c r="D294" s="13"/>
      <c r="E294" s="14"/>
      <c r="F294" s="15"/>
      <c r="G294" s="15"/>
      <c r="H294" s="15"/>
      <c r="I294" s="15"/>
      <c r="J294" s="11"/>
      <c r="K294" s="11"/>
      <c r="L294" s="11"/>
      <c r="M294" s="12"/>
      <c r="N294" s="12"/>
      <c r="O294" s="12"/>
      <c r="P294" s="12"/>
      <c r="Q294" s="17"/>
      <c r="R294" s="13"/>
      <c r="S294" s="15"/>
      <c r="T294" s="15"/>
      <c r="U294" s="36"/>
      <c r="V294" s="36"/>
    </row>
    <row r="295" spans="1:22" ht="13.5" x14ac:dyDescent="0.25">
      <c r="A295" s="11" t="s">
        <v>49</v>
      </c>
      <c r="B295" s="12" t="s">
        <v>38</v>
      </c>
      <c r="C295" s="13" t="s">
        <v>38</v>
      </c>
      <c r="D295" s="13" t="s">
        <v>38</v>
      </c>
      <c r="E295" s="14">
        <f>0.1^2*PI()/4</f>
        <v>7.8539816339744835E-3</v>
      </c>
      <c r="F295" s="15" t="s">
        <v>38</v>
      </c>
      <c r="G295" s="15" t="s">
        <v>38</v>
      </c>
      <c r="H295" s="15">
        <v>0</v>
      </c>
      <c r="I295" s="15">
        <v>0</v>
      </c>
      <c r="J295" s="11" t="s">
        <v>57</v>
      </c>
      <c r="K295" s="11" t="s">
        <v>38</v>
      </c>
      <c r="L295" s="11" t="s">
        <v>38</v>
      </c>
      <c r="M295" s="12" t="str">
        <f ca="1">OFFSET($A$1,ROW()-3,1)</f>
        <v>PIPE_293</v>
      </c>
      <c r="N295" s="12" t="str">
        <f ca="1">OFFSET($A$1,ROW()+1,1)</f>
        <v>PIPE_297</v>
      </c>
      <c r="O295" s="12">
        <v>2</v>
      </c>
      <c r="P295" s="12">
        <v>1</v>
      </c>
      <c r="Q295" s="17" t="s">
        <v>38</v>
      </c>
      <c r="R295" s="13">
        <v>0.04</v>
      </c>
      <c r="S295" s="15">
        <v>700</v>
      </c>
      <c r="T295" s="15">
        <f>1500*2*PI()/60</f>
        <v>157.07963267948966</v>
      </c>
      <c r="U295" s="36" t="s">
        <v>38</v>
      </c>
      <c r="V295" s="36" t="s">
        <v>38</v>
      </c>
    </row>
    <row r="296" spans="1:22" ht="13.5" x14ac:dyDescent="0.25">
      <c r="A296" s="11"/>
      <c r="B296" s="12"/>
      <c r="C296" s="13"/>
      <c r="D296" s="13"/>
      <c r="E296" s="14"/>
      <c r="F296" s="15"/>
      <c r="G296" s="15"/>
      <c r="H296" s="15"/>
      <c r="I296" s="15"/>
      <c r="J296" s="11"/>
      <c r="K296" s="11"/>
      <c r="L296" s="11"/>
      <c r="M296" s="12"/>
      <c r="N296" s="12"/>
      <c r="O296" s="12"/>
      <c r="P296" s="12"/>
      <c r="Q296" s="17"/>
      <c r="R296" s="13"/>
      <c r="S296" s="15"/>
      <c r="T296" s="15"/>
      <c r="U296" s="36"/>
      <c r="V296" s="36"/>
    </row>
    <row r="297" spans="1:22" ht="13.5" x14ac:dyDescent="0.25">
      <c r="A297" s="11" t="s">
        <v>41</v>
      </c>
      <c r="B297" s="12" t="str">
        <f>CONCATENATE("PIPE_",ROW())</f>
        <v>PIPE_297</v>
      </c>
      <c r="C297" s="13">
        <v>2</v>
      </c>
      <c r="D297" s="13" t="e">
        <f>dx</f>
        <v>#NAME?</v>
      </c>
      <c r="E297" s="14">
        <f>0.1^2*PI()/4</f>
        <v>7.8539816339744835E-3</v>
      </c>
      <c r="F297" s="15">
        <v>0</v>
      </c>
      <c r="G297" s="15">
        <v>0</v>
      </c>
      <c r="H297" s="15">
        <v>0</v>
      </c>
      <c r="I297" s="15">
        <v>0</v>
      </c>
      <c r="J297" s="11" t="s">
        <v>50</v>
      </c>
      <c r="K297" s="11" t="s">
        <v>38</v>
      </c>
      <c r="L297" s="11" t="s">
        <v>38</v>
      </c>
      <c r="M297" s="12" t="s">
        <v>38</v>
      </c>
      <c r="N297" s="12" t="s">
        <v>38</v>
      </c>
      <c r="O297" s="12" t="s">
        <v>38</v>
      </c>
      <c r="P297" s="12" t="s">
        <v>38</v>
      </c>
      <c r="Q297" s="17">
        <v>4.5000000000000003E-5</v>
      </c>
      <c r="R297" s="13" t="s">
        <v>38</v>
      </c>
      <c r="S297" s="15" t="s">
        <v>38</v>
      </c>
      <c r="T297" s="15" t="s">
        <v>38</v>
      </c>
      <c r="U297" s="36" t="s">
        <v>38</v>
      </c>
      <c r="V297" s="36" t="s">
        <v>38</v>
      </c>
    </row>
    <row r="298" spans="1:22" ht="13.5" x14ac:dyDescent="0.25">
      <c r="A298" s="11" t="s">
        <v>36</v>
      </c>
      <c r="B298" s="12">
        <v>8000000</v>
      </c>
      <c r="C298" s="13">
        <v>300</v>
      </c>
      <c r="D298" s="13"/>
      <c r="E298" s="14"/>
      <c r="F298" s="15"/>
      <c r="G298" s="15"/>
      <c r="H298" s="15"/>
      <c r="I298" s="15"/>
      <c r="J298" s="11"/>
      <c r="K298" s="11"/>
      <c r="L298" s="11"/>
      <c r="M298" s="12"/>
      <c r="N298" s="12"/>
      <c r="O298" s="12"/>
      <c r="P298" s="12"/>
      <c r="Q298" s="17"/>
      <c r="R298" s="13"/>
      <c r="S298" s="15"/>
      <c r="T298" s="15"/>
      <c r="U298" s="36"/>
      <c r="V298" s="36"/>
    </row>
    <row r="299" spans="1:22" ht="13.5" x14ac:dyDescent="0.25">
      <c r="A299" s="11" t="s">
        <v>51</v>
      </c>
      <c r="B299" s="12" t="s">
        <v>38</v>
      </c>
      <c r="C299" s="13" t="s">
        <v>38</v>
      </c>
      <c r="D299" s="13" t="s">
        <v>38</v>
      </c>
      <c r="E299" s="14">
        <f>0.1^2*PI()/4</f>
        <v>7.8539816339744835E-3</v>
      </c>
      <c r="F299" s="15" t="s">
        <v>38</v>
      </c>
      <c r="G299" s="15" t="s">
        <v>38</v>
      </c>
      <c r="H299" s="15">
        <v>0</v>
      </c>
      <c r="I299" s="15">
        <v>0</v>
      </c>
      <c r="J299" s="11" t="s">
        <v>52</v>
      </c>
      <c r="K299" s="11" t="s">
        <v>38</v>
      </c>
      <c r="L299" s="11" t="s">
        <v>38</v>
      </c>
      <c r="M299" s="12" t="str">
        <f ca="1">OFFSET($A$1,ROW()-3,1)</f>
        <v>PIPE_297</v>
      </c>
      <c r="N299" s="12" t="str">
        <f ca="1">OFFSET($A$1,ROW()+1,1)</f>
        <v>PIPE_301</v>
      </c>
      <c r="O299" s="12">
        <v>2</v>
      </c>
      <c r="P299" s="12">
        <v>1</v>
      </c>
      <c r="Q299" s="17" t="s">
        <v>38</v>
      </c>
      <c r="R299" s="13" t="s">
        <v>38</v>
      </c>
      <c r="S299" s="15" t="s">
        <v>38</v>
      </c>
      <c r="T299" s="15">
        <v>0</v>
      </c>
      <c r="U299" s="36" t="s">
        <v>38</v>
      </c>
      <c r="V299" s="36" t="s">
        <v>38</v>
      </c>
    </row>
    <row r="300" spans="1:22" ht="13.5" x14ac:dyDescent="0.25">
      <c r="A300" s="11"/>
      <c r="B300" s="12"/>
      <c r="C300" s="13"/>
      <c r="D300" s="13"/>
      <c r="E300" s="14"/>
      <c r="F300" s="15"/>
      <c r="G300" s="15"/>
      <c r="H300" s="15"/>
      <c r="I300" s="15"/>
      <c r="J300" s="11"/>
      <c r="K300" s="11"/>
      <c r="L300" s="11"/>
      <c r="M300" s="12"/>
      <c r="N300" s="12"/>
      <c r="O300" s="12"/>
      <c r="P300" s="12"/>
      <c r="Q300" s="17"/>
      <c r="R300" s="13"/>
      <c r="S300" s="15"/>
      <c r="T300" s="15"/>
      <c r="U300" s="36"/>
      <c r="V300" s="36"/>
    </row>
    <row r="301" spans="1:22" ht="13.5" x14ac:dyDescent="0.25">
      <c r="A301" s="11" t="s">
        <v>41</v>
      </c>
      <c r="B301" s="12" t="str">
        <f>CONCATENATE("PIPE_",ROW())</f>
        <v>PIPE_301</v>
      </c>
      <c r="C301" s="13">
        <v>2</v>
      </c>
      <c r="D301" s="13" t="e">
        <f>dx</f>
        <v>#NAME?</v>
      </c>
      <c r="E301" s="14">
        <f>0.1^2*PI()/4</f>
        <v>7.8539816339744835E-3</v>
      </c>
      <c r="F301" s="15">
        <v>0</v>
      </c>
      <c r="G301" s="15">
        <v>0</v>
      </c>
      <c r="H301" s="15">
        <v>0</v>
      </c>
      <c r="I301" s="15">
        <v>0</v>
      </c>
      <c r="J301" s="11" t="s">
        <v>50</v>
      </c>
      <c r="K301" s="11" t="s">
        <v>38</v>
      </c>
      <c r="L301" s="11" t="s">
        <v>38</v>
      </c>
      <c r="M301" s="12" t="s">
        <v>38</v>
      </c>
      <c r="N301" s="12" t="s">
        <v>38</v>
      </c>
      <c r="O301" s="12" t="s">
        <v>38</v>
      </c>
      <c r="P301" s="12" t="s">
        <v>38</v>
      </c>
      <c r="Q301" s="17">
        <v>4.5000000000000003E-5</v>
      </c>
      <c r="R301" s="13" t="s">
        <v>38</v>
      </c>
      <c r="S301" s="15" t="s">
        <v>38</v>
      </c>
      <c r="T301" s="15" t="s">
        <v>38</v>
      </c>
      <c r="U301" s="36" t="s">
        <v>38</v>
      </c>
      <c r="V301" s="36" t="s">
        <v>38</v>
      </c>
    </row>
    <row r="302" spans="1:22" ht="13.5" x14ac:dyDescent="0.25">
      <c r="A302" s="11" t="s">
        <v>41</v>
      </c>
      <c r="B302" s="12" t="str">
        <f>CONCATENATE("PIPE_",ROW())</f>
        <v>PIPE_302</v>
      </c>
      <c r="C302" s="13">
        <v>2</v>
      </c>
      <c r="D302" s="13" t="e">
        <f>dx</f>
        <v>#NAME?</v>
      </c>
      <c r="E302" s="14">
        <f>0.1^2*PI()/4</f>
        <v>7.8539816339744835E-3</v>
      </c>
      <c r="F302" s="15">
        <v>0</v>
      </c>
      <c r="G302" s="15">
        <v>0</v>
      </c>
      <c r="H302" s="15">
        <v>0</v>
      </c>
      <c r="I302" s="15">
        <v>0</v>
      </c>
      <c r="J302" s="11" t="s">
        <v>50</v>
      </c>
      <c r="K302" s="11" t="s">
        <v>38</v>
      </c>
      <c r="L302" s="11" t="s">
        <v>38</v>
      </c>
      <c r="M302" s="12" t="s">
        <v>38</v>
      </c>
      <c r="N302" s="12" t="s">
        <v>38</v>
      </c>
      <c r="O302" s="12" t="s">
        <v>38</v>
      </c>
      <c r="P302" s="12" t="s">
        <v>38</v>
      </c>
      <c r="Q302" s="17">
        <v>4.5000000000000003E-5</v>
      </c>
      <c r="R302" s="13" t="s">
        <v>38</v>
      </c>
      <c r="S302" s="15" t="s">
        <v>38</v>
      </c>
      <c r="T302" s="15" t="s">
        <v>38</v>
      </c>
      <c r="U302" s="36" t="s">
        <v>38</v>
      </c>
      <c r="V302" s="36" t="s">
        <v>38</v>
      </c>
    </row>
    <row r="303" spans="1:22" ht="13.5" x14ac:dyDescent="0.25">
      <c r="A303" s="11" t="s">
        <v>259</v>
      </c>
      <c r="B303" s="12"/>
      <c r="C303" s="13"/>
      <c r="D303" s="13"/>
      <c r="E303" s="14"/>
      <c r="F303" s="15"/>
      <c r="G303" s="15"/>
      <c r="H303" s="15"/>
      <c r="I303" s="15"/>
      <c r="J303" s="11"/>
      <c r="K303" s="11"/>
      <c r="L303" s="11"/>
      <c r="M303" s="12"/>
      <c r="N303" s="12"/>
      <c r="O303" s="12"/>
      <c r="P303" s="12"/>
      <c r="Q303" s="17"/>
      <c r="R303" s="13"/>
      <c r="S303" s="15"/>
      <c r="T303" s="15"/>
      <c r="U303" s="36"/>
      <c r="V303" s="36"/>
    </row>
    <row r="304" spans="1:22" ht="13.5" x14ac:dyDescent="0.25">
      <c r="A304" s="11" t="s">
        <v>56</v>
      </c>
      <c r="B304" s="12" t="s">
        <v>38</v>
      </c>
      <c r="C304" s="13" t="s">
        <v>38</v>
      </c>
      <c r="D304" s="13" t="s">
        <v>38</v>
      </c>
      <c r="E304" s="14">
        <f>0.1^2*PI()/4</f>
        <v>7.8539816339744835E-3</v>
      </c>
      <c r="F304" s="15" t="s">
        <v>38</v>
      </c>
      <c r="G304" s="15" t="s">
        <v>38</v>
      </c>
      <c r="H304" s="15">
        <v>1</v>
      </c>
      <c r="I304" s="15">
        <v>1</v>
      </c>
      <c r="J304" s="11" t="s">
        <v>55</v>
      </c>
      <c r="K304" s="11" t="s">
        <v>38</v>
      </c>
      <c r="L304" s="11" t="s">
        <v>38</v>
      </c>
      <c r="M304" s="12" t="str">
        <f ca="1">OFFSET($A$1,ROW()-3,1)</f>
        <v>PIPE_302</v>
      </c>
      <c r="N304" s="12" t="str">
        <f ca="1">OFFSET($A$1,ROW()+1,1)</f>
        <v>PIPE_306</v>
      </c>
      <c r="O304" s="12">
        <v>2</v>
      </c>
      <c r="P304" s="12">
        <v>1</v>
      </c>
      <c r="Q304" s="17" t="s">
        <v>38</v>
      </c>
      <c r="R304" s="13" t="s">
        <v>38</v>
      </c>
      <c r="S304" s="15" t="s">
        <v>38</v>
      </c>
      <c r="T304" s="15">
        <v>0.5</v>
      </c>
      <c r="U304" s="36" t="s">
        <v>38</v>
      </c>
      <c r="V304" s="36" t="s">
        <v>38</v>
      </c>
    </row>
    <row r="305" spans="1:22" ht="13.5" x14ac:dyDescent="0.25">
      <c r="A305" s="11"/>
      <c r="B305" s="12"/>
      <c r="C305" s="13"/>
      <c r="D305" s="13"/>
      <c r="E305" s="14"/>
      <c r="F305" s="15"/>
      <c r="G305" s="15"/>
      <c r="H305" s="15"/>
      <c r="I305" s="15"/>
      <c r="J305" s="11"/>
      <c r="K305" s="11"/>
      <c r="L305" s="11"/>
      <c r="M305" s="12"/>
      <c r="N305" s="12"/>
      <c r="O305" s="12"/>
      <c r="P305" s="12"/>
      <c r="Q305" s="17"/>
      <c r="R305" s="13"/>
      <c r="S305" s="15"/>
      <c r="T305" s="15"/>
      <c r="U305" s="36"/>
      <c r="V305" s="36"/>
    </row>
    <row r="306" spans="1:22" ht="13.5" x14ac:dyDescent="0.25">
      <c r="A306" s="11" t="s">
        <v>41</v>
      </c>
      <c r="B306" s="12" t="str">
        <f>CONCATENATE("PIPE_",ROW())</f>
        <v>PIPE_306</v>
      </c>
      <c r="C306" s="13">
        <v>0.4</v>
      </c>
      <c r="D306" s="13" t="e">
        <f>dx</f>
        <v>#NAME?</v>
      </c>
      <c r="E306" s="14">
        <f>0.2^2*PI()/4</f>
        <v>3.1415926535897934E-2</v>
      </c>
      <c r="F306" s="15">
        <v>0</v>
      </c>
      <c r="G306" s="15">
        <v>0</v>
      </c>
      <c r="H306" s="15">
        <v>0</v>
      </c>
      <c r="I306" s="15">
        <v>0</v>
      </c>
      <c r="J306" s="11" t="s">
        <v>53</v>
      </c>
      <c r="K306" s="11" t="s">
        <v>38</v>
      </c>
      <c r="L306" s="11" t="s">
        <v>38</v>
      </c>
      <c r="M306" s="12" t="s">
        <v>38</v>
      </c>
      <c r="N306" s="12" t="s">
        <v>38</v>
      </c>
      <c r="O306" s="12" t="s">
        <v>38</v>
      </c>
      <c r="P306" s="12" t="s">
        <v>38</v>
      </c>
      <c r="Q306" s="17">
        <v>4.5000000000000003E-5</v>
      </c>
      <c r="R306" s="13" t="s">
        <v>38</v>
      </c>
      <c r="S306" s="15" t="s">
        <v>38</v>
      </c>
      <c r="T306" s="15" t="s">
        <v>38</v>
      </c>
      <c r="U306" s="36" t="s">
        <v>38</v>
      </c>
      <c r="V306" s="36" t="s">
        <v>38</v>
      </c>
    </row>
    <row r="308" spans="1:22" ht="13.5" x14ac:dyDescent="0.25">
      <c r="A308" s="11" t="s">
        <v>39</v>
      </c>
      <c r="B308" s="12" t="s">
        <v>38</v>
      </c>
      <c r="C308" s="13" t="s">
        <v>38</v>
      </c>
      <c r="D308" s="13" t="s">
        <v>38</v>
      </c>
      <c r="E308" s="14">
        <f>0.1^2*PI()/4</f>
        <v>7.8539816339744835E-3</v>
      </c>
      <c r="F308" s="15" t="s">
        <v>38</v>
      </c>
      <c r="G308" s="15" t="s">
        <v>38</v>
      </c>
      <c r="H308" s="15">
        <v>1</v>
      </c>
      <c r="I308" s="15">
        <v>0.5</v>
      </c>
      <c r="J308" s="11" t="s">
        <v>40</v>
      </c>
      <c r="K308" s="11" t="s">
        <v>38</v>
      </c>
      <c r="L308" s="11" t="s">
        <v>38</v>
      </c>
      <c r="M308" s="12" t="str">
        <f ca="1">OFFSET($A$1,ROW()-3,1)</f>
        <v>PIPE_306</v>
      </c>
      <c r="N308" s="12" t="str">
        <f ca="1">OFFSET($A$1,ROW()+1,1)</f>
        <v>TMDV_310</v>
      </c>
      <c r="O308" s="12">
        <v>2</v>
      </c>
      <c r="P308" s="12">
        <v>1</v>
      </c>
      <c r="Q308" s="17" t="s">
        <v>38</v>
      </c>
      <c r="R308" s="13" t="s">
        <v>38</v>
      </c>
      <c r="S308" s="15" t="s">
        <v>38</v>
      </c>
      <c r="T308" s="15" t="s">
        <v>38</v>
      </c>
      <c r="U308" s="36" t="s">
        <v>38</v>
      </c>
      <c r="V308" s="36" t="s">
        <v>38</v>
      </c>
    </row>
    <row r="310" spans="1:22" ht="13.5" x14ac:dyDescent="0.25">
      <c r="A310" s="11" t="s">
        <v>37</v>
      </c>
      <c r="B310" s="12" t="str">
        <f>CONCATENATE("TMDV_",ROW())</f>
        <v>TMDV_310</v>
      </c>
      <c r="C310" s="13">
        <v>1</v>
      </c>
      <c r="D310" s="13" t="s">
        <v>38</v>
      </c>
      <c r="E310" s="14">
        <v>1</v>
      </c>
      <c r="F310" s="15">
        <v>0</v>
      </c>
      <c r="G310" s="15">
        <v>0</v>
      </c>
      <c r="H310" s="15" t="s">
        <v>38</v>
      </c>
      <c r="I310" s="15" t="s">
        <v>38</v>
      </c>
      <c r="J310" s="11" t="s">
        <v>258</v>
      </c>
      <c r="K310" s="11" t="s">
        <v>38</v>
      </c>
      <c r="L310" s="11" t="s">
        <v>38</v>
      </c>
      <c r="M310" s="12" t="s">
        <v>38</v>
      </c>
      <c r="N310" s="12" t="s">
        <v>38</v>
      </c>
      <c r="O310" s="12" t="s">
        <v>38</v>
      </c>
      <c r="P310" s="12" t="s">
        <v>38</v>
      </c>
      <c r="Q310" s="17">
        <v>8000000</v>
      </c>
      <c r="R310" s="13">
        <v>300</v>
      </c>
      <c r="S310" s="15" t="s">
        <v>38</v>
      </c>
      <c r="T310" s="15" t="s">
        <v>38</v>
      </c>
      <c r="U310" s="36" t="s">
        <v>38</v>
      </c>
      <c r="V310" s="36" t="s">
        <v>38</v>
      </c>
    </row>
    <row r="311" spans="1:22" ht="13.5" x14ac:dyDescent="0.25">
      <c r="A311" s="11"/>
      <c r="B311" s="12"/>
      <c r="C311" s="13"/>
      <c r="D311" s="13"/>
      <c r="E311" s="14"/>
      <c r="F311" s="15"/>
      <c r="G311" s="15"/>
      <c r="H311" s="15"/>
      <c r="I311" s="15"/>
      <c r="J311" s="11"/>
      <c r="K311" s="11"/>
      <c r="L311" s="11"/>
      <c r="M311" s="12"/>
      <c r="N311" s="12"/>
      <c r="O311" s="12"/>
      <c r="P311" s="12"/>
      <c r="Q311" s="17"/>
      <c r="R311" s="13"/>
      <c r="S311" s="15"/>
      <c r="T311" s="15"/>
      <c r="U311" s="36"/>
      <c r="V311" s="36"/>
    </row>
    <row r="312" spans="1:22" ht="13.5" x14ac:dyDescent="0.25">
      <c r="A312" s="11"/>
      <c r="B312" s="12"/>
      <c r="C312" s="13"/>
      <c r="D312" s="13"/>
      <c r="E312" s="14"/>
      <c r="F312" s="15"/>
      <c r="G312" s="15"/>
      <c r="H312" s="15"/>
      <c r="I312" s="15"/>
      <c r="J312" s="11"/>
      <c r="K312" s="11"/>
      <c r="L312" s="11"/>
      <c r="M312" s="12"/>
      <c r="N312" s="12"/>
      <c r="O312" s="12"/>
      <c r="P312" s="12"/>
      <c r="Q312" s="17"/>
      <c r="R312" s="13"/>
      <c r="S312" s="15"/>
      <c r="T312" s="15"/>
      <c r="U312" s="36"/>
      <c r="V312" s="36"/>
    </row>
    <row r="313" spans="1:22" ht="13.5" x14ac:dyDescent="0.25">
      <c r="A313" s="11"/>
      <c r="B313" s="12"/>
      <c r="C313" s="13"/>
      <c r="D313" s="13"/>
      <c r="E313" s="14"/>
      <c r="F313" s="15"/>
      <c r="G313" s="15"/>
      <c r="H313" s="15"/>
      <c r="I313" s="15"/>
      <c r="J313" s="11"/>
      <c r="K313" s="11"/>
      <c r="L313" s="11"/>
      <c r="M313" s="12"/>
      <c r="N313" s="12"/>
      <c r="O313" s="12"/>
      <c r="P313" s="12"/>
      <c r="Q313" s="17"/>
      <c r="R313" s="13"/>
      <c r="S313" s="15"/>
      <c r="T313" s="15"/>
      <c r="U313" s="36"/>
      <c r="V313" s="36"/>
    </row>
    <row r="314" spans="1:22" ht="13.5" x14ac:dyDescent="0.25">
      <c r="A314" s="11"/>
      <c r="B314" s="12"/>
      <c r="C314" s="13"/>
      <c r="D314" s="13"/>
      <c r="E314" s="14"/>
      <c r="F314" s="15"/>
      <c r="G314" s="15"/>
      <c r="H314" s="15"/>
      <c r="I314" s="15"/>
      <c r="J314" s="11"/>
      <c r="K314" s="11"/>
      <c r="L314" s="11"/>
      <c r="M314" s="12"/>
      <c r="N314" s="12"/>
      <c r="O314" s="12"/>
      <c r="P314" s="12"/>
      <c r="Q314" s="17"/>
      <c r="R314" s="13"/>
      <c r="S314" s="15"/>
      <c r="T314" s="15"/>
      <c r="U314" s="36"/>
      <c r="V314" s="36"/>
    </row>
    <row r="315" spans="1:22" ht="13.5" x14ac:dyDescent="0.25">
      <c r="A315" s="11"/>
      <c r="B315" s="12"/>
      <c r="C315" s="13"/>
      <c r="D315" s="13"/>
      <c r="E315" s="14"/>
      <c r="F315" s="15"/>
      <c r="G315" s="15"/>
      <c r="H315" s="15"/>
      <c r="I315" s="15"/>
      <c r="J315" s="11"/>
      <c r="K315" s="11"/>
      <c r="L315" s="11"/>
      <c r="M315" s="12"/>
      <c r="N315" s="12"/>
      <c r="O315" s="12"/>
      <c r="P315" s="12"/>
      <c r="Q315" s="17"/>
      <c r="R315" s="13"/>
      <c r="S315" s="15"/>
      <c r="T315" s="15"/>
      <c r="U315" s="36"/>
      <c r="V315" s="36"/>
    </row>
  </sheetData>
  <phoneticPr fontId="33" type="noConversion"/>
  <conditionalFormatting sqref="A284:A306 A308 A310:A315">
    <cfRule type="expression" dxfId="32" priority="1" stopIfTrue="1">
      <formula>$A284="Pipe"</formula>
    </cfRule>
    <cfRule type="expression" dxfId="31" priority="2" stopIfTrue="1">
      <formula>OR($A284="Junction",$A284="Mtrvlv",$A284="Pump",$A284="Chkvlv",$A284="Trpvlv",$A284="Srvvlv",$A284="Rlfvlv",$A284="Inrvlv",$A284="Tmdpjun")</formula>
    </cfRule>
    <cfRule type="expression" dxfId="30" priority="3" stopIfTrue="1">
      <formula>OR($A284="Tmdpvol",$A284="Snglvol",$A284="Relapnr",$A284="Init",$A284="InitGas",$A284="Strip",$A284="Custom",$A284="Triggerwords")</formula>
    </cfRule>
  </conditionalFormatting>
  <conditionalFormatting sqref="B284:B306 B308 B310:B315">
    <cfRule type="expression" dxfId="29" priority="4" stopIfTrue="1">
      <formula>$A284="Pipe"</formula>
    </cfRule>
    <cfRule type="expression" dxfId="28" priority="5" stopIfTrue="1">
      <formula>OR($A284="Junction",$A284="Mtrvlv",$A284="Pump",$A284="Chkvlv",$A284="Trpvlv",$A284="Srvvlv",$A284="Rlfvlv",$A284="Inrvlv",$A284="Tmdpjun")</formula>
    </cfRule>
    <cfRule type="expression" dxfId="27" priority="6" stopIfTrue="1">
      <formula>OR($A284="Tmdpvol",$A284="Snglvol",$A284="Relapnr",$A284="Init",$A284="InitGas",$A284="Strip",$A284="Custom",$A284="Triggerwords")</formula>
    </cfRule>
  </conditionalFormatting>
  <conditionalFormatting sqref="C284:C306 C308 C310:C315">
    <cfRule type="expression" dxfId="26" priority="7" stopIfTrue="1">
      <formula>$A284="Pipe"</formula>
    </cfRule>
    <cfRule type="expression" dxfId="25" priority="8" stopIfTrue="1">
      <formula>OR($A284="Junction",$A284="Mtrvlv",$A284="Pump",$A284="Chkvlv",$A284="Trpvlv",$A284="Srvvlv",$A284="Rlfvlv",$A284="Inrvlv",$A284="Tmdpjun")</formula>
    </cfRule>
    <cfRule type="expression" dxfId="24" priority="9" stopIfTrue="1">
      <formula>OR($A284="Tmdpvol",$A284="Snglvol",$A284="Init",$A284="InitGas",$A284="Strip")</formula>
    </cfRule>
  </conditionalFormatting>
  <conditionalFormatting sqref="D284:D306 L284:L306 D308 L308 D310:D315 L310:L315">
    <cfRule type="expression" dxfId="23" priority="10" stopIfTrue="1">
      <formula>$A284="Pipe"</formula>
    </cfRule>
    <cfRule type="expression" dxfId="22" priority="11" stopIfTrue="1">
      <formula>OR($A284="Junction",$A284="Mtrvlv",$A284="Pump",$A284="Chkvlv",$A284="Trpvlv",$A284="Srvvlv",$A284="Rlfvlv",$A284="Inrvlv",$A284="Tmdpjun")</formula>
    </cfRule>
    <cfRule type="expression" dxfId="21" priority="12" stopIfTrue="1">
      <formula>OR($A284="Tmdpvol",$A284="Snglvol")</formula>
    </cfRule>
  </conditionalFormatting>
  <conditionalFormatting sqref="U284:V306 J310:K315 J284:K306 U308:V308 E308 J308:K308 U310:V315 E310:E315 E284:E306">
    <cfRule type="expression" dxfId="20" priority="13" stopIfTrue="1">
      <formula>$A284="Pipe"</formula>
    </cfRule>
    <cfRule type="expression" dxfId="19" priority="14" stopIfTrue="1">
      <formula>OR($A284="Junction",$A284="Mtrvlv",$A284="Pump",$A284="Chkvlv",$A284="Trpvlv",$A284="Srvvlv",$A284="Rlfvlv",$A284="Inrvlv",$A284="Tmdpjun")</formula>
    </cfRule>
    <cfRule type="expression" dxfId="18" priority="15" stopIfTrue="1">
      <formula>OR($A284="Tmdpvol",$A284="Snglvol")</formula>
    </cfRule>
  </conditionalFormatting>
  <conditionalFormatting sqref="Q284:Q306 F284:G306 Q308 F308:G308 Q310:Q315 F310:G315">
    <cfRule type="expression" dxfId="17" priority="16" stopIfTrue="1">
      <formula>$A284="Pipe"</formula>
    </cfRule>
    <cfRule type="expression" dxfId="16" priority="17" stopIfTrue="1">
      <formula>OR($A284="Junction",$A284="Mtrvlv",$A284="Pump",$A284="Chkvlv",$A284="Trpvlv",$A284="Srvvlv",$A284="Rlfvlv",$A284="Inrvlv",$A284="Tmdpjun")</formula>
    </cfRule>
    <cfRule type="expression" dxfId="15" priority="18" stopIfTrue="1">
      <formula>OR($A284="Tmdpvol",$A284="Snglvol")</formula>
    </cfRule>
  </conditionalFormatting>
  <conditionalFormatting sqref="H284:I306 H308:I308 H310:I315">
    <cfRule type="expression" dxfId="14" priority="19" stopIfTrue="1">
      <formula>$A284="Pipe"</formula>
    </cfRule>
    <cfRule type="expression" dxfId="13" priority="20" stopIfTrue="1">
      <formula>OR($A284="Junction",$A284="Mtrvlv",$A284="Pump",$A284="Chkvlv",$A284="Trpvlv",$A284="Srvvlv",$A284="Rlfvlv",$A284="Inrvlv",$A284="Tmdpjun")</formula>
    </cfRule>
    <cfRule type="expression" dxfId="12" priority="21" stopIfTrue="1">
      <formula>OR($A284="Tmdpvol",$A284="Snglvol")</formula>
    </cfRule>
  </conditionalFormatting>
  <conditionalFormatting sqref="M284:P306 M308:P308 M310:P315">
    <cfRule type="expression" dxfId="11" priority="22" stopIfTrue="1">
      <formula>$A284="Pipe"</formula>
    </cfRule>
    <cfRule type="expression" dxfId="10" priority="23" stopIfTrue="1">
      <formula>OR($A284="Junction",$A284="Mtrvlv",$A284="Pump",$A284="Chkvlv",$A284="Trpvlv",$A284="Srvvlv",$A284="Rlfvlv",$A284="Inrvlv",$A284="Tmdpjun")</formula>
    </cfRule>
    <cfRule type="expression" dxfId="9" priority="24" stopIfTrue="1">
      <formula>OR($A284="Tmdpvol",$A284="Snglvol")</formula>
    </cfRule>
  </conditionalFormatting>
  <conditionalFormatting sqref="R284:R306 R308 R310:R315">
    <cfRule type="expression" dxfId="8" priority="25" stopIfTrue="1">
      <formula>$A284="Pump"</formula>
    </cfRule>
    <cfRule type="expression" dxfId="7" priority="26" stopIfTrue="1">
      <formula>OR($A284="Junction",$A284="Mtrvlv",$A284="Pipe",$A284="Chkvlv",$A284="Trpvlv",$A284="Srvvlv",$A284="Rlfvlv",$A284="Inrvlv",$A284="Tmdpjun")</formula>
    </cfRule>
    <cfRule type="expression" dxfId="6" priority="27" stopIfTrue="1">
      <formula>OR($A284="Tmdpvol",$A284="Snglvol")</formula>
    </cfRule>
  </conditionalFormatting>
  <conditionalFormatting sqref="S284:S306 S308 S310:S315">
    <cfRule type="expression" dxfId="5" priority="28" stopIfTrue="1">
      <formula>$A284="Pump"</formula>
    </cfRule>
    <cfRule type="expression" dxfId="4" priority="29" stopIfTrue="1">
      <formula>OR($A284="Junction",$A284="Mtrvlv",$A284="Pipe",$A284="Chkvlv",$A284="Trpvlv",$A284="Srvvlv",$A284="Rlfvlv",$A284="Inrvlv",$A284="Tmdpjun")</formula>
    </cfRule>
    <cfRule type="expression" dxfId="3" priority="30" stopIfTrue="1">
      <formula>OR($A284="Tmdpvol",$A284="Snglvol")</formula>
    </cfRule>
  </conditionalFormatting>
  <conditionalFormatting sqref="T284:T306 T308 T310:T315">
    <cfRule type="expression" dxfId="2" priority="31" stopIfTrue="1">
      <formula>OR($A284="Pump",$A284="Mtrvlv",$A284="Chkvlv",$A284="Trpvlv",$A284="Srvvlv",$A284="Rlfvlv",$A284="Inrvlv",$A284="Tmdpjun")</formula>
    </cfRule>
    <cfRule type="expression" dxfId="1" priority="32" stopIfTrue="1">
      <formula>OR($A284="Junction",$A284="Pipe")</formula>
    </cfRule>
    <cfRule type="expression" dxfId="0" priority="33" stopIfTrue="1">
      <formula>OR($A284="Tmdpvol",$A284="Snglvol")</formula>
    </cfRule>
  </conditionalFormatting>
  <conditionalFormatting sqref="A283:V283">
    <cfRule type="expression" priority="34" stopIfTrue="1">
      <formula>2</formula>
    </cfRule>
  </conditionalFormatting>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4"/>
  <dimension ref="A1:D43"/>
  <sheetViews>
    <sheetView topLeftCell="A16" workbookViewId="0">
      <selection activeCell="B40" sqref="B40:B43"/>
    </sheetView>
  </sheetViews>
  <sheetFormatPr defaultRowHeight="12.75" x14ac:dyDescent="0.2"/>
  <cols>
    <col min="1" max="1" width="6.7109375" customWidth="1"/>
    <col min="2" max="2" width="15.85546875" customWidth="1"/>
    <col min="3" max="3" width="13.28515625" customWidth="1"/>
    <col min="4" max="4" width="13" customWidth="1"/>
    <col min="6" max="6" width="12.28515625" bestFit="1" customWidth="1"/>
  </cols>
  <sheetData>
    <row r="1" spans="1:4" ht="22.5" x14ac:dyDescent="0.3">
      <c r="A1" s="97" t="s">
        <v>269</v>
      </c>
    </row>
    <row r="2" spans="1:4" ht="15" x14ac:dyDescent="0.25">
      <c r="A2" s="98" t="s">
        <v>270</v>
      </c>
    </row>
    <row r="4" spans="1:4" ht="15.75" thickBot="1" x14ac:dyDescent="0.3">
      <c r="A4" s="99" t="s">
        <v>271</v>
      </c>
      <c r="B4" s="99" t="s">
        <v>272</v>
      </c>
      <c r="C4" s="99" t="s">
        <v>280</v>
      </c>
      <c r="D4" s="99" t="s">
        <v>281</v>
      </c>
    </row>
    <row r="5" spans="1:4" ht="15.75" thickTop="1" x14ac:dyDescent="0.25">
      <c r="A5" s="100">
        <f>ROW()-ROW($A$4)</f>
        <v>1</v>
      </c>
      <c r="B5" s="100" t="s">
        <v>273</v>
      </c>
      <c r="C5" s="100">
        <v>-1</v>
      </c>
      <c r="D5" s="100"/>
    </row>
    <row r="6" spans="1:4" ht="15" x14ac:dyDescent="0.25">
      <c r="A6" s="101">
        <f t="shared" ref="A6:A28" si="0">ROW()-ROW($A$4)</f>
        <v>2</v>
      </c>
      <c r="B6" s="101" t="s">
        <v>274</v>
      </c>
      <c r="C6" s="101">
        <v>-1</v>
      </c>
      <c r="D6" s="101"/>
    </row>
    <row r="7" spans="1:4" ht="15" x14ac:dyDescent="0.25">
      <c r="A7" s="100">
        <f t="shared" si="0"/>
        <v>3</v>
      </c>
      <c r="B7" s="100" t="s">
        <v>275</v>
      </c>
      <c r="C7" s="100">
        <v>-1</v>
      </c>
      <c r="D7" s="100"/>
    </row>
    <row r="8" spans="1:4" ht="15" x14ac:dyDescent="0.25">
      <c r="A8" s="101">
        <f t="shared" si="0"/>
        <v>4</v>
      </c>
      <c r="B8" s="101" t="s">
        <v>276</v>
      </c>
      <c r="C8" s="101">
        <v>-1</v>
      </c>
      <c r="D8" s="101"/>
    </row>
    <row r="9" spans="1:4" ht="15" x14ac:dyDescent="0.25">
      <c r="A9" s="100">
        <f t="shared" si="0"/>
        <v>5</v>
      </c>
      <c r="B9" s="100" t="s">
        <v>277</v>
      </c>
      <c r="C9" s="100">
        <v>-1</v>
      </c>
      <c r="D9" s="100"/>
    </row>
    <row r="10" spans="1:4" ht="15" x14ac:dyDescent="0.25">
      <c r="A10" s="101">
        <f t="shared" si="0"/>
        <v>6</v>
      </c>
      <c r="B10" s="101" t="s">
        <v>282</v>
      </c>
      <c r="C10" s="101"/>
      <c r="D10" s="101"/>
    </row>
    <row r="11" spans="1:4" ht="15" x14ac:dyDescent="0.25">
      <c r="A11" s="100">
        <f t="shared" si="0"/>
        <v>7</v>
      </c>
      <c r="B11" s="100"/>
      <c r="C11" s="100"/>
      <c r="D11" s="100"/>
    </row>
    <row r="12" spans="1:4" ht="15" x14ac:dyDescent="0.25">
      <c r="A12" s="101">
        <f t="shared" si="0"/>
        <v>8</v>
      </c>
      <c r="B12" s="101"/>
      <c r="C12" s="101"/>
      <c r="D12" s="101"/>
    </row>
    <row r="13" spans="1:4" ht="15" x14ac:dyDescent="0.25">
      <c r="A13" s="100">
        <f t="shared" si="0"/>
        <v>9</v>
      </c>
      <c r="B13" s="100"/>
      <c r="C13" s="100"/>
      <c r="D13" s="100"/>
    </row>
    <row r="14" spans="1:4" ht="15" x14ac:dyDescent="0.25">
      <c r="A14" s="101">
        <f t="shared" si="0"/>
        <v>10</v>
      </c>
      <c r="B14" s="101"/>
      <c r="C14" s="101"/>
      <c r="D14" s="101"/>
    </row>
    <row r="15" spans="1:4" ht="15" x14ac:dyDescent="0.25">
      <c r="A15" s="100">
        <f t="shared" si="0"/>
        <v>11</v>
      </c>
      <c r="B15" s="100"/>
      <c r="C15" s="100"/>
      <c r="D15" s="100"/>
    </row>
    <row r="16" spans="1:4" ht="15" x14ac:dyDescent="0.25">
      <c r="A16" s="101">
        <f t="shared" si="0"/>
        <v>12</v>
      </c>
      <c r="B16" s="101"/>
      <c r="C16" s="101"/>
      <c r="D16" s="101"/>
    </row>
    <row r="17" spans="1:4" ht="15" x14ac:dyDescent="0.25">
      <c r="A17" s="100">
        <f t="shared" si="0"/>
        <v>13</v>
      </c>
      <c r="B17" s="100"/>
      <c r="C17" s="100"/>
      <c r="D17" s="100"/>
    </row>
    <row r="18" spans="1:4" ht="15" x14ac:dyDescent="0.25">
      <c r="A18" s="101">
        <f t="shared" si="0"/>
        <v>14</v>
      </c>
      <c r="B18" s="101"/>
      <c r="C18" s="101"/>
      <c r="D18" s="101"/>
    </row>
    <row r="19" spans="1:4" ht="15" x14ac:dyDescent="0.25">
      <c r="A19" s="100">
        <f t="shared" si="0"/>
        <v>15</v>
      </c>
      <c r="B19" s="100"/>
      <c r="C19" s="100"/>
      <c r="D19" s="100"/>
    </row>
    <row r="20" spans="1:4" ht="15" x14ac:dyDescent="0.25">
      <c r="A20" s="101">
        <f t="shared" si="0"/>
        <v>16</v>
      </c>
      <c r="B20" s="101"/>
      <c r="C20" s="101"/>
      <c r="D20" s="101"/>
    </row>
    <row r="21" spans="1:4" ht="15" x14ac:dyDescent="0.25">
      <c r="A21" s="100">
        <f t="shared" si="0"/>
        <v>17</v>
      </c>
      <c r="B21" s="100"/>
      <c r="C21" s="100"/>
      <c r="D21" s="100"/>
    </row>
    <row r="22" spans="1:4" ht="15" x14ac:dyDescent="0.25">
      <c r="A22" s="101">
        <f t="shared" si="0"/>
        <v>18</v>
      </c>
      <c r="B22" s="101"/>
      <c r="C22" s="101"/>
      <c r="D22" s="101"/>
    </row>
    <row r="23" spans="1:4" ht="15" x14ac:dyDescent="0.25">
      <c r="A23" s="100">
        <f t="shared" si="0"/>
        <v>19</v>
      </c>
      <c r="B23" s="100"/>
      <c r="C23" s="100"/>
      <c r="D23" s="100"/>
    </row>
    <row r="24" spans="1:4" ht="15" x14ac:dyDescent="0.25">
      <c r="A24" s="101">
        <f t="shared" si="0"/>
        <v>20</v>
      </c>
      <c r="B24" s="101"/>
      <c r="C24" s="101"/>
      <c r="D24" s="101"/>
    </row>
    <row r="25" spans="1:4" ht="15" x14ac:dyDescent="0.25">
      <c r="A25" s="100">
        <f t="shared" si="0"/>
        <v>21</v>
      </c>
      <c r="B25" s="100"/>
      <c r="C25" s="100"/>
      <c r="D25" s="100"/>
    </row>
    <row r="26" spans="1:4" ht="15" x14ac:dyDescent="0.25">
      <c r="A26" s="101">
        <f t="shared" si="0"/>
        <v>22</v>
      </c>
      <c r="B26" s="101"/>
      <c r="C26" s="101"/>
      <c r="D26" s="101"/>
    </row>
    <row r="27" spans="1:4" ht="15" x14ac:dyDescent="0.25">
      <c r="A27" s="100">
        <f t="shared" si="0"/>
        <v>23</v>
      </c>
      <c r="B27" s="100"/>
      <c r="C27" s="100"/>
      <c r="D27" s="100"/>
    </row>
    <row r="28" spans="1:4" ht="15" x14ac:dyDescent="0.25">
      <c r="A28" s="101">
        <f t="shared" si="0"/>
        <v>24</v>
      </c>
      <c r="B28" s="101"/>
      <c r="C28" s="101"/>
      <c r="D28" s="101"/>
    </row>
    <row r="40" spans="2:2" x14ac:dyDescent="0.2">
      <c r="B40" s="128"/>
    </row>
    <row r="41" spans="2:2" x14ac:dyDescent="0.2">
      <c r="B41" s="128"/>
    </row>
    <row r="42" spans="2:2" x14ac:dyDescent="0.2">
      <c r="B42" s="128"/>
    </row>
    <row r="43" spans="2:2" x14ac:dyDescent="0.2">
      <c r="B43" s="12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WriteStripRequestFile">
                <anchor moveWithCells="1" sizeWithCells="1">
                  <from>
                    <xdr:col>5</xdr:col>
                    <xdr:colOff>438150</xdr:colOff>
                    <xdr:row>4</xdr:row>
                    <xdr:rowOff>123825</xdr:rowOff>
                  </from>
                  <to>
                    <xdr:col>8</xdr:col>
                    <xdr:colOff>409575</xdr:colOff>
                    <xdr:row>9</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Kalkylblad</vt:lpstr>
      </vt:variant>
      <vt:variant>
        <vt:i4>5</vt:i4>
      </vt:variant>
      <vt:variant>
        <vt:lpstr>Namngivna områden</vt:lpstr>
      </vt:variant>
      <vt:variant>
        <vt:i4>7</vt:i4>
      </vt:variant>
    </vt:vector>
  </HeadingPairs>
  <TitlesOfParts>
    <vt:vector size="12" baseType="lpstr">
      <vt:lpstr>324</vt:lpstr>
      <vt:lpstr>runMatrix</vt:lpstr>
      <vt:lpstr>Modellöversikt</vt:lpstr>
      <vt:lpstr>Info</vt:lpstr>
      <vt:lpstr>Tools</vt:lpstr>
      <vt:lpstr>'324'!CurrentFilename</vt:lpstr>
      <vt:lpstr>'324'!CurrentIndex</vt:lpstr>
      <vt:lpstr>'324'!dx</vt:lpstr>
      <vt:lpstr>'324'!roughness</vt:lpstr>
      <vt:lpstr>TestMatrix</vt:lpstr>
      <vt:lpstr>TestMatrixVariableNames</vt:lpstr>
      <vt:lpstr>TestMatrixVariableValues</vt:lpstr>
    </vt:vector>
  </TitlesOfParts>
  <Company>Vattenfall AB</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dero</dc:creator>
  <cp:lastModifiedBy>n/a</cp:lastModifiedBy>
  <cp:lastPrinted>2019-09-04T05:13:26Z</cp:lastPrinted>
  <dcterms:created xsi:type="dcterms:W3CDTF">2013-10-23T13:25:29Z</dcterms:created>
  <dcterms:modified xsi:type="dcterms:W3CDTF">2019-09-10T20:30:49Z</dcterms:modified>
</cp:coreProperties>
</file>