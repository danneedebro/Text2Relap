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H:\Jobb\Aktuella\2019-R34-TAA-Blowdown-VVX-erf-flode\Modell\Modell-Transients\"/>
    </mc:Choice>
  </mc:AlternateContent>
  <xr:revisionPtr revIDLastSave="0" documentId="13_ncr:1_{6FA5733D-79A3-467D-ACCF-3C39755DCCDE}" xr6:coauthVersionLast="36" xr6:coauthVersionMax="36" xr10:uidLastSave="{00000000-0000-0000-0000-000000000000}"/>
  <bookViews>
    <workbookView xWindow="0" yWindow="0" windowWidth="21570" windowHeight="9090" xr2:uid="{00000000-000D-0000-FFFF-FFFF00000000}"/>
  </bookViews>
  <sheets>
    <sheet name="BDAHSG-01-SteadyState" sheetId="11" r:id="rId1"/>
    <sheet name="runMatrix" sheetId="2" r:id="rId2"/>
    <sheet name="Modellöversikt" sheetId="3" r:id="rId3"/>
    <sheet name="Info" sheetId="4" r:id="rId4"/>
    <sheet name="Tools" sheetId="5" r:id="rId5"/>
  </sheets>
  <functionGroups builtInGroupCount="19"/>
  <definedNames>
    <definedName name="CurrentFilename" localSheetId="0">'BDAHSG-01-SteadyState'!$B$4</definedName>
    <definedName name="CurrentFilename">#REF!</definedName>
    <definedName name="CurrentIndex" localSheetId="0">'BDAHSG-01-SteadyState'!$B$2</definedName>
    <definedName name="CurrentIndex">#REF!</definedName>
    <definedName name="dx" localSheetId="0">'BDAHSG-01-SteadyState'!$B$10</definedName>
    <definedName name="ListSheets" localSheetId="0">Lista()</definedName>
    <definedName name="ListSheets">Lista()</definedName>
    <definedName name="roughness" localSheetId="0">'BDAHSG-01-SteadyState'!$B$9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9" i="2" l="1"/>
  <c r="AA9" i="2"/>
  <c r="Z9" i="2"/>
  <c r="E9" i="2"/>
  <c r="D9" i="2"/>
  <c r="A9" i="2"/>
  <c r="B43" i="11" l="1"/>
  <c r="B68" i="11" l="1"/>
  <c r="C62" i="11" l="1"/>
  <c r="C61" i="11"/>
  <c r="B60" i="11"/>
  <c r="E62" i="11" s="1"/>
  <c r="E157" i="11"/>
  <c r="B59" i="11"/>
  <c r="E61" i="11" s="1"/>
  <c r="H22" i="2" l="1"/>
  <c r="D22" i="11"/>
  <c r="D21" i="11"/>
  <c r="D20" i="11"/>
  <c r="D19" i="11"/>
  <c r="D18" i="11"/>
  <c r="C22" i="11"/>
  <c r="C21" i="11"/>
  <c r="C20" i="11"/>
  <c r="C19" i="11"/>
  <c r="B22" i="11"/>
  <c r="A22" i="11" s="1"/>
  <c r="B21" i="11"/>
  <c r="A21" i="11" s="1"/>
  <c r="B20" i="11"/>
  <c r="A20" i="11" s="1"/>
  <c r="B19" i="11"/>
  <c r="A19" i="11" s="1"/>
  <c r="B18" i="11"/>
  <c r="A18" i="11" s="1"/>
  <c r="Z7" i="2"/>
  <c r="AA7" i="2"/>
  <c r="AF7" i="2"/>
  <c r="Z8" i="2"/>
  <c r="AA8" i="2"/>
  <c r="AF8" i="2"/>
  <c r="C72" i="11" l="1"/>
  <c r="B29" i="11"/>
  <c r="B131" i="11" s="1"/>
  <c r="B27" i="11"/>
  <c r="R73" i="11" s="1"/>
  <c r="B26" i="11"/>
  <c r="B252" i="11" s="1"/>
  <c r="H262" i="11"/>
  <c r="H283" i="11"/>
  <c r="E132" i="11"/>
  <c r="B216" i="11" l="1"/>
  <c r="Q147" i="11"/>
  <c r="Q73" i="11"/>
  <c r="B273" i="11"/>
  <c r="B223" i="11"/>
  <c r="B53" i="11"/>
  <c r="E56" i="11" s="1"/>
  <c r="B52" i="11"/>
  <c r="E55" i="11" s="1"/>
  <c r="Q143" i="11"/>
  <c r="E143" i="11"/>
  <c r="D143" i="11"/>
  <c r="C143" i="11"/>
  <c r="B143" i="11"/>
  <c r="N141" i="11" s="1"/>
  <c r="E141" i="11"/>
  <c r="B141" i="11"/>
  <c r="C139" i="11"/>
  <c r="C138" i="11"/>
  <c r="C134" i="11"/>
  <c r="Q139" i="11"/>
  <c r="E139" i="11"/>
  <c r="D139" i="11"/>
  <c r="B139" i="11"/>
  <c r="M141" i="11" s="1"/>
  <c r="Q138" i="11"/>
  <c r="E138" i="11"/>
  <c r="D138" i="11"/>
  <c r="B138" i="11"/>
  <c r="N136" i="11" s="1"/>
  <c r="E136" i="11"/>
  <c r="B136" i="11"/>
  <c r="Q134" i="11"/>
  <c r="E134" i="11"/>
  <c r="D134" i="11"/>
  <c r="B134" i="11"/>
  <c r="M136" i="11" s="1"/>
  <c r="E124" i="11"/>
  <c r="E128" i="11"/>
  <c r="C126" i="11"/>
  <c r="C130" i="11"/>
  <c r="Q130" i="11"/>
  <c r="E130" i="11"/>
  <c r="D130" i="11"/>
  <c r="B130" i="11"/>
  <c r="N128" i="11" s="1"/>
  <c r="B128" i="11"/>
  <c r="B132" i="11"/>
  <c r="C52" i="11" s="1"/>
  <c r="Q126" i="11"/>
  <c r="E126" i="11"/>
  <c r="D126" i="11"/>
  <c r="B126" i="11"/>
  <c r="N124" i="11" s="1"/>
  <c r="E122" i="11"/>
  <c r="E121" i="11"/>
  <c r="E120" i="11"/>
  <c r="C120" i="11"/>
  <c r="Q119" i="11"/>
  <c r="E119" i="11"/>
  <c r="D119" i="11"/>
  <c r="B119" i="11"/>
  <c r="B124" i="11"/>
  <c r="C122" i="11"/>
  <c r="Q121" i="11"/>
  <c r="D121" i="11"/>
  <c r="B121" i="11"/>
  <c r="H246" i="11"/>
  <c r="H128" i="11"/>
  <c r="H136" i="11"/>
  <c r="H124" i="11"/>
  <c r="H217" i="11"/>
  <c r="N132" i="11" l="1"/>
  <c r="C56" i="11"/>
  <c r="C55" i="11"/>
  <c r="I217" i="11"/>
  <c r="I246" i="11"/>
  <c r="C53" i="11"/>
  <c r="I283" i="11"/>
  <c r="I262" i="11"/>
  <c r="M128" i="11"/>
  <c r="I128" i="11"/>
  <c r="I124" i="11"/>
  <c r="I136" i="11"/>
  <c r="M132" i="11"/>
  <c r="B40" i="11" l="1"/>
  <c r="T185" i="11" s="1"/>
  <c r="B39" i="11"/>
  <c r="T163" i="11" s="1"/>
  <c r="E75" i="11" l="1"/>
  <c r="E185" i="11"/>
  <c r="E163" i="11"/>
  <c r="E288" i="11"/>
  <c r="E274" i="11"/>
  <c r="E267" i="11"/>
  <c r="E253" i="11"/>
  <c r="E238" i="11"/>
  <c r="E224" i="11"/>
  <c r="B35" i="11"/>
  <c r="H59" i="11" s="1"/>
  <c r="H60" i="11" s="1"/>
  <c r="B34" i="11"/>
  <c r="C154" i="11" s="1"/>
  <c r="B33" i="11"/>
  <c r="B28" i="11"/>
  <c r="X175" i="11"/>
  <c r="X176" i="11" s="1"/>
  <c r="X177" i="11" s="1"/>
  <c r="W171" i="11"/>
  <c r="X156" i="11"/>
  <c r="X157" i="11" s="1"/>
  <c r="X158" i="11" s="1"/>
  <c r="X159" i="11" s="1"/>
  <c r="X160" i="11" s="1"/>
  <c r="W103" i="11"/>
  <c r="W113" i="11"/>
  <c r="X84" i="11"/>
  <c r="E111" i="11"/>
  <c r="E110" i="11"/>
  <c r="E109" i="11"/>
  <c r="Q110" i="11"/>
  <c r="D110" i="11"/>
  <c r="B110" i="11"/>
  <c r="X274" i="11"/>
  <c r="X275" i="11" s="1"/>
  <c r="X276" i="11" s="1"/>
  <c r="X277" i="11" s="1"/>
  <c r="X278" i="11" s="1"/>
  <c r="X279" i="11" s="1"/>
  <c r="X280" i="11" s="1"/>
  <c r="X281" i="11" s="1"/>
  <c r="X282" i="11" s="1"/>
  <c r="X283" i="11" s="1"/>
  <c r="X284" i="11" s="1"/>
  <c r="X285" i="11" s="1"/>
  <c r="X286" i="11" s="1"/>
  <c r="X287" i="11" s="1"/>
  <c r="X253" i="11"/>
  <c r="X254" i="11" s="1"/>
  <c r="X255" i="11" s="1"/>
  <c r="X256" i="11" s="1"/>
  <c r="X257" i="11" s="1"/>
  <c r="X258" i="11" s="1"/>
  <c r="X259" i="11" s="1"/>
  <c r="X260" i="11" s="1"/>
  <c r="X261" i="11" s="1"/>
  <c r="X262" i="11" s="1"/>
  <c r="X263" i="11" s="1"/>
  <c r="X264" i="11" s="1"/>
  <c r="X265" i="11" s="1"/>
  <c r="X266" i="11" s="1"/>
  <c r="X267" i="11" s="1"/>
  <c r="X224" i="11"/>
  <c r="X225" i="11" s="1"/>
  <c r="X226" i="11" s="1"/>
  <c r="X227" i="11" s="1"/>
  <c r="X228" i="11" s="1"/>
  <c r="X229" i="11" s="1"/>
  <c r="X230" i="11" s="1"/>
  <c r="X231" i="11" s="1"/>
  <c r="X232" i="11" s="1"/>
  <c r="X233" i="11" s="1"/>
  <c r="X234" i="11" s="1"/>
  <c r="X235" i="11" s="1"/>
  <c r="X236" i="11" s="1"/>
  <c r="X237" i="11" s="1"/>
  <c r="X238" i="11" s="1"/>
  <c r="Q100" i="11"/>
  <c r="E100" i="11"/>
  <c r="D100" i="11"/>
  <c r="B100" i="11"/>
  <c r="E101" i="11"/>
  <c r="E99" i="11"/>
  <c r="Q90" i="11"/>
  <c r="E90" i="11"/>
  <c r="D90" i="11"/>
  <c r="B90" i="11"/>
  <c r="Q89" i="11"/>
  <c r="E89" i="11"/>
  <c r="D89" i="11"/>
  <c r="B89" i="11"/>
  <c r="Q88" i="11"/>
  <c r="E88" i="11"/>
  <c r="D88" i="11"/>
  <c r="B88" i="11"/>
  <c r="Q87" i="11"/>
  <c r="E87" i="11"/>
  <c r="D87" i="11"/>
  <c r="B87" i="11"/>
  <c r="X73" i="11"/>
  <c r="X74" i="11"/>
  <c r="X75" i="11" s="1"/>
  <c r="X76" i="11" s="1"/>
  <c r="X77" i="11" s="1"/>
  <c r="X78" i="11" s="1"/>
  <c r="X79" i="11" s="1"/>
  <c r="X80" i="11" s="1"/>
  <c r="X85" i="11" s="1"/>
  <c r="X86" i="11" s="1"/>
  <c r="X87" i="11" s="1"/>
  <c r="X88" i="11" s="1"/>
  <c r="X89" i="11" s="1"/>
  <c r="X90" i="11" s="1"/>
  <c r="X91" i="11" s="1"/>
  <c r="X92" i="11" s="1"/>
  <c r="X93" i="11" s="1"/>
  <c r="E91" i="11"/>
  <c r="E86" i="11"/>
  <c r="E78" i="11"/>
  <c r="E77" i="11"/>
  <c r="E205" i="11"/>
  <c r="E207" i="11" s="1"/>
  <c r="E204" i="11"/>
  <c r="B209" i="11"/>
  <c r="N207" i="11" s="1"/>
  <c r="B207" i="11"/>
  <c r="C205" i="11"/>
  <c r="Q205" i="11"/>
  <c r="D205" i="11"/>
  <c r="B205" i="11"/>
  <c r="M207" i="11" s="1"/>
  <c r="C204" i="11"/>
  <c r="Q204" i="11"/>
  <c r="D204" i="11"/>
  <c r="B204" i="11"/>
  <c r="C203" i="11"/>
  <c r="Q203" i="11"/>
  <c r="E203" i="11"/>
  <c r="D203" i="11"/>
  <c r="B203" i="11"/>
  <c r="Q202" i="11"/>
  <c r="E202" i="11"/>
  <c r="D202" i="11"/>
  <c r="B202" i="11"/>
  <c r="C201" i="11"/>
  <c r="E201" i="11"/>
  <c r="Q201" i="11"/>
  <c r="D201" i="11"/>
  <c r="B201" i="11"/>
  <c r="N199" i="11" s="1"/>
  <c r="B199" i="11"/>
  <c r="B192" i="11"/>
  <c r="N190" i="11" s="1"/>
  <c r="B190" i="11"/>
  <c r="C187" i="11"/>
  <c r="Q188" i="11"/>
  <c r="E188" i="11"/>
  <c r="D188" i="11"/>
  <c r="B188" i="11"/>
  <c r="M190" i="11" s="1"/>
  <c r="Q187" i="11"/>
  <c r="E187" i="11"/>
  <c r="D187" i="11"/>
  <c r="B187" i="11"/>
  <c r="N185" i="11" s="1"/>
  <c r="B185" i="11"/>
  <c r="C183" i="11"/>
  <c r="Q183" i="11"/>
  <c r="E183" i="11"/>
  <c r="D183" i="11"/>
  <c r="B183" i="11"/>
  <c r="N181" i="11" s="1"/>
  <c r="B181" i="11"/>
  <c r="C179" i="11"/>
  <c r="Q179" i="11"/>
  <c r="E179" i="11"/>
  <c r="D179" i="11"/>
  <c r="B179" i="11"/>
  <c r="M181" i="11" s="1"/>
  <c r="C178" i="11"/>
  <c r="Q178" i="11"/>
  <c r="E178" i="11"/>
  <c r="D178" i="11"/>
  <c r="B178" i="11"/>
  <c r="M199" i="11" s="1"/>
  <c r="E177" i="11"/>
  <c r="Q168" i="11"/>
  <c r="E168" i="11"/>
  <c r="D168" i="11"/>
  <c r="B168" i="11"/>
  <c r="Q167" i="11"/>
  <c r="E167" i="11"/>
  <c r="D167" i="11"/>
  <c r="B167" i="11"/>
  <c r="Q166" i="11"/>
  <c r="E166" i="11"/>
  <c r="D166" i="11"/>
  <c r="B166" i="11"/>
  <c r="Q165" i="11"/>
  <c r="E165" i="11"/>
  <c r="D165" i="11"/>
  <c r="C165" i="11"/>
  <c r="B165" i="11"/>
  <c r="Q169" i="11"/>
  <c r="E169" i="11"/>
  <c r="D169" i="11"/>
  <c r="B169" i="11"/>
  <c r="B163" i="11"/>
  <c r="C161" i="11"/>
  <c r="Q160" i="11"/>
  <c r="E160" i="11"/>
  <c r="D160" i="11"/>
  <c r="B160" i="11"/>
  <c r="E161" i="11"/>
  <c r="E159" i="11"/>
  <c r="Q177" i="11"/>
  <c r="D177" i="11"/>
  <c r="B177" i="11"/>
  <c r="N175" i="11" s="1"/>
  <c r="B175" i="11"/>
  <c r="B171" i="11"/>
  <c r="Q161" i="11"/>
  <c r="D161" i="11"/>
  <c r="B161" i="11"/>
  <c r="Q159" i="11"/>
  <c r="D159" i="11"/>
  <c r="B159" i="11"/>
  <c r="N157" i="11" s="1"/>
  <c r="B157" i="11"/>
  <c r="B155" i="11"/>
  <c r="M157" i="11" s="1"/>
  <c r="B147" i="11"/>
  <c r="N145" i="11" s="1"/>
  <c r="B145" i="11"/>
  <c r="Q122" i="11"/>
  <c r="D122" i="11"/>
  <c r="B122" i="11"/>
  <c r="Q120" i="11"/>
  <c r="D120" i="11"/>
  <c r="B120" i="11"/>
  <c r="N117" i="11" s="1"/>
  <c r="B117" i="11"/>
  <c r="B113" i="11"/>
  <c r="Q111" i="11"/>
  <c r="D111" i="11"/>
  <c r="B111" i="11"/>
  <c r="M113" i="11" s="1"/>
  <c r="Q109" i="11"/>
  <c r="D109" i="11"/>
  <c r="B109" i="11"/>
  <c r="N107" i="11" s="1"/>
  <c r="B107" i="11"/>
  <c r="B103" i="11"/>
  <c r="Q101" i="11"/>
  <c r="D101" i="11"/>
  <c r="B101" i="11"/>
  <c r="M103" i="11" s="1"/>
  <c r="Q99" i="11"/>
  <c r="D99" i="11"/>
  <c r="B99" i="11"/>
  <c r="N97" i="11" s="1"/>
  <c r="B97" i="11"/>
  <c r="B93" i="11"/>
  <c r="Q91" i="11"/>
  <c r="D91" i="11"/>
  <c r="B91" i="11"/>
  <c r="M93" i="11" s="1"/>
  <c r="B84" i="11"/>
  <c r="B80" i="11"/>
  <c r="E284" i="11"/>
  <c r="E283" i="11"/>
  <c r="E282" i="11"/>
  <c r="E281" i="11"/>
  <c r="E280" i="11"/>
  <c r="E279" i="11"/>
  <c r="E278" i="11"/>
  <c r="E260" i="11"/>
  <c r="E263" i="11"/>
  <c r="E262" i="11"/>
  <c r="E261" i="11"/>
  <c r="E259" i="11"/>
  <c r="E258" i="11"/>
  <c r="E257" i="11"/>
  <c r="E246" i="11"/>
  <c r="E236" i="11"/>
  <c r="E226" i="11"/>
  <c r="E234" i="11"/>
  <c r="E233" i="11"/>
  <c r="E232" i="11"/>
  <c r="E231" i="11"/>
  <c r="E229" i="11"/>
  <c r="E230" i="11"/>
  <c r="E228" i="11"/>
  <c r="E217" i="11"/>
  <c r="Q288" i="11"/>
  <c r="D288" i="11"/>
  <c r="B288" i="11"/>
  <c r="N286" i="11" s="1"/>
  <c r="B286" i="11"/>
  <c r="Q284" i="11"/>
  <c r="D284" i="11"/>
  <c r="B284" i="11"/>
  <c r="M286" i="11" s="1"/>
  <c r="Q283" i="11"/>
  <c r="D283" i="11"/>
  <c r="B283" i="11"/>
  <c r="Q282" i="11"/>
  <c r="D282" i="11"/>
  <c r="B282" i="11"/>
  <c r="Q281" i="11"/>
  <c r="D281" i="11"/>
  <c r="B281" i="11"/>
  <c r="Q280" i="11"/>
  <c r="D280" i="11"/>
  <c r="B280" i="11"/>
  <c r="Q279" i="11"/>
  <c r="D279" i="11"/>
  <c r="B279" i="11"/>
  <c r="Q278" i="11"/>
  <c r="D278" i="11"/>
  <c r="B278" i="11"/>
  <c r="N276" i="11" s="1"/>
  <c r="B276" i="11"/>
  <c r="Q274" i="11"/>
  <c r="D274" i="11"/>
  <c r="B274" i="11"/>
  <c r="Q267" i="11"/>
  <c r="D267" i="11"/>
  <c r="B267" i="11"/>
  <c r="N265" i="11" s="1"/>
  <c r="B265" i="11"/>
  <c r="Q263" i="11"/>
  <c r="D263" i="11"/>
  <c r="B263" i="11"/>
  <c r="M265" i="11" s="1"/>
  <c r="Q262" i="11"/>
  <c r="D262" i="11"/>
  <c r="B262" i="11"/>
  <c r="Q261" i="11"/>
  <c r="D261" i="11"/>
  <c r="B261" i="11"/>
  <c r="Q260" i="11"/>
  <c r="D260" i="11"/>
  <c r="B260" i="11"/>
  <c r="Q259" i="11"/>
  <c r="D259" i="11"/>
  <c r="B259" i="11"/>
  <c r="Q258" i="11"/>
  <c r="D258" i="11"/>
  <c r="B258" i="11"/>
  <c r="Q257" i="11"/>
  <c r="D257" i="11"/>
  <c r="B257" i="11"/>
  <c r="N255" i="11" s="1"/>
  <c r="B255" i="11"/>
  <c r="Q253" i="11"/>
  <c r="D253" i="11"/>
  <c r="B253" i="11"/>
  <c r="Q246" i="11"/>
  <c r="D246" i="11"/>
  <c r="B246" i="11"/>
  <c r="N171" i="11" s="1"/>
  <c r="Q238" i="11"/>
  <c r="D238" i="11"/>
  <c r="B238" i="11"/>
  <c r="N236" i="11" s="1"/>
  <c r="B236" i="11"/>
  <c r="Q232" i="11"/>
  <c r="Q233" i="11"/>
  <c r="Q234" i="11"/>
  <c r="D232" i="11"/>
  <c r="D233" i="11"/>
  <c r="D234" i="11"/>
  <c r="B232" i="11"/>
  <c r="B233" i="11"/>
  <c r="B234" i="11"/>
  <c r="M236" i="11" s="1"/>
  <c r="Q231" i="11"/>
  <c r="D231" i="11"/>
  <c r="B231" i="11"/>
  <c r="Q228" i="11"/>
  <c r="Q229" i="11"/>
  <c r="Q230" i="11"/>
  <c r="D228" i="11"/>
  <c r="D229" i="11"/>
  <c r="D230" i="11"/>
  <c r="B228" i="11"/>
  <c r="N226" i="11" s="1"/>
  <c r="B229" i="11"/>
  <c r="B230" i="11"/>
  <c r="B226" i="11"/>
  <c r="Q224" i="11"/>
  <c r="D224" i="11"/>
  <c r="B224" i="11"/>
  <c r="Q217" i="11"/>
  <c r="D217" i="11"/>
  <c r="B217" i="11"/>
  <c r="H233" i="11"/>
  <c r="C60" i="11" l="1"/>
  <c r="C59" i="11"/>
  <c r="M84" i="11"/>
  <c r="N80" i="11"/>
  <c r="M276" i="11"/>
  <c r="N113" i="11"/>
  <c r="M226" i="11"/>
  <c r="N103" i="11"/>
  <c r="M255" i="11"/>
  <c r="N93" i="11"/>
  <c r="B198" i="11"/>
  <c r="B245" i="11"/>
  <c r="H53" i="11"/>
  <c r="H52" i="11"/>
  <c r="I233" i="11"/>
  <c r="X161" i="11"/>
  <c r="X162" i="11" s="1"/>
  <c r="X163" i="11" s="1"/>
  <c r="X164" i="11" s="1"/>
  <c r="X165" i="11" s="1"/>
  <c r="X166" i="11" s="1"/>
  <c r="X167" i="11" s="1"/>
  <c r="X168" i="11" s="1"/>
  <c r="X169" i="11" s="1"/>
  <c r="X170" i="11" s="1"/>
  <c r="X171" i="11" s="1"/>
  <c r="Y171" i="11" s="1"/>
  <c r="X178" i="11"/>
  <c r="X179" i="11" s="1"/>
  <c r="X180" i="11" s="1"/>
  <c r="X181" i="11" s="1"/>
  <c r="X182" i="11" s="1"/>
  <c r="X183" i="11" s="1"/>
  <c r="X184" i="11" s="1"/>
  <c r="X185" i="11" s="1"/>
  <c r="X186" i="11" s="1"/>
  <c r="X187" i="11" s="1"/>
  <c r="X188" i="11" s="1"/>
  <c r="X189" i="11" s="1"/>
  <c r="X190" i="11" s="1"/>
  <c r="X191" i="11" s="1"/>
  <c r="X192" i="11" s="1"/>
  <c r="M145" i="11"/>
  <c r="M124" i="11"/>
  <c r="N163" i="11"/>
  <c r="C198" i="11"/>
  <c r="R155" i="11"/>
  <c r="B72" i="11"/>
  <c r="B154" i="11"/>
  <c r="X288" i="11"/>
  <c r="X97" i="11"/>
  <c r="X98" i="11" s="1"/>
  <c r="X99" i="11" s="1"/>
  <c r="X100" i="11" s="1"/>
  <c r="X101" i="11" s="1"/>
  <c r="X102" i="11" s="1"/>
  <c r="X103" i="11" s="1"/>
  <c r="X104" i="11" s="1"/>
  <c r="X105" i="11" s="1"/>
  <c r="X106" i="11" s="1"/>
  <c r="X107" i="11" s="1"/>
  <c r="X108" i="11" s="1"/>
  <c r="X109" i="11" s="1"/>
  <c r="X110" i="11" s="1"/>
  <c r="X111" i="11" s="1"/>
  <c r="X112" i="11" s="1"/>
  <c r="X113" i="11" s="1"/>
  <c r="X114" i="11" s="1"/>
  <c r="X115" i="11" s="1"/>
  <c r="X116" i="11" s="1"/>
  <c r="X117" i="11" s="1"/>
  <c r="X118" i="11" s="1"/>
  <c r="X119" i="11" s="1"/>
  <c r="X120" i="11" s="1"/>
  <c r="X121" i="11" s="1"/>
  <c r="X122" i="11" s="1"/>
  <c r="X123" i="11" s="1"/>
  <c r="X124" i="11" s="1"/>
  <c r="X125" i="11" s="1"/>
  <c r="X126" i="11" s="1"/>
  <c r="X127" i="11" s="1"/>
  <c r="X128" i="11" s="1"/>
  <c r="X129" i="11" s="1"/>
  <c r="X130" i="11" s="1"/>
  <c r="X131" i="11" s="1"/>
  <c r="X132" i="11" s="1"/>
  <c r="X133" i="11" s="1"/>
  <c r="X134" i="11" s="1"/>
  <c r="X135" i="11" s="1"/>
  <c r="X136" i="11" s="1"/>
  <c r="X137" i="11" s="1"/>
  <c r="X138" i="11" s="1"/>
  <c r="X139" i="11" s="1"/>
  <c r="X140" i="11" s="1"/>
  <c r="X141" i="11" s="1"/>
  <c r="X142" i="11" s="1"/>
  <c r="X143" i="11" s="1"/>
  <c r="X144" i="11" s="1"/>
  <c r="X145" i="11" s="1"/>
  <c r="X146" i="11" s="1"/>
  <c r="M185" i="11"/>
  <c r="M175" i="11"/>
  <c r="M171" i="11"/>
  <c r="M163" i="11"/>
  <c r="M117" i="11"/>
  <c r="M107" i="11"/>
  <c r="M97" i="11"/>
  <c r="C18" i="11"/>
  <c r="Q78" i="11"/>
  <c r="D78" i="11"/>
  <c r="B78" i="11"/>
  <c r="M80" i="11" s="1"/>
  <c r="Q77" i="11"/>
  <c r="D77" i="11"/>
  <c r="B77" i="11"/>
  <c r="Q86" i="11" l="1"/>
  <c r="D86" i="11"/>
  <c r="B86" i="11"/>
  <c r="B75" i="11"/>
  <c r="B73" i="11"/>
  <c r="M75" i="11" s="1"/>
  <c r="F8" i="11"/>
  <c r="B6" i="11"/>
  <c r="B5" i="11"/>
  <c r="G2" i="11"/>
  <c r="E2" i="11"/>
  <c r="X147" i="11" l="1"/>
  <c r="N75" i="11"/>
  <c r="N84" i="1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8" i="2"/>
  <c r="D18" i="2"/>
  <c r="A18" i="2"/>
  <c r="E17" i="2"/>
  <c r="D17" i="2"/>
  <c r="A17" i="2"/>
  <c r="E16" i="2"/>
  <c r="D16" i="2"/>
  <c r="A16" i="2"/>
  <c r="E15" i="2"/>
  <c r="D15" i="2"/>
  <c r="A15" i="2"/>
  <c r="E14" i="2"/>
  <c r="D14" i="2"/>
  <c r="B4" i="11" s="1"/>
  <c r="E4" i="11" s="1"/>
  <c r="A14" i="2"/>
  <c r="E13" i="2"/>
  <c r="D13" i="2"/>
  <c r="A13" i="2"/>
  <c r="E12" i="2"/>
  <c r="D12" i="2"/>
  <c r="A12" i="2"/>
  <c r="E11" i="2"/>
  <c r="D11" i="2"/>
  <c r="A11" i="2"/>
  <c r="E10" i="2"/>
  <c r="D10" i="2"/>
  <c r="A10" i="2"/>
  <c r="N3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<sst xmlns="http://schemas.openxmlformats.org/spreadsheetml/2006/main" count="2360" uniqueCount="463">
  <si>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</si>
  <si>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</si>
  <si>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</si>
  <si>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</si>
  <si>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</si>
  <si>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</si>
  <si>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</si>
  <si>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</si>
  <si>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</si>
  <si>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</si>
  <si>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</si>
  <si>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</si>
  <si>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</si>
  <si>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</si>
  <si>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</si>
  <si>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</si>
  <si>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</si>
  <si>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</si>
  <si>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</si>
  <si>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</si>
  <si>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</si>
  <si>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</si>
  <si>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</si>
  <si>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</si>
  <si>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</si>
  <si>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</si>
  <si>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</si>
  <si>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</si>
  <si>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</si>
  <si>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</si>
  <si>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</si>
  <si>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</si>
  <si>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</si>
  <si>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</si>
  <si>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</si>
  <si>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</si>
  <si>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</si>
  <si>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</si>
  <si>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</si>
  <si>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</si>
  <si>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</si>
  <si>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</si>
  <si>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</si>
  <si>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</si>
  <si>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</si>
  <si>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</si>
  <si>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</si>
  <si>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</si>
  <si>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</si>
  <si>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</si>
  <si>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</si>
  <si>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</si>
  <si>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</si>
  <si>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</si>
  <si>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</si>
  <si>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</si>
  <si>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</si>
  <si>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</si>
  <si>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</si>
  <si>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</si>
  <si>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</si>
  <si>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</si>
  <si>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</si>
  <si>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</si>
  <si>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</si>
  <si>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</si>
  <si>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</si>
  <si>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</si>
  <si>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</si>
  <si>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</si>
  <si>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</si>
  <si>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</si>
  <si>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</si>
  <si>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</si>
  <si>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</si>
  <si>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</si>
  <si>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</si>
  <si>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</si>
  <si>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</si>
  <si>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</si>
  <si>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</si>
  <si>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</si>
  <si>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</si>
  <si>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</si>
  <si>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</si>
  <si>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</si>
  <si>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</si>
  <si>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</si>
  <si>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</si>
  <si>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</si>
  <si>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</si>
  <si>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</si>
  <si>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</si>
  <si>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</si>
  <si>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</si>
  <si>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</si>
  <si>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</si>
  <si>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</si>
  <si>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</si>
  <si>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</si>
  <si>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</si>
  <si>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</si>
  <si>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</si>
  <si>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</si>
  <si>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</si>
  <si>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</si>
  <si>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</si>
  <si>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</si>
  <si>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</si>
  <si>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</si>
  <si>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</si>
  <si>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</si>
  <si>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</si>
  <si>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</si>
  <si>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</si>
  <si>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</si>
  <si>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</si>
  <si>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</si>
  <si>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</si>
  <si>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</si>
  <si>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</si>
  <si>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</si>
  <si>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</si>
  <si>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</si>
  <si>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</si>
  <si>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</si>
  <si>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</si>
  <si>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</si>
  <si>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</si>
  <si>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</si>
  <si>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</si>
  <si>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</si>
  <si>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</si>
  <si>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</si>
  <si>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</si>
  <si>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</si>
  <si>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</si>
  <si>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</si>
  <si>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</si>
  <si>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</si>
  <si>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</si>
  <si>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</si>
  <si>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</si>
  <si>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</si>
  <si>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</si>
  <si>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</si>
  <si>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</si>
  <si>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</si>
  <si>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</si>
  <si>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</si>
  <si>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</si>
  <si>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</si>
  <si>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</si>
  <si>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</si>
  <si>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</si>
  <si>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</si>
  <si>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</si>
  <si>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</si>
  <si>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</si>
  <si>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</si>
  <si>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</si>
  <si>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</si>
  <si>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</si>
  <si>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</si>
  <si>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</si>
  <si>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</si>
  <si>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</si>
  <si>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</si>
  <si>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</si>
  <si>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</si>
  <si>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</si>
  <si>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</si>
  <si>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</si>
  <si>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</si>
  <si>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</si>
  <si>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</si>
  <si>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</si>
  <si>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</si>
  <si>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</si>
  <si>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</si>
  <si>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</si>
  <si>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</si>
  <si>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</si>
  <si>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</si>
  <si>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</si>
  <si>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</si>
  <si>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</si>
  <si>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</si>
  <si>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</si>
  <si>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</si>
  <si>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</si>
  <si>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</si>
  <si>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</si>
  <si>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</si>
  <si>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</si>
  <si>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</si>
  <si>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</si>
  <si>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</si>
  <si>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</si>
  <si>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</si>
  <si>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</si>
  <si>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</si>
  <si>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</si>
  <si>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</si>
  <si>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</si>
  <si>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</si>
  <si>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</si>
  <si>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</si>
  <si>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</si>
  <si>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</si>
  <si>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</si>
  <si>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</si>
  <si>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</si>
  <si>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</si>
  <si>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</si>
  <si>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</si>
  <si>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</si>
  <si>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</si>
  <si>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</si>
  <si>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</si>
  <si>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</si>
  <si>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</si>
  <si>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</si>
  <si>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</si>
  <si>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</si>
  <si>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</si>
  <si>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</si>
  <si>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</si>
  <si>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</si>
  <si>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</si>
  <si>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</si>
  <si>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</si>
  <si>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</si>
  <si>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</si>
  <si>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</si>
  <si>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</si>
  <si>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</si>
  <si>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</si>
  <si>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</si>
  <si>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</si>
  <si>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</si>
  <si>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</si>
  <si>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</si>
  <si>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</si>
  <si>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</si>
  <si>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</si>
  <si>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</si>
  <si>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</si>
  <si>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</si>
  <si>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</si>
  <si>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</si>
  <si>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</si>
  <si>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</si>
  <si>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</si>
  <si>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</si>
  <si>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</si>
  <si>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</si>
  <si>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</si>
  <si>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</si>
  <si>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</si>
  <si>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</si>
  <si>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</si>
  <si>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</si>
  <si>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</si>
  <si>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</si>
  <si>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</si>
  <si>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</si>
  <si>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</si>
  <si>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</si>
  <si>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junction</t>
  </si>
  <si>
    <t>makeStripFile</t>
  </si>
  <si>
    <t>Generera strip-request-fil (*.strip) och parameterfil</t>
  </si>
  <si>
    <t>Rad</t>
  </si>
  <si>
    <t>Plotvar</t>
  </si>
  <si>
    <t>mflowj</t>
  </si>
  <si>
    <t>p</t>
  </si>
  <si>
    <t>vlvstem</t>
  </si>
  <si>
    <t>pmpvel</t>
  </si>
  <si>
    <t>force</t>
  </si>
  <si>
    <t>Case2</t>
  </si>
  <si>
    <t>TDVol</t>
  </si>
  <si>
    <t>Replacements</t>
  </si>
  <si>
    <t>Plotnum</t>
  </si>
  <si>
    <t>Plot group</t>
  </si>
  <si>
    <t>cntrlvar</t>
  </si>
  <si>
    <t>Text2Relap (ver 2.0)</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</si>
  <si>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</si>
  <si>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</si>
  <si>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</si>
  <si>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</si>
  <si>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</si>
  <si>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</si>
  <si>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</si>
  <si>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</si>
  <si>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</si>
  <si>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</si>
  <si>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</si>
  <si>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</si>
  <si>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</si>
  <si>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</si>
  <si>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</si>
  <si>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</si>
  <si>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</si>
  <si>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</si>
  <si>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</si>
  <si>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</si>
  <si>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</si>
  <si>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</si>
  <si>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</si>
  <si>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</si>
  <si>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</si>
  <si>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</si>
  <si>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</si>
  <si>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</si>
  <si>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</si>
  <si>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</si>
  <si>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</si>
  <si>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</si>
  <si>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</si>
  <si>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</si>
  <si>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</si>
  <si>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</si>
  <si>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</si>
  <si>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</si>
  <si>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</si>
  <si>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</si>
  <si>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</si>
  <si>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bar(a)</t>
  </si>
  <si>
    <t>°C</t>
  </si>
  <si>
    <t>* Heat exchanger A: Shell side</t>
  </si>
  <si>
    <t>* Heat exchanger A: Tube side</t>
  </si>
  <si>
    <t>Pass1</t>
  </si>
  <si>
    <t>Pass2</t>
  </si>
  <si>
    <t>Manifold</t>
  </si>
  <si>
    <t>Pass3</t>
  </si>
  <si>
    <t>Pass4</t>
  </si>
  <si>
    <t>Bend</t>
  </si>
  <si>
    <t>* Heat exchanger B: Shell side</t>
  </si>
  <si>
    <t>* Heat exchanger B1: Tube side</t>
  </si>
  <si>
    <t>* Heat exchanger B2: Tube side</t>
  </si>
  <si>
    <t>SG-1-2-3</t>
  </si>
  <si>
    <t>** Unit A shell side</t>
  </si>
  <si>
    <t>** Unit B1 (tube side)</t>
  </si>
  <si>
    <t>** Unit A tube side</t>
  </si>
  <si>
    <t>** Unit B2 (tube side)</t>
  </si>
  <si>
    <t>S711</t>
  </si>
  <si>
    <t>** Unit B shell side</t>
  </si>
  <si>
    <t>CC-75</t>
  </si>
  <si>
    <t>CC-74</t>
  </si>
  <si>
    <t>FE-648</t>
  </si>
  <si>
    <t>CC-219</t>
  </si>
  <si>
    <t>just</t>
  </si>
  <si>
    <t>Sys337</t>
  </si>
  <si>
    <t>Sys711</t>
  </si>
  <si>
    <t>System 337</t>
  </si>
  <si>
    <t>Flöde =</t>
  </si>
  <si>
    <t>kg/s</t>
  </si>
  <si>
    <t>System 711</t>
  </si>
  <si>
    <t>P =</t>
  </si>
  <si>
    <t>T =</t>
  </si>
  <si>
    <t>337-Flow</t>
  </si>
  <si>
    <t>711-P</t>
  </si>
  <si>
    <t>711-T</t>
  </si>
  <si>
    <t>711-Flow</t>
  </si>
  <si>
    <t>ShellB</t>
  </si>
  <si>
    <t>ShellA</t>
  </si>
  <si>
    <t>HeatStructs.inc</t>
  </si>
  <si>
    <t>711-V9823</t>
  </si>
  <si>
    <t>711-V9824</t>
  </si>
  <si>
    <t>Ventiler</t>
  </si>
  <si>
    <t>711 V9823 =</t>
  </si>
  <si>
    <t>(Uppströms BDAHSG-01 i 711)</t>
  </si>
  <si>
    <t>(Nedströms BDAHSG-01 i 711)</t>
  </si>
  <si>
    <t>711 V9824 =</t>
  </si>
  <si>
    <t>HeatStruct</t>
  </si>
  <si>
    <t>Case3</t>
  </si>
  <si>
    <t>Cntrlvars.inc</t>
  </si>
  <si>
    <t>Flowpath</t>
  </si>
  <si>
    <t>1a</t>
  </si>
  <si>
    <t>100-103</t>
  </si>
  <si>
    <t>1b</t>
  </si>
  <si>
    <t>105-107</t>
  </si>
  <si>
    <t>109-111</t>
  </si>
  <si>
    <t>1c</t>
  </si>
  <si>
    <t>1d</t>
  </si>
  <si>
    <t>113-115</t>
  </si>
  <si>
    <t>2a</t>
  </si>
  <si>
    <t>200-205</t>
  </si>
  <si>
    <t>2b</t>
  </si>
  <si>
    <t>207-216</t>
  </si>
  <si>
    <t>** Flowpath 2b</t>
  </si>
  <si>
    <t>* Flowpath 3: System 711, safety relief valve</t>
  </si>
  <si>
    <t>** Flowpath 1b</t>
  </si>
  <si>
    <t>** Flowpath 1c</t>
  </si>
  <si>
    <t>** Flowpath 1d</t>
  </si>
  <si>
    <t>** Flowpath 1e</t>
  </si>
  <si>
    <t xml:space="preserve">* Flowpath 1a to 1e: System 337, from pressure boundary condition to downstream heat exchanger </t>
  </si>
  <si>
    <t xml:space="preserve">* Flowpath 2a to 2b: System 711 </t>
  </si>
  <si>
    <t>Heat exchanger BDAHSG-01</t>
  </si>
  <si>
    <t>BDAHSG-01 Unit A</t>
  </si>
  <si>
    <t>Comp #</t>
  </si>
  <si>
    <t>300, 312</t>
  </si>
  <si>
    <t>BDAHSG-01 Unit B</t>
  </si>
  <si>
    <t>320, 332, 342</t>
  </si>
  <si>
    <t>BD-52</t>
  </si>
  <si>
    <t>V9390</t>
  </si>
  <si>
    <t>V9360A</t>
  </si>
  <si>
    <t>Cv=67 el. =35 beroende på ritn.</t>
  </si>
  <si>
    <t>V9360B</t>
  </si>
  <si>
    <t>BD-53-1</t>
  </si>
  <si>
    <t>FE752</t>
  </si>
  <si>
    <t>1e</t>
  </si>
  <si>
    <t>PCV-766.inc</t>
  </si>
  <si>
    <t>TripVar</t>
  </si>
  <si>
    <t>ge</t>
  </si>
  <si>
    <t>null-0</t>
  </si>
  <si>
    <t>n</t>
  </si>
  <si>
    <t>time-0</t>
  </si>
  <si>
    <t>mflowj-CCC000000</t>
  </si>
  <si>
    <t>(Opens PCV-766)</t>
  </si>
  <si>
    <t>lt</t>
  </si>
  <si>
    <t>(Closes PCV-766)</t>
  </si>
  <si>
    <t>TripLog</t>
  </si>
  <si>
    <t>and</t>
  </si>
  <si>
    <t>OPEN_PCV766</t>
  </si>
  <si>
    <t>CLOSE_PCV766</t>
  </si>
  <si>
    <t>(Control flow up until this time)</t>
  </si>
  <si>
    <t>337-P1</t>
  </si>
  <si>
    <t>337-T1</t>
  </si>
  <si>
    <t>P1 =</t>
  </si>
  <si>
    <t>T1 =</t>
  </si>
  <si>
    <t>P2 =</t>
  </si>
  <si>
    <t>337-P2</t>
  </si>
  <si>
    <t>Ad-hoc K=3</t>
  </si>
  <si>
    <t>dt4</t>
  </si>
  <si>
    <t>dt5</t>
  </si>
  <si>
    <t>t1</t>
  </si>
  <si>
    <t>pf1</t>
  </si>
  <si>
    <t>t2</t>
  </si>
  <si>
    <t>pf2</t>
  </si>
  <si>
    <t>t3</t>
  </si>
  <si>
    <t>pf3</t>
  </si>
  <si>
    <t>t4</t>
  </si>
  <si>
    <t>pf4</t>
  </si>
  <si>
    <t>t5</t>
  </si>
  <si>
    <t>pf5</t>
  </si>
  <si>
    <t>SRV9829.inc</t>
  </si>
  <si>
    <t>Flow711.inc</t>
  </si>
  <si>
    <t>** Trips PCV766</t>
  </si>
  <si>
    <t>** Trips to control flow in 711</t>
  </si>
  <si>
    <t>OPEN_711</t>
  </si>
  <si>
    <t>CLOSE_711</t>
  </si>
  <si>
    <t>V9823.inc</t>
  </si>
  <si>
    <t>V9824.inc</t>
  </si>
  <si>
    <t>TRANSIENT_START</t>
  </si>
  <si>
    <t>** Trips to close 711</t>
  </si>
  <si>
    <t>TRANSIENT_START2</t>
  </si>
  <si>
    <t>Safety Relief valve  711-9829</t>
  </si>
  <si>
    <t>Valve area =</t>
  </si>
  <si>
    <t>SRV_vlvopenmax</t>
  </si>
  <si>
    <t>X of inlet pipe</t>
  </si>
  <si>
    <t>Case1 with SRV valve restriction 20%</t>
  </si>
  <si>
    <t>Case1 with SRV valve restriction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</si>
</sst>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E+00"/>
    <numFmt numFmtId="166" formatCode="0.0000000"/>
    <numFmt numFmtId="167" formatCode="0.0E+00"/>
    <numFmt numFmtId="168" formatCode="0.0"/>
    <numFmt numFmtId="169" formatCode="0.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40">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855">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CFFCC"/>
        </patternFill>
      </fill>
    </dxf>
    <dxf>
      <fill>
        <patternFill>
          <bgColor rgb="FFCCFFCC"/>
        </patternFill>
      </fill>
    </dxf>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123825</xdr:colOff>
          <xdr:row>0</xdr:row>
          <xdr:rowOff>438150</xdr:rowOff>
        </xdr:from>
        <xdr:to>
          <xdr:col>18</xdr:col>
          <xdr:colOff>485775</xdr:colOff>
          <xdr:row>1</xdr:row>
          <xdr:rowOff>171450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76200</xdr:colOff>
          <xdr:row>0</xdr:row>
          <xdr:rowOff>438150</xdr:rowOff>
        </xdr:from>
        <xdr:to>
          <xdr:col>21</xdr:col>
          <xdr:colOff>571500</xdr:colOff>
          <xdr:row>1</xdr:row>
          <xdr:rowOff>171450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0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352425</xdr:colOff>
          <xdr:row>1</xdr:row>
          <xdr:rowOff>171450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000-000008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0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000-00000B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2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2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2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2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2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2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2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2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2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2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2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2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2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2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2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2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2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2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2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2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2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2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2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2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2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2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2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2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2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2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2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2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2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2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2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2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2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2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2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2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2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2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2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00000000-0008-0000-02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0000000-0008-0000-02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00000000-0008-0000-02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00000000-0008-0000-02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00000000-0008-0000-02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00000000-0008-0000-02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00000000-0008-0000-02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0000000-0008-0000-02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0000000-0008-0000-02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00000000-0008-0000-02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00000000-0008-0000-02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00000000-0008-0000-02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00000000-0008-0000-02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00000000-0008-0000-02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00000000-0008-0000-02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00000000-0008-0000-02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00000000-0008-0000-02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00000000-0008-0000-02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0000000-0008-0000-02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00000000-0008-0000-02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1">
    <pageSetUpPr fitToPage="1"/>
  </sheetPr>
  <dimension ref="A1:AC293"/>
  <sheetViews>
    <sheetView tabSelected="1" zoomScale="85" zoomScaleNormal="85" workbookViewId="0">
      <pane xSplit="22" ySplit="2" topLeftCell="W139" activePane="bottomRight" state="frozenSplit"/>
      <selection pane="topRight" activeCell="M1" sqref="M1"/>
      <selection pane="bottomLeft" activeCell="A3" sqref="A3"/>
      <selection pane="bottomRight" activeCell="M97" sqref="M97"/>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298</v>
      </c>
      <c r="B1" s="2" t="s">
        <v>315</v>
      </c>
      <c r="C1" s="3" t="s">
        <v>299</v>
      </c>
      <c r="D1" s="3" t="s">
        <v>3</v>
      </c>
      <c r="E1" s="4" t="s">
        <v>4</v>
      </c>
      <c r="F1" s="5" t="s">
        <v>300</v>
      </c>
      <c r="G1" s="5" t="s">
        <v>301</v>
      </c>
      <c r="H1" s="5" t="s">
        <v>7</v>
      </c>
      <c r="I1" s="5" t="s">
        <v>8</v>
      </c>
      <c r="J1" s="1" t="s">
        <v>290</v>
      </c>
      <c r="K1" s="1" t="s">
        <v>302</v>
      </c>
      <c r="L1" s="6" t="s">
        <v>297</v>
      </c>
      <c r="M1" s="2" t="s">
        <v>303</v>
      </c>
      <c r="N1" s="2" t="s">
        <v>304</v>
      </c>
      <c r="O1" s="7" t="s">
        <v>305</v>
      </c>
      <c r="P1" s="7" t="s">
        <v>306</v>
      </c>
      <c r="Q1" s="8" t="s">
        <v>321</v>
      </c>
      <c r="R1" s="9" t="s">
        <v>307</v>
      </c>
      <c r="S1" s="9" t="s">
        <v>308</v>
      </c>
      <c r="T1" s="9" t="s">
        <v>309</v>
      </c>
      <c r="U1" s="9" t="s">
        <v>323</v>
      </c>
      <c r="V1" s="9" t="s">
        <v>324</v>
      </c>
      <c r="W1" s="9" t="s">
        <v>310</v>
      </c>
      <c r="X1" s="5" t="s">
        <v>22</v>
      </c>
      <c r="Y1" s="9" t="s">
        <v>23</v>
      </c>
      <c r="Z1" s="9"/>
      <c r="AA1" s="10"/>
    </row>
    <row r="2" spans="1:27" ht="27" customHeight="1" x14ac:dyDescent="0.3">
      <c r="A2" s="64" t="s">
        <v>266</v>
      </c>
      <c r="B2" s="59">
        <v>3</v>
      </c>
      <c r="C2" s="60"/>
      <c r="D2" s="65" t="s">
        <v>319</v>
      </c>
      <c r="E2" s="66" t="str">
        <f>INDEX(TestMatrixNames,CurrentIndex)</f>
        <v>Case3</v>
      </c>
      <c r="F2" s="94" t="s">
        <v>320</v>
      </c>
      <c r="G2" s="66" t="str">
        <f>INDEX(TestMatrixTitles,CurrentIndex)</f>
        <v>Case1 with SRV valve restriction 60%</v>
      </c>
      <c r="H2" s="61"/>
      <c r="I2" s="61"/>
      <c r="J2" s="62"/>
      <c r="K2" s="58"/>
      <c r="L2" s="58"/>
      <c r="M2" s="59"/>
      <c r="N2" s="59"/>
      <c r="O2" s="59"/>
      <c r="P2" s="59"/>
      <c r="Q2" s="63"/>
      <c r="R2" s="60"/>
      <c r="S2" s="61"/>
      <c r="T2" s="61"/>
      <c r="U2" s="61"/>
      <c r="V2" s="61"/>
      <c r="W2" s="58"/>
      <c r="X2" s="61"/>
      <c r="Y2" s="61"/>
      <c r="Z2" s="58"/>
      <c r="AA2" s="58"/>
    </row>
    <row r="3" spans="1:27" ht="24" x14ac:dyDescent="0.4">
      <c r="A3" s="18" t="s">
        <v>285</v>
      </c>
      <c r="J3" s="16"/>
      <c r="R3" s="13"/>
    </row>
    <row r="4" spans="1:27" ht="18.75" x14ac:dyDescent="0.3">
      <c r="A4" s="38" t="s">
        <v>296</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316</v>
      </c>
      <c r="D7" s="13" t="s">
        <v>317</v>
      </c>
      <c r="R7" s="13"/>
      <c r="T7" s="23"/>
      <c r="U7" s="23"/>
      <c r="V7" s="23"/>
      <c r="W7" s="27"/>
    </row>
    <row r="8" spans="1:27" x14ac:dyDescent="0.25">
      <c r="A8" s="26" t="s">
        <v>27</v>
      </c>
      <c r="B8" s="12">
        <v>100</v>
      </c>
      <c r="C8" s="12">
        <v>1</v>
      </c>
      <c r="D8" s="96">
        <v>99.39</v>
      </c>
      <c r="E8" s="14" t="s">
        <v>352</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313</v>
      </c>
      <c r="G11" s="23"/>
      <c r="H11" s="23"/>
      <c r="I11" s="23"/>
      <c r="J11" s="24"/>
      <c r="K11" s="24"/>
      <c r="L11" s="24"/>
      <c r="M11" s="20"/>
      <c r="N11" s="20"/>
      <c r="O11" s="20"/>
      <c r="P11" s="20"/>
      <c r="Q11" s="25"/>
      <c r="R11" s="21"/>
      <c r="S11" s="23"/>
      <c r="T11" s="23"/>
      <c r="U11" s="23"/>
      <c r="V11" s="23"/>
    </row>
    <row r="12" spans="1:27" x14ac:dyDescent="0.25">
      <c r="A12" s="26" t="s">
        <v>31</v>
      </c>
      <c r="B12" s="12">
        <v>9999</v>
      </c>
      <c r="D12" s="13" t="s">
        <v>314</v>
      </c>
      <c r="R12" s="13"/>
      <c r="T12" s="23"/>
      <c r="U12" s="23"/>
      <c r="V12" s="23"/>
    </row>
    <row r="13" spans="1:27" x14ac:dyDescent="0.25">
      <c r="A13" s="26" t="s">
        <v>32</v>
      </c>
      <c r="B13" s="12">
        <v>0</v>
      </c>
      <c r="D13" s="13" t="s">
        <v>294</v>
      </c>
      <c r="R13" s="13"/>
      <c r="T13" s="23"/>
      <c r="U13" s="23"/>
      <c r="V13" s="23"/>
    </row>
    <row r="14" spans="1:27" x14ac:dyDescent="0.25">
      <c r="A14" s="28" t="s">
        <v>33</v>
      </c>
      <c r="B14" s="20">
        <v>2</v>
      </c>
      <c r="C14" s="21"/>
      <c r="D14" s="21" t="s">
        <v>295</v>
      </c>
      <c r="E14" s="22"/>
      <c r="F14" s="23"/>
      <c r="R14" s="13"/>
      <c r="T14" s="23"/>
      <c r="U14" s="23"/>
      <c r="V14" s="23"/>
    </row>
    <row r="15" spans="1:27" x14ac:dyDescent="0.25">
      <c r="A15" s="29" t="s">
        <v>292</v>
      </c>
      <c r="B15" s="30">
        <v>1</v>
      </c>
      <c r="C15" s="31"/>
      <c r="D15" s="31" t="s">
        <v>293</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t="s">
        <v>27</v>
      </c>
      <c r="B17" s="37">
        <v>200</v>
      </c>
      <c r="C17" s="55">
        <v>1</v>
      </c>
      <c r="D17" s="56">
        <v>107.22</v>
      </c>
      <c r="E17" s="57" t="s">
        <v>353</v>
      </c>
      <c r="F17" s="23" t="s">
        <v>28</v>
      </c>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0.1</v>
      </c>
      <c r="C18" s="95">
        <f>INDEX(TestMatrixVariableValues, CurrentIndex,MATCH("dt1",TestMatrixVariableNames,0))</f>
        <v>0.02</v>
      </c>
      <c r="D18" s="20">
        <f>INDEX(TestMatrixVariableValues, CurrentIndex,MATCH("pf1",TestMatrixVariableNames,0))</f>
        <v>1</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1500</v>
      </c>
      <c r="C19" s="95">
        <f>INDEX(TestMatrixVariableValues, CurrentIndex,MATCH("dt2",TestMatrixVariableNames,0))</f>
        <v>0.02</v>
      </c>
      <c r="D19" s="20">
        <f>INDEX(TestMatrixVariableValues, CurrentIndex,MATCH("pf2",TestMatrixVariableNames,0))</f>
        <v>50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
      </c>
      <c r="B20" s="43">
        <f>INDEX(TestMatrixVariableValues, CurrentIndex,MATCH("t3",TestMatrixVariableNames,0))</f>
        <v>0</v>
      </c>
      <c r="C20" s="95">
        <f>INDEX(TestMatrixVariableValues, CurrentIndex,MATCH("dt3",TestMatrixVariableNames,0))</f>
        <v>0.02</v>
      </c>
      <c r="D20" s="20">
        <f>INDEX(TestMatrixVariableValues, CurrentIndex,MATCH("pf3",TestMatrixVariableNames,0))</f>
        <v>50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t="s">
        <v>354</v>
      </c>
      <c r="R25" s="13"/>
      <c r="U25" s="36"/>
      <c r="V25" s="36"/>
    </row>
    <row r="26" spans="1:22" x14ac:dyDescent="0.25">
      <c r="A26" s="117" t="s">
        <v>429</v>
      </c>
      <c r="B26" s="12">
        <f>INDEX(TestMatrixVariableValues, CurrentIndex,MATCH("337-P1",TestMatrixVariableNames,0))</f>
        <v>85</v>
      </c>
      <c r="C26" s="13" t="s">
        <v>327</v>
      </c>
      <c r="R26" s="13"/>
      <c r="U26" s="36"/>
      <c r="V26" s="36"/>
    </row>
    <row r="27" spans="1:22" x14ac:dyDescent="0.25">
      <c r="A27" s="117" t="s">
        <v>430</v>
      </c>
      <c r="B27" s="15">
        <f>INDEX(TestMatrixVariableValues, CurrentIndex,MATCH("337-T1",TestMatrixVariableNames,0))</f>
        <v>294.55555555555554</v>
      </c>
      <c r="C27" s="13" t="s">
        <v>328</v>
      </c>
      <c r="R27" s="13"/>
      <c r="U27" s="36"/>
      <c r="V27" s="36"/>
    </row>
    <row r="28" spans="1:22" x14ac:dyDescent="0.25">
      <c r="A28" s="117" t="s">
        <v>355</v>
      </c>
      <c r="B28" s="15">
        <f>INDEX(TestMatrixVariableValues, CurrentIndex,MATCH("337-Flow",TestMatrixVariableNames,0))</f>
        <v>3.1499470138888888</v>
      </c>
      <c r="C28" s="13" t="s">
        <v>356</v>
      </c>
      <c r="R28" s="13"/>
      <c r="U28" s="36"/>
      <c r="V28" s="36"/>
    </row>
    <row r="29" spans="1:22" x14ac:dyDescent="0.25">
      <c r="A29" s="117" t="s">
        <v>431</v>
      </c>
      <c r="B29" s="12">
        <f>INDEX(TestMatrixVariableValues, CurrentIndex,MATCH("337-P2",TestMatrixVariableNames,0))</f>
        <v>10</v>
      </c>
      <c r="C29" s="13" t="s">
        <v>327</v>
      </c>
      <c r="R29" s="13"/>
      <c r="U29" s="36"/>
      <c r="V29" s="36"/>
    </row>
    <row r="30" spans="1:22" x14ac:dyDescent="0.25">
      <c r="A30" s="117"/>
      <c r="R30" s="13"/>
      <c r="U30" s="36"/>
      <c r="V30" s="36"/>
    </row>
    <row r="31" spans="1:22" x14ac:dyDescent="0.25">
      <c r="A31" s="117"/>
      <c r="R31" s="13"/>
      <c r="U31" s="36"/>
      <c r="V31" s="36"/>
    </row>
    <row r="32" spans="1:22" x14ac:dyDescent="0.25">
      <c r="A32" s="117" t="s">
        <v>357</v>
      </c>
      <c r="R32" s="13"/>
      <c r="U32" s="36"/>
      <c r="V32" s="36"/>
    </row>
    <row r="33" spans="1:22" x14ac:dyDescent="0.25">
      <c r="A33" s="117" t="s">
        <v>358</v>
      </c>
      <c r="B33" s="12">
        <f>INDEX(TestMatrixVariableValues, CurrentIndex,MATCH("711-P",TestMatrixVariableNames,0))</f>
        <v>3</v>
      </c>
      <c r="C33" s="13" t="s">
        <v>327</v>
      </c>
      <c r="R33" s="13"/>
      <c r="U33" s="36"/>
      <c r="V33" s="36"/>
    </row>
    <row r="34" spans="1:22" x14ac:dyDescent="0.25">
      <c r="A34" s="117" t="s">
        <v>359</v>
      </c>
      <c r="B34" s="12">
        <f>INDEX(TestMatrixVariableValues, CurrentIndex,MATCH("711-T",TestMatrixVariableNames,0))</f>
        <v>35</v>
      </c>
      <c r="C34" s="13" t="s">
        <v>328</v>
      </c>
      <c r="R34" s="13"/>
      <c r="U34" s="36"/>
      <c r="V34" s="36"/>
    </row>
    <row r="35" spans="1:22" x14ac:dyDescent="0.25">
      <c r="A35" s="117" t="s">
        <v>355</v>
      </c>
      <c r="B35" s="15">
        <f>INDEX(TestMatrixVariableValues, CurrentIndex,MATCH("711-Flow",TestMatrixVariableNames,0))</f>
        <v>47.249205208333336</v>
      </c>
      <c r="C35" s="13" t="s">
        <v>356</v>
      </c>
      <c r="R35" s="13"/>
      <c r="U35" s="36"/>
      <c r="V35" s="36"/>
    </row>
    <row r="36" spans="1:22" x14ac:dyDescent="0.25">
      <c r="A36" s="117"/>
      <c r="R36" s="13"/>
      <c r="U36" s="36"/>
      <c r="V36" s="36"/>
    </row>
    <row r="37" spans="1:22" x14ac:dyDescent="0.25">
      <c r="A37" s="117"/>
      <c r="R37" s="13"/>
      <c r="U37" s="36"/>
      <c r="V37" s="36"/>
    </row>
    <row r="38" spans="1:22" x14ac:dyDescent="0.25">
      <c r="A38" s="132" t="s">
        <v>369</v>
      </c>
      <c r="R38" s="13"/>
      <c r="U38" s="36"/>
      <c r="V38" s="36"/>
    </row>
    <row r="39" spans="1:22" x14ac:dyDescent="0.25">
      <c r="A39" s="117" t="s">
        <v>370</v>
      </c>
      <c r="B39" s="12">
        <f>INDEX(TestMatrixVariableValues, CurrentIndex,MATCH("711-V9823",TestMatrixVariableNames,0))</f>
        <v>1</v>
      </c>
      <c r="D39" s="13" t="s">
        <v>371</v>
      </c>
      <c r="R39" s="13"/>
      <c r="U39" s="36"/>
      <c r="V39" s="36"/>
    </row>
    <row r="40" spans="1:22" x14ac:dyDescent="0.25">
      <c r="A40" s="117" t="s">
        <v>373</v>
      </c>
      <c r="B40" s="12">
        <f>INDEX(TestMatrixVariableValues, CurrentIndex,MATCH("711-V9824",TestMatrixVariableNames,0))</f>
        <v>1</v>
      </c>
      <c r="D40" s="13" t="s">
        <v>372</v>
      </c>
      <c r="R40" s="13"/>
      <c r="U40" s="36"/>
      <c r="V40" s="36"/>
    </row>
    <row r="41" spans="1:22" x14ac:dyDescent="0.25">
      <c r="A41" s="117"/>
      <c r="R41" s="13"/>
      <c r="U41" s="36"/>
      <c r="V41" s="36"/>
    </row>
    <row r="42" spans="1:22" x14ac:dyDescent="0.25">
      <c r="A42" s="131" t="s">
        <v>457</v>
      </c>
      <c r="R42" s="13"/>
      <c r="U42" s="36"/>
      <c r="V42" s="36"/>
    </row>
    <row r="43" spans="1:22" x14ac:dyDescent="0.25">
      <c r="A43" s="117" t="s">
        <v>458</v>
      </c>
      <c r="B43" s="15">
        <f>INDEX(TestMatrixVariableValues, CurrentIndex,MATCH("SRV_vlvopenmax",TestMatrixVariableNames,0))</f>
        <v>0.6</v>
      </c>
      <c r="C43" s="13" t="s">
        <v>460</v>
      </c>
      <c r="R43" s="13"/>
      <c r="U43" s="36"/>
      <c r="V43" s="36"/>
    </row>
    <row r="44" spans="1:22" x14ac:dyDescent="0.25">
      <c r="A44" s="117"/>
      <c r="R44" s="13"/>
      <c r="U44" s="36"/>
      <c r="V44" s="36"/>
    </row>
    <row r="45" spans="1:22" x14ac:dyDescent="0.25">
      <c r="A45" s="117"/>
      <c r="R45" s="13"/>
      <c r="U45" s="36"/>
      <c r="V45" s="36"/>
    </row>
    <row r="46" spans="1:22" x14ac:dyDescent="0.25">
      <c r="A46" s="117"/>
      <c r="R46" s="13"/>
      <c r="U46" s="36"/>
      <c r="V46" s="36"/>
    </row>
    <row r="47" spans="1:22" x14ac:dyDescent="0.25">
      <c r="A47" s="117"/>
      <c r="R47" s="13"/>
      <c r="U47" s="36"/>
      <c r="V47" s="36"/>
    </row>
    <row r="48" spans="1:22" x14ac:dyDescent="0.25">
      <c r="A48" s="117"/>
      <c r="R48" s="13"/>
      <c r="U48" s="36"/>
      <c r="V48" s="36"/>
    </row>
    <row r="49" spans="1:22" x14ac:dyDescent="0.25">
      <c r="R49" s="13"/>
      <c r="U49" s="36"/>
      <c r="V49" s="36"/>
    </row>
    <row r="50" spans="1:22" x14ac:dyDescent="0.25">
      <c r="A50" s="119"/>
      <c r="R50" s="13"/>
      <c r="U50" s="36"/>
      <c r="V50" s="36"/>
    </row>
    <row r="51" spans="1:22" x14ac:dyDescent="0.25">
      <c r="A51" s="119" t="s">
        <v>448</v>
      </c>
      <c r="R51" s="13"/>
      <c r="U51" s="36"/>
      <c r="V51" s="36"/>
    </row>
    <row r="52" spans="1:22" x14ac:dyDescent="0.25">
      <c r="A52" s="119" t="s">
        <v>413</v>
      </c>
      <c r="B52" s="12" t="str">
        <f>CONCATENATE("TRIP_",ROW())</f>
        <v>TRIP_52</v>
      </c>
      <c r="C52" s="13" t="str">
        <f>B132</f>
        <v>JUNC_132</v>
      </c>
      <c r="D52" s="13" t="s">
        <v>418</v>
      </c>
      <c r="E52" s="14" t="s">
        <v>420</v>
      </c>
      <c r="G52" s="15" t="s">
        <v>415</v>
      </c>
      <c r="H52" s="15">
        <f>B28</f>
        <v>3.1499470138888888</v>
      </c>
      <c r="I52" s="15" t="s">
        <v>416</v>
      </c>
      <c r="R52" s="13"/>
      <c r="U52" s="36"/>
      <c r="V52" s="36"/>
    </row>
    <row r="53" spans="1:22" x14ac:dyDescent="0.25">
      <c r="A53" s="119" t="s">
        <v>413</v>
      </c>
      <c r="B53" s="12" t="str">
        <f>CONCATENATE("TRIP_",ROW())</f>
        <v>TRIP_53</v>
      </c>
      <c r="C53" s="13" t="str">
        <f>B132</f>
        <v>JUNC_132</v>
      </c>
      <c r="D53" s="13" t="s">
        <v>418</v>
      </c>
      <c r="E53" s="14" t="s">
        <v>414</v>
      </c>
      <c r="G53" s="15" t="s">
        <v>415</v>
      </c>
      <c r="H53" s="15">
        <f>B28+0.1</f>
        <v>3.2499470138888888</v>
      </c>
      <c r="I53" s="15" t="s">
        <v>416</v>
      </c>
      <c r="R53" s="13"/>
      <c r="U53" s="36"/>
      <c r="V53" s="36"/>
    </row>
    <row r="54" spans="1:22" x14ac:dyDescent="0.25">
      <c r="A54" s="119" t="s">
        <v>413</v>
      </c>
      <c r="B54" s="12" t="s">
        <v>454</v>
      </c>
      <c r="D54" s="13" t="s">
        <v>417</v>
      </c>
      <c r="E54" s="14" t="s">
        <v>420</v>
      </c>
      <c r="G54" s="15" t="s">
        <v>415</v>
      </c>
      <c r="H54" s="15">
        <v>500</v>
      </c>
      <c r="I54" s="15" t="s">
        <v>416</v>
      </c>
      <c r="K54" s="11" t="s">
        <v>426</v>
      </c>
      <c r="R54" s="13"/>
      <c r="U54" s="36"/>
      <c r="V54" s="36"/>
    </row>
    <row r="55" spans="1:22" x14ac:dyDescent="0.25">
      <c r="A55" s="119" t="s">
        <v>422</v>
      </c>
      <c r="B55" s="12" t="s">
        <v>424</v>
      </c>
      <c r="C55" s="13" t="str">
        <f>B54</f>
        <v>TRANSIENT_START</v>
      </c>
      <c r="D55" s="13" t="s">
        <v>423</v>
      </c>
      <c r="E55" s="14" t="str">
        <f>B52</f>
        <v>TRIP_52</v>
      </c>
      <c r="F55" s="15" t="s">
        <v>416</v>
      </c>
      <c r="K55" s="11" t="s">
        <v>419</v>
      </c>
      <c r="R55" s="13"/>
      <c r="U55" s="36"/>
      <c r="V55" s="36"/>
    </row>
    <row r="56" spans="1:22" x14ac:dyDescent="0.25">
      <c r="A56" s="119" t="s">
        <v>422</v>
      </c>
      <c r="B56" s="12" t="s">
        <v>425</v>
      </c>
      <c r="C56" s="13" t="str">
        <f>B54</f>
        <v>TRANSIENT_START</v>
      </c>
      <c r="D56" s="13" t="s">
        <v>423</v>
      </c>
      <c r="E56" s="14" t="str">
        <f>B53</f>
        <v>TRIP_53</v>
      </c>
      <c r="F56" s="15" t="s">
        <v>416</v>
      </c>
      <c r="K56" s="11" t="s">
        <v>421</v>
      </c>
      <c r="R56" s="13"/>
      <c r="U56" s="36"/>
      <c r="V56" s="36"/>
    </row>
    <row r="57" spans="1:22" x14ac:dyDescent="0.25">
      <c r="A57" s="133"/>
      <c r="B57" s="105"/>
      <c r="C57" s="134"/>
      <c r="D57" s="134"/>
      <c r="E57" s="135"/>
      <c r="F57" s="136"/>
      <c r="G57" s="136"/>
      <c r="H57" s="136"/>
      <c r="I57" s="136"/>
      <c r="J57" s="104"/>
      <c r="K57" s="104"/>
      <c r="L57" s="104"/>
      <c r="M57" s="105"/>
      <c r="N57" s="105"/>
      <c r="O57" s="105"/>
      <c r="P57" s="105"/>
      <c r="Q57" s="137"/>
      <c r="R57" s="134"/>
      <c r="S57" s="136"/>
      <c r="T57" s="136"/>
      <c r="U57" s="138"/>
      <c r="V57" s="138"/>
    </row>
    <row r="58" spans="1:22" x14ac:dyDescent="0.25">
      <c r="A58" s="133" t="s">
        <v>449</v>
      </c>
      <c r="B58" s="105"/>
      <c r="C58" s="134"/>
      <c r="D58" s="134"/>
      <c r="E58" s="135"/>
      <c r="F58" s="136"/>
      <c r="G58" s="136"/>
      <c r="H58" s="136"/>
      <c r="I58" s="136"/>
      <c r="J58" s="104"/>
      <c r="K58" s="104"/>
      <c r="L58" s="104"/>
      <c r="M58" s="105"/>
      <c r="N58" s="105"/>
      <c r="O58" s="105"/>
      <c r="P58" s="105"/>
      <c r="Q58" s="137"/>
      <c r="R58" s="134"/>
      <c r="S58" s="136"/>
      <c r="T58" s="136"/>
      <c r="U58" s="138"/>
      <c r="V58" s="138"/>
    </row>
    <row r="59" spans="1:22" x14ac:dyDescent="0.25">
      <c r="A59" s="133" t="s">
        <v>413</v>
      </c>
      <c r="B59" s="105" t="str">
        <f>CONCATENATE("TRIP_",ROW())</f>
        <v>TRIP_59</v>
      </c>
      <c r="C59" s="134" t="str">
        <f>B157</f>
        <v>JUNC_157</v>
      </c>
      <c r="D59" s="134" t="s">
        <v>418</v>
      </c>
      <c r="E59" s="135" t="s">
        <v>420</v>
      </c>
      <c r="F59" s="136"/>
      <c r="G59" s="136" t="s">
        <v>415</v>
      </c>
      <c r="H59" s="136">
        <f>B35</f>
        <v>47.249205208333336</v>
      </c>
      <c r="I59" s="136" t="s">
        <v>416</v>
      </c>
      <c r="J59" s="104"/>
      <c r="K59" s="104"/>
      <c r="L59" s="104"/>
      <c r="M59" s="105"/>
      <c r="N59" s="105"/>
      <c r="O59" s="105"/>
      <c r="P59" s="105"/>
      <c r="Q59" s="137"/>
      <c r="R59" s="134"/>
      <c r="S59" s="136"/>
      <c r="T59" s="136"/>
      <c r="U59" s="138"/>
      <c r="V59" s="138"/>
    </row>
    <row r="60" spans="1:22" x14ac:dyDescent="0.25">
      <c r="A60" s="133" t="s">
        <v>413</v>
      </c>
      <c r="B60" s="105" t="str">
        <f>CONCATENATE("TRIP_",ROW())</f>
        <v>TRIP_60</v>
      </c>
      <c r="C60" s="134" t="str">
        <f>B157</f>
        <v>JUNC_157</v>
      </c>
      <c r="D60" s="134" t="s">
        <v>418</v>
      </c>
      <c r="E60" s="135" t="s">
        <v>414</v>
      </c>
      <c r="F60" s="136"/>
      <c r="G60" s="136" t="s">
        <v>415</v>
      </c>
      <c r="H60" s="136">
        <f>H59+0.1</f>
        <v>47.349205208333338</v>
      </c>
      <c r="I60" s="136" t="s">
        <v>416</v>
      </c>
      <c r="J60" s="104"/>
      <c r="K60" s="104"/>
      <c r="L60" s="104"/>
      <c r="M60" s="105"/>
      <c r="N60" s="105"/>
      <c r="O60" s="105"/>
      <c r="P60" s="105"/>
      <c r="Q60" s="137"/>
      <c r="R60" s="134"/>
      <c r="S60" s="136"/>
      <c r="T60" s="136"/>
      <c r="U60" s="138"/>
      <c r="V60" s="138"/>
    </row>
    <row r="61" spans="1:22" x14ac:dyDescent="0.25">
      <c r="A61" s="133" t="s">
        <v>422</v>
      </c>
      <c r="B61" s="105" t="s">
        <v>450</v>
      </c>
      <c r="C61" s="134" t="str">
        <f>B54</f>
        <v>TRANSIENT_START</v>
      </c>
      <c r="D61" s="134" t="s">
        <v>423</v>
      </c>
      <c r="E61" s="135" t="str">
        <f>B59</f>
        <v>TRIP_59</v>
      </c>
      <c r="F61" s="136" t="s">
        <v>416</v>
      </c>
      <c r="G61" s="136"/>
      <c r="H61" s="136"/>
      <c r="I61" s="136"/>
      <c r="J61" s="104"/>
      <c r="K61" s="104"/>
      <c r="L61" s="104"/>
      <c r="M61" s="105"/>
      <c r="N61" s="105"/>
      <c r="O61" s="105"/>
      <c r="P61" s="105"/>
      <c r="Q61" s="137"/>
      <c r="R61" s="134"/>
      <c r="S61" s="136"/>
      <c r="T61" s="136"/>
      <c r="U61" s="138"/>
      <c r="V61" s="138"/>
    </row>
    <row r="62" spans="1:22" x14ac:dyDescent="0.25">
      <c r="A62" s="133" t="s">
        <v>422</v>
      </c>
      <c r="B62" s="105" t="s">
        <v>451</v>
      </c>
      <c r="C62" s="134" t="str">
        <f>B54</f>
        <v>TRANSIENT_START</v>
      </c>
      <c r="D62" s="134" t="s">
        <v>423</v>
      </c>
      <c r="E62" s="135" t="str">
        <f>B60</f>
        <v>TRIP_60</v>
      </c>
      <c r="F62" s="136" t="s">
        <v>416</v>
      </c>
      <c r="G62" s="136"/>
      <c r="H62" s="136"/>
      <c r="I62" s="136"/>
      <c r="J62" s="104"/>
      <c r="K62" s="104"/>
      <c r="L62" s="104"/>
      <c r="M62" s="105"/>
      <c r="N62" s="105"/>
      <c r="O62" s="105"/>
      <c r="P62" s="105"/>
      <c r="Q62" s="137"/>
      <c r="R62" s="134"/>
      <c r="S62" s="136"/>
      <c r="T62" s="136"/>
      <c r="U62" s="138"/>
      <c r="V62" s="138"/>
    </row>
    <row r="63" spans="1:22" x14ac:dyDescent="0.25">
      <c r="A63" s="133"/>
      <c r="B63" s="105"/>
      <c r="C63" s="134"/>
      <c r="D63" s="134"/>
      <c r="E63" s="135"/>
      <c r="F63" s="136"/>
      <c r="G63" s="136"/>
      <c r="H63" s="136"/>
      <c r="I63" s="136"/>
      <c r="J63" s="104"/>
      <c r="K63" s="104"/>
      <c r="L63" s="104"/>
      <c r="M63" s="105"/>
      <c r="N63" s="105"/>
      <c r="O63" s="105"/>
      <c r="P63" s="105"/>
      <c r="Q63" s="137"/>
      <c r="R63" s="134"/>
      <c r="S63" s="136"/>
      <c r="T63" s="136"/>
      <c r="U63" s="138"/>
      <c r="V63" s="138"/>
    </row>
    <row r="64" spans="1:22" x14ac:dyDescent="0.25">
      <c r="A64" s="133" t="s">
        <v>455</v>
      </c>
      <c r="B64" s="105"/>
      <c r="C64" s="134"/>
      <c r="D64" s="134"/>
      <c r="E64" s="135"/>
      <c r="F64" s="136"/>
      <c r="G64" s="136"/>
      <c r="H64" s="136"/>
      <c r="I64" s="136"/>
      <c r="J64" s="104"/>
      <c r="K64" s="104"/>
      <c r="L64" s="104"/>
      <c r="M64" s="105"/>
      <c r="N64" s="105"/>
      <c r="O64" s="105"/>
      <c r="P64" s="105"/>
      <c r="Q64" s="137"/>
      <c r="R64" s="134"/>
      <c r="S64" s="136"/>
      <c r="T64" s="136"/>
      <c r="U64" s="138"/>
      <c r="V64" s="138"/>
    </row>
    <row r="65" spans="1:24" x14ac:dyDescent="0.25">
      <c r="A65" s="133" t="s">
        <v>413</v>
      </c>
      <c r="B65" s="105" t="s">
        <v>456</v>
      </c>
      <c r="C65" s="134"/>
      <c r="D65" s="134" t="s">
        <v>417</v>
      </c>
      <c r="E65" s="135" t="s">
        <v>414</v>
      </c>
      <c r="F65" s="136"/>
      <c r="G65" s="136" t="s">
        <v>415</v>
      </c>
      <c r="H65" s="136">
        <v>500</v>
      </c>
      <c r="I65" s="136" t="s">
        <v>416</v>
      </c>
      <c r="J65" s="104"/>
      <c r="K65" s="104"/>
      <c r="L65" s="104"/>
      <c r="M65" s="105"/>
      <c r="N65" s="105"/>
      <c r="O65" s="105"/>
      <c r="P65" s="105"/>
      <c r="Q65" s="137"/>
      <c r="R65" s="134"/>
      <c r="S65" s="136"/>
      <c r="T65" s="136"/>
      <c r="U65" s="138"/>
      <c r="V65" s="138"/>
    </row>
    <row r="66" spans="1:24" x14ac:dyDescent="0.25">
      <c r="A66" s="133"/>
      <c r="B66" s="105"/>
      <c r="C66" s="134"/>
      <c r="D66" s="134"/>
      <c r="E66" s="135"/>
      <c r="F66" s="136"/>
      <c r="G66" s="136"/>
      <c r="H66" s="136"/>
      <c r="I66" s="136"/>
      <c r="J66" s="104"/>
      <c r="K66" s="104"/>
      <c r="L66" s="104"/>
      <c r="M66" s="105"/>
      <c r="N66" s="105"/>
      <c r="O66" s="105"/>
      <c r="P66" s="105"/>
      <c r="Q66" s="137"/>
      <c r="R66" s="134"/>
      <c r="S66" s="136"/>
      <c r="T66" s="136"/>
      <c r="U66" s="138"/>
      <c r="V66" s="138"/>
    </row>
    <row r="67" spans="1:24" x14ac:dyDescent="0.25">
      <c r="A67" s="104" t="s">
        <v>34</v>
      </c>
      <c r="B67" s="105" t="s">
        <v>376</v>
      </c>
      <c r="C67" s="134"/>
      <c r="D67" s="134"/>
      <c r="E67" s="135"/>
      <c r="F67" s="136"/>
      <c r="G67" s="136"/>
      <c r="H67" s="136"/>
      <c r="I67" s="136"/>
      <c r="J67" s="104"/>
      <c r="K67" s="104"/>
      <c r="L67" s="104"/>
      <c r="M67" s="105"/>
      <c r="N67" s="105"/>
      <c r="O67" s="105"/>
      <c r="P67" s="105"/>
      <c r="Q67" s="137"/>
      <c r="R67" s="134"/>
      <c r="S67" s="136"/>
      <c r="T67" s="136"/>
      <c r="U67" s="138"/>
      <c r="V67" s="138"/>
    </row>
    <row r="68" spans="1:24" x14ac:dyDescent="0.25">
      <c r="A68" s="133" t="s">
        <v>34</v>
      </c>
      <c r="B68" s="105" t="str">
        <f>INDEX(TestMatrixVariableValues, CurrentIndex,MATCH("HeatStruct",TestMatrixVariableNames,0))</f>
        <v>HeatStructs.inc</v>
      </c>
      <c r="C68" s="134"/>
      <c r="D68" s="134"/>
      <c r="E68" s="135"/>
      <c r="F68" s="136"/>
      <c r="G68" s="136"/>
      <c r="H68" s="136"/>
      <c r="I68" s="136"/>
      <c r="J68" s="104"/>
      <c r="K68" s="104"/>
      <c r="L68" s="104"/>
      <c r="M68" s="105"/>
      <c r="N68" s="105"/>
      <c r="O68" s="105"/>
      <c r="P68" s="105"/>
      <c r="Q68" s="137"/>
      <c r="R68" s="134"/>
      <c r="S68" s="136"/>
      <c r="T68" s="136"/>
      <c r="U68" s="138"/>
      <c r="V68" s="138"/>
    </row>
    <row r="69" spans="1:24"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4" x14ac:dyDescent="0.25">
      <c r="A70" s="104" t="s">
        <v>396</v>
      </c>
      <c r="B70" s="105"/>
      <c r="C70" s="134"/>
      <c r="D70" s="134"/>
      <c r="E70" s="135"/>
      <c r="F70" s="136"/>
      <c r="G70" s="136"/>
      <c r="H70" s="136"/>
      <c r="I70" s="136"/>
      <c r="J70" s="104"/>
      <c r="K70" s="104"/>
      <c r="L70" s="104"/>
      <c r="M70" s="105"/>
      <c r="N70" s="105"/>
      <c r="O70" s="105"/>
      <c r="P70" s="105"/>
      <c r="Q70" s="137"/>
      <c r="R70" s="134"/>
      <c r="S70" s="136"/>
      <c r="T70" s="136"/>
      <c r="U70" s="138"/>
      <c r="V70" s="138"/>
    </row>
    <row r="71" spans="1:24" x14ac:dyDescent="0.25">
      <c r="A71" s="104" t="s">
        <v>35</v>
      </c>
      <c r="B71" s="105">
        <v>100</v>
      </c>
      <c r="C71" s="134"/>
      <c r="D71" s="134"/>
      <c r="E71" s="135"/>
      <c r="F71" s="136"/>
      <c r="G71" s="136"/>
      <c r="H71" s="136"/>
      <c r="I71" s="136"/>
      <c r="J71" s="104"/>
      <c r="K71" s="104"/>
      <c r="L71" s="104"/>
      <c r="M71" s="105"/>
      <c r="N71" s="105"/>
      <c r="O71" s="105"/>
      <c r="P71" s="105"/>
      <c r="Q71" s="137"/>
      <c r="R71" s="134"/>
      <c r="S71" s="136"/>
      <c r="T71" s="136"/>
      <c r="U71" s="138"/>
      <c r="V71" s="138"/>
    </row>
    <row r="72" spans="1:24" x14ac:dyDescent="0.25">
      <c r="A72" s="104" t="s">
        <v>36</v>
      </c>
      <c r="B72" s="105">
        <f>B26*100000</f>
        <v>8500000</v>
      </c>
      <c r="C72" s="134">
        <f>273.15+20</f>
        <v>293.14999999999998</v>
      </c>
      <c r="D72" s="134"/>
      <c r="E72" s="135"/>
      <c r="F72" s="136"/>
      <c r="G72" s="136"/>
      <c r="H72" s="136"/>
      <c r="I72" s="136"/>
      <c r="J72" s="104"/>
      <c r="K72" s="104"/>
      <c r="L72" s="104"/>
      <c r="M72" s="105"/>
      <c r="N72" s="105"/>
      <c r="O72" s="105"/>
      <c r="P72" s="105"/>
      <c r="Q72" s="137"/>
      <c r="R72" s="134"/>
      <c r="S72" s="136"/>
      <c r="T72" s="136"/>
      <c r="U72" s="138"/>
      <c r="V72" s="138"/>
    </row>
    <row r="73" spans="1:24" x14ac:dyDescent="0.25">
      <c r="A73" s="104" t="s">
        <v>37</v>
      </c>
      <c r="B73" s="105" t="str">
        <f>CONCATENATE("TMDV_",ROW())</f>
        <v>TMDV_73</v>
      </c>
      <c r="C73" s="134">
        <v>1</v>
      </c>
      <c r="D73" s="134" t="s">
        <v>38</v>
      </c>
      <c r="E73" s="135">
        <v>1</v>
      </c>
      <c r="F73" s="136">
        <v>0</v>
      </c>
      <c r="G73" s="136">
        <v>0</v>
      </c>
      <c r="H73" s="136" t="s">
        <v>38</v>
      </c>
      <c r="I73" s="136" t="s">
        <v>38</v>
      </c>
      <c r="J73" s="104" t="s">
        <v>340</v>
      </c>
      <c r="K73" s="104" t="s">
        <v>38</v>
      </c>
      <c r="L73" s="104" t="s">
        <v>38</v>
      </c>
      <c r="M73" s="105" t="s">
        <v>38</v>
      </c>
      <c r="N73" s="105" t="s">
        <v>38</v>
      </c>
      <c r="O73" s="105" t="s">
        <v>38</v>
      </c>
      <c r="P73" s="105" t="s">
        <v>38</v>
      </c>
      <c r="Q73" s="137">
        <f>$B$26*100000</f>
        <v>8500000</v>
      </c>
      <c r="R73" s="134">
        <f>273.15+$B$27</f>
        <v>567.70555555555552</v>
      </c>
      <c r="S73" s="136" t="s">
        <v>38</v>
      </c>
      <c r="T73" s="136" t="s">
        <v>38</v>
      </c>
      <c r="U73" s="138" t="s">
        <v>38</v>
      </c>
      <c r="V73" s="138" t="s">
        <v>38</v>
      </c>
      <c r="X73" s="15">
        <f>98.78+0.61</f>
        <v>99.39</v>
      </c>
    </row>
    <row r="74" spans="1:24" x14ac:dyDescent="0.25">
      <c r="A74" s="104"/>
      <c r="B74" s="105"/>
      <c r="C74" s="134"/>
      <c r="D74" s="134"/>
      <c r="E74" s="135"/>
      <c r="F74" s="136"/>
      <c r="G74" s="136"/>
      <c r="H74" s="136"/>
      <c r="I74" s="136"/>
      <c r="J74" s="104"/>
      <c r="K74" s="104"/>
      <c r="L74" s="104"/>
      <c r="M74" s="105"/>
      <c r="N74" s="105"/>
      <c r="O74" s="105"/>
      <c r="P74" s="105"/>
      <c r="Q74" s="137"/>
      <c r="R74" s="134"/>
      <c r="S74" s="136"/>
      <c r="T74" s="136"/>
      <c r="U74" s="138"/>
      <c r="V74" s="138"/>
      <c r="X74" s="15">
        <f t="shared" ref="X74:X147" si="1">IF(OR(A74="Pipe", A74="Tmdpvol"), X73+C74*SIN(F74*PI()/180), X73)</f>
        <v>99.39</v>
      </c>
    </row>
    <row r="75" spans="1:24" x14ac:dyDescent="0.25">
      <c r="A75" s="104" t="s">
        <v>39</v>
      </c>
      <c r="B75" s="105" t="str">
        <f>CONCATENATE("JUNC_",ROW())</f>
        <v>JUNC_75</v>
      </c>
      <c r="C75" s="134" t="s">
        <v>38</v>
      </c>
      <c r="D75" s="134" t="s">
        <v>38</v>
      </c>
      <c r="E75" s="135">
        <f>(88.9-2*11.13)^2*PI()/4*0.001^2</f>
        <v>3.487866535690829E-3</v>
      </c>
      <c r="F75" s="136" t="s">
        <v>38</v>
      </c>
      <c r="G75" s="136" t="s">
        <v>38</v>
      </c>
      <c r="H75" s="136">
        <v>0</v>
      </c>
      <c r="I75" s="136">
        <v>0</v>
      </c>
      <c r="J75" s="104" t="s">
        <v>269</v>
      </c>
      <c r="K75" s="104" t="s">
        <v>38</v>
      </c>
      <c r="L75" s="104" t="s">
        <v>38</v>
      </c>
      <c r="M75" s="105" t="str">
        <f ca="1">OFFSET($A$1,ROW()-3,1)</f>
        <v>TMDV_73</v>
      </c>
      <c r="N75" s="105" t="str">
        <f ca="1">OFFSET($A$1,ROW()+1,1)</f>
        <v>PIPE_77</v>
      </c>
      <c r="O75" s="105">
        <v>2</v>
      </c>
      <c r="P75" s="105">
        <v>1</v>
      </c>
      <c r="Q75" s="137" t="s">
        <v>38</v>
      </c>
      <c r="R75" s="134" t="s">
        <v>38</v>
      </c>
      <c r="S75" s="136" t="s">
        <v>38</v>
      </c>
      <c r="T75" s="136" t="s">
        <v>38</v>
      </c>
      <c r="U75" s="138" t="s">
        <v>38</v>
      </c>
      <c r="V75" s="138" t="s">
        <v>38</v>
      </c>
      <c r="X75" s="15">
        <f t="shared" si="1"/>
        <v>99.39</v>
      </c>
    </row>
    <row r="76" spans="1:24" x14ac:dyDescent="0.25">
      <c r="A76" s="104"/>
      <c r="B76" s="105"/>
      <c r="C76" s="134"/>
      <c r="D76" s="134"/>
      <c r="E76" s="135"/>
      <c r="F76" s="136"/>
      <c r="G76" s="136"/>
      <c r="H76" s="136"/>
      <c r="I76" s="136"/>
      <c r="J76" s="104"/>
      <c r="K76" s="104"/>
      <c r="L76" s="104"/>
      <c r="M76" s="105"/>
      <c r="N76" s="105"/>
      <c r="O76" s="105"/>
      <c r="P76" s="105"/>
      <c r="Q76" s="137"/>
      <c r="R76" s="134"/>
      <c r="S76" s="136"/>
      <c r="T76" s="136"/>
      <c r="U76" s="138"/>
      <c r="V76" s="138"/>
      <c r="X76" s="15">
        <f t="shared" si="1"/>
        <v>99.39</v>
      </c>
    </row>
    <row r="77" spans="1:24" x14ac:dyDescent="0.25">
      <c r="A77" s="104" t="s">
        <v>41</v>
      </c>
      <c r="B77" s="105" t="str">
        <f t="shared" ref="B77:B91" si="2">CONCATENATE("PIPE_",ROW())</f>
        <v>PIPE_77</v>
      </c>
      <c r="C77" s="134">
        <v>0.61</v>
      </c>
      <c r="D77" s="134">
        <f>dx</f>
        <v>0.2</v>
      </c>
      <c r="E77" s="135">
        <f>(88.9-2*11.13)^2*PI()/4*0.001^2</f>
        <v>3.487866535690829E-3</v>
      </c>
      <c r="F77" s="136">
        <v>-90</v>
      </c>
      <c r="G77" s="136">
        <v>0</v>
      </c>
      <c r="H77" s="136">
        <v>0</v>
      </c>
      <c r="I77" s="136">
        <v>0</v>
      </c>
      <c r="J77" s="104" t="s">
        <v>41</v>
      </c>
      <c r="K77" s="104" t="s">
        <v>38</v>
      </c>
      <c r="L77" s="104" t="s">
        <v>38</v>
      </c>
      <c r="M77" s="105" t="s">
        <v>38</v>
      </c>
      <c r="N77" s="105" t="s">
        <v>38</v>
      </c>
      <c r="O77" s="105" t="s">
        <v>38</v>
      </c>
      <c r="P77" s="105" t="s">
        <v>38</v>
      </c>
      <c r="Q77" s="137">
        <f>roughness</f>
        <v>4.5000000000000003E-5</v>
      </c>
      <c r="R77" s="134" t="s">
        <v>38</v>
      </c>
      <c r="S77" s="136" t="s">
        <v>38</v>
      </c>
      <c r="T77" s="136" t="s">
        <v>38</v>
      </c>
      <c r="U77" s="138" t="s">
        <v>38</v>
      </c>
      <c r="V77" s="138" t="s">
        <v>38</v>
      </c>
      <c r="X77" s="15">
        <f t="shared" si="1"/>
        <v>98.78</v>
      </c>
    </row>
    <row r="78" spans="1:24" x14ac:dyDescent="0.25">
      <c r="A78" s="104" t="s">
        <v>41</v>
      </c>
      <c r="B78" s="105" t="str">
        <f t="shared" si="2"/>
        <v>PIPE_78</v>
      </c>
      <c r="C78" s="134">
        <v>0.35</v>
      </c>
      <c r="D78" s="134">
        <f>dx</f>
        <v>0.2</v>
      </c>
      <c r="E78" s="135">
        <f>(88.9-2*11.13)^2*PI()/4*0.001^2</f>
        <v>3.487866535690829E-3</v>
      </c>
      <c r="F78" s="136">
        <v>0</v>
      </c>
      <c r="G78" s="136">
        <v>0</v>
      </c>
      <c r="H78" s="136">
        <v>0</v>
      </c>
      <c r="I78" s="136">
        <v>0</v>
      </c>
      <c r="J78" s="104" t="s">
        <v>41</v>
      </c>
      <c r="K78" s="104" t="s">
        <v>38</v>
      </c>
      <c r="L78" s="104" t="s">
        <v>38</v>
      </c>
      <c r="M78" s="105" t="s">
        <v>38</v>
      </c>
      <c r="N78" s="105" t="s">
        <v>38</v>
      </c>
      <c r="O78" s="105" t="s">
        <v>38</v>
      </c>
      <c r="P78" s="105" t="s">
        <v>38</v>
      </c>
      <c r="Q78" s="137">
        <f>roughness</f>
        <v>4.5000000000000003E-5</v>
      </c>
      <c r="R78" s="134" t="s">
        <v>38</v>
      </c>
      <c r="S78" s="136" t="s">
        <v>38</v>
      </c>
      <c r="T78" s="136" t="s">
        <v>38</v>
      </c>
      <c r="U78" s="138" t="s">
        <v>38</v>
      </c>
      <c r="V78" s="138" t="s">
        <v>38</v>
      </c>
      <c r="X78" s="15">
        <f t="shared" si="1"/>
        <v>98.78</v>
      </c>
    </row>
    <row r="79" spans="1:24" x14ac:dyDescent="0.25">
      <c r="A79" s="104"/>
      <c r="B79" s="105"/>
      <c r="C79" s="134"/>
      <c r="D79" s="134"/>
      <c r="E79" s="135"/>
      <c r="F79" s="136"/>
      <c r="G79" s="136"/>
      <c r="H79" s="136"/>
      <c r="I79" s="136"/>
      <c r="J79" s="104"/>
      <c r="K79" s="104"/>
      <c r="L79" s="104"/>
      <c r="M79" s="105"/>
      <c r="N79" s="105"/>
      <c r="O79" s="105"/>
      <c r="P79" s="105"/>
      <c r="Q79" s="137"/>
      <c r="R79" s="134"/>
      <c r="S79" s="136"/>
      <c r="T79" s="136"/>
      <c r="U79" s="138"/>
      <c r="V79" s="138"/>
      <c r="X79" s="15">
        <f t="shared" si="1"/>
        <v>98.78</v>
      </c>
    </row>
    <row r="80" spans="1:24" x14ac:dyDescent="0.25">
      <c r="A80" s="104" t="s">
        <v>39</v>
      </c>
      <c r="B80" s="105" t="str">
        <f>CONCATENATE("JUNC_",ROW())</f>
        <v>JUNC_80</v>
      </c>
      <c r="C80" s="134" t="s">
        <v>38</v>
      </c>
      <c r="D80" s="134" t="s">
        <v>38</v>
      </c>
      <c r="E80" s="135">
        <v>0</v>
      </c>
      <c r="F80" s="136" t="s">
        <v>38</v>
      </c>
      <c r="G80" s="136" t="s">
        <v>38</v>
      </c>
      <c r="H80" s="136">
        <v>0</v>
      </c>
      <c r="I80" s="136">
        <v>0</v>
      </c>
      <c r="J80" s="104" t="s">
        <v>269</v>
      </c>
      <c r="K80" s="104" t="s">
        <v>38</v>
      </c>
      <c r="L80" s="104" t="s">
        <v>38</v>
      </c>
      <c r="M80" s="105" t="str">
        <f ca="1">OFFSET($A$1,ROW()-3,1)</f>
        <v>PIPE_78</v>
      </c>
      <c r="N80" s="105" t="str">
        <f>B217</f>
        <v>PIPE_217</v>
      </c>
      <c r="O80" s="105">
        <v>2</v>
      </c>
      <c r="P80" s="105">
        <v>1</v>
      </c>
      <c r="Q80" s="137" t="s">
        <v>38</v>
      </c>
      <c r="R80" s="134" t="s">
        <v>38</v>
      </c>
      <c r="S80" s="136" t="s">
        <v>38</v>
      </c>
      <c r="T80" s="136" t="s">
        <v>38</v>
      </c>
      <c r="U80" s="138" t="s">
        <v>38</v>
      </c>
      <c r="V80" s="138" t="s">
        <v>38</v>
      </c>
      <c r="W80" s="11">
        <v>98.78</v>
      </c>
      <c r="X80" s="15">
        <f t="shared" si="1"/>
        <v>98.78</v>
      </c>
    </row>
    <row r="81" spans="1:25" x14ac:dyDescent="0.25">
      <c r="A81" s="104" t="s">
        <v>341</v>
      </c>
      <c r="B81" s="105"/>
      <c r="C81" s="134"/>
      <c r="D81" s="134"/>
      <c r="E81" s="135"/>
      <c r="F81" s="136"/>
      <c r="G81" s="136"/>
      <c r="H81" s="136"/>
      <c r="I81" s="136"/>
      <c r="J81" s="104"/>
      <c r="K81" s="104"/>
      <c r="L81" s="104"/>
      <c r="M81" s="105"/>
      <c r="N81" s="105"/>
      <c r="O81" s="105"/>
      <c r="P81" s="105"/>
      <c r="Q81" s="137"/>
      <c r="R81" s="134"/>
      <c r="S81" s="136"/>
      <c r="T81" s="136"/>
      <c r="U81" s="138"/>
      <c r="V81" s="138"/>
    </row>
    <row r="82" spans="1:25" x14ac:dyDescent="0.25">
      <c r="A82" s="104" t="s">
        <v>392</v>
      </c>
      <c r="B82" s="105"/>
      <c r="C82" s="134"/>
      <c r="D82" s="134"/>
      <c r="E82" s="135"/>
      <c r="F82" s="136"/>
      <c r="G82" s="136"/>
      <c r="H82" s="136"/>
      <c r="I82" s="136"/>
      <c r="J82" s="104"/>
      <c r="K82" s="104"/>
      <c r="L82" s="104"/>
      <c r="M82" s="105"/>
      <c r="N82" s="105"/>
      <c r="O82" s="105"/>
      <c r="P82" s="105"/>
      <c r="Q82" s="137"/>
      <c r="R82" s="134"/>
      <c r="S82" s="136"/>
      <c r="T82" s="136"/>
      <c r="U82" s="138"/>
      <c r="V82" s="138"/>
    </row>
    <row r="83" spans="1:25" x14ac:dyDescent="0.25">
      <c r="A83" s="104" t="s">
        <v>35</v>
      </c>
      <c r="B83" s="105">
        <v>105</v>
      </c>
      <c r="C83" s="134"/>
      <c r="D83" s="134"/>
      <c r="E83" s="135"/>
      <c r="F83" s="136"/>
      <c r="G83" s="136"/>
      <c r="H83" s="136"/>
      <c r="I83" s="136"/>
      <c r="J83" s="104"/>
      <c r="K83" s="104"/>
      <c r="L83" s="104"/>
      <c r="M83" s="105"/>
      <c r="N83" s="105"/>
      <c r="O83" s="105"/>
      <c r="P83" s="105"/>
      <c r="Q83" s="137"/>
      <c r="R83" s="134"/>
      <c r="S83" s="136"/>
      <c r="T83" s="136"/>
      <c r="U83" s="138"/>
      <c r="V83" s="138"/>
    </row>
    <row r="84" spans="1:25" x14ac:dyDescent="0.25">
      <c r="A84" s="104" t="s">
        <v>39</v>
      </c>
      <c r="B84" s="105" t="str">
        <f>CONCATENATE("JUNC_",ROW())</f>
        <v>JUNC_84</v>
      </c>
      <c r="C84" s="134" t="s">
        <v>38</v>
      </c>
      <c r="D84" s="134" t="s">
        <v>38</v>
      </c>
      <c r="E84" s="135">
        <v>0</v>
      </c>
      <c r="F84" s="136" t="s">
        <v>38</v>
      </c>
      <c r="G84" s="136" t="s">
        <v>38</v>
      </c>
      <c r="H84" s="136">
        <v>0</v>
      </c>
      <c r="I84" s="136">
        <v>0</v>
      </c>
      <c r="J84" s="104" t="s">
        <v>269</v>
      </c>
      <c r="K84" s="104" t="s">
        <v>38</v>
      </c>
      <c r="L84" s="104" t="s">
        <v>38</v>
      </c>
      <c r="M84" s="105" t="str">
        <f>B217</f>
        <v>PIPE_217</v>
      </c>
      <c r="N84" s="105" t="str">
        <f ca="1">OFFSET($A$1,ROW()+1,1)</f>
        <v>PIPE_86</v>
      </c>
      <c r="O84" s="105">
        <v>2</v>
      </c>
      <c r="P84" s="105">
        <v>1</v>
      </c>
      <c r="Q84" s="137" t="s">
        <v>38</v>
      </c>
      <c r="R84" s="134" t="s">
        <v>38</v>
      </c>
      <c r="S84" s="136" t="s">
        <v>38</v>
      </c>
      <c r="T84" s="136" t="s">
        <v>38</v>
      </c>
      <c r="U84" s="138" t="s">
        <v>38</v>
      </c>
      <c r="V84" s="138" t="s">
        <v>38</v>
      </c>
      <c r="X84" s="15">
        <f>X217</f>
        <v>98.78</v>
      </c>
    </row>
    <row r="85" spans="1:25" x14ac:dyDescent="0.25">
      <c r="A85" s="104"/>
      <c r="B85" s="105"/>
      <c r="C85" s="134"/>
      <c r="D85" s="134"/>
      <c r="E85" s="135"/>
      <c r="F85" s="136"/>
      <c r="G85" s="136"/>
      <c r="H85" s="136"/>
      <c r="I85" s="136"/>
      <c r="J85" s="104"/>
      <c r="K85" s="104"/>
      <c r="L85" s="104"/>
      <c r="M85" s="105"/>
      <c r="N85" s="105"/>
      <c r="O85" s="105"/>
      <c r="P85" s="105"/>
      <c r="Q85" s="137"/>
      <c r="R85" s="134"/>
      <c r="S85" s="136"/>
      <c r="T85" s="136"/>
      <c r="U85" s="138"/>
      <c r="V85" s="138"/>
      <c r="X85" s="15">
        <f t="shared" si="1"/>
        <v>98.78</v>
      </c>
    </row>
    <row r="86" spans="1:25" x14ac:dyDescent="0.25">
      <c r="A86" s="104" t="s">
        <v>41</v>
      </c>
      <c r="B86" s="105" t="str">
        <f t="shared" si="2"/>
        <v>PIPE_86</v>
      </c>
      <c r="C86" s="134">
        <v>0.6</v>
      </c>
      <c r="D86" s="134">
        <f t="shared" ref="D86:D91" si="3">dx</f>
        <v>0.2</v>
      </c>
      <c r="E86" s="135">
        <f t="shared" ref="E86:E91" si="4">(88.9-2*11.13)^2*PI()/4*0.001^2</f>
        <v>3.487866535690829E-3</v>
      </c>
      <c r="F86" s="136">
        <v>90</v>
      </c>
      <c r="G86" s="136">
        <v>0</v>
      </c>
      <c r="H86" s="136">
        <v>0</v>
      </c>
      <c r="I86" s="136">
        <v>0</v>
      </c>
      <c r="J86" s="104" t="s">
        <v>41</v>
      </c>
      <c r="K86" s="104" t="s">
        <v>38</v>
      </c>
      <c r="L86" s="104" t="s">
        <v>38</v>
      </c>
      <c r="M86" s="105" t="s">
        <v>38</v>
      </c>
      <c r="N86" s="105" t="s">
        <v>38</v>
      </c>
      <c r="O86" s="105" t="s">
        <v>38</v>
      </c>
      <c r="P86" s="105" t="s">
        <v>38</v>
      </c>
      <c r="Q86" s="137">
        <f t="shared" ref="Q86:Q91" si="5">roughness</f>
        <v>4.5000000000000003E-5</v>
      </c>
      <c r="R86" s="134" t="s">
        <v>38</v>
      </c>
      <c r="S86" s="136" t="s">
        <v>38</v>
      </c>
      <c r="T86" s="136" t="s">
        <v>38</v>
      </c>
      <c r="U86" s="138" t="s">
        <v>38</v>
      </c>
      <c r="V86" s="138" t="s">
        <v>38</v>
      </c>
      <c r="X86" s="15">
        <f t="shared" si="1"/>
        <v>99.38</v>
      </c>
    </row>
    <row r="87" spans="1:25" x14ac:dyDescent="0.25">
      <c r="A87" s="104" t="s">
        <v>41</v>
      </c>
      <c r="B87" s="105" t="str">
        <f t="shared" si="2"/>
        <v>PIPE_87</v>
      </c>
      <c r="C87" s="134">
        <v>0.4</v>
      </c>
      <c r="D87" s="134">
        <f t="shared" si="3"/>
        <v>0.2</v>
      </c>
      <c r="E87" s="135">
        <f t="shared" si="4"/>
        <v>3.487866535690829E-3</v>
      </c>
      <c r="F87" s="136">
        <v>0</v>
      </c>
      <c r="G87" s="136">
        <v>0</v>
      </c>
      <c r="H87" s="136">
        <v>0</v>
      </c>
      <c r="I87" s="136">
        <v>0</v>
      </c>
      <c r="J87" s="104" t="s">
        <v>41</v>
      </c>
      <c r="K87" s="104" t="s">
        <v>38</v>
      </c>
      <c r="L87" s="104" t="s">
        <v>38</v>
      </c>
      <c r="M87" s="105" t="s">
        <v>38</v>
      </c>
      <c r="N87" s="105" t="s">
        <v>38</v>
      </c>
      <c r="O87" s="105" t="s">
        <v>38</v>
      </c>
      <c r="P87" s="105" t="s">
        <v>38</v>
      </c>
      <c r="Q87" s="137">
        <f t="shared" si="5"/>
        <v>4.5000000000000003E-5</v>
      </c>
      <c r="R87" s="134" t="s">
        <v>38</v>
      </c>
      <c r="S87" s="136" t="s">
        <v>38</v>
      </c>
      <c r="T87" s="136" t="s">
        <v>38</v>
      </c>
      <c r="U87" s="138" t="s">
        <v>38</v>
      </c>
      <c r="V87" s="138" t="s">
        <v>38</v>
      </c>
      <c r="X87" s="15">
        <f t="shared" si="1"/>
        <v>99.38</v>
      </c>
    </row>
    <row r="88" spans="1:25" x14ac:dyDescent="0.25">
      <c r="A88" s="104" t="s">
        <v>41</v>
      </c>
      <c r="B88" s="105" t="str">
        <f t="shared" si="2"/>
        <v>PIPE_88</v>
      </c>
      <c r="C88" s="134">
        <v>2.0299999999999998</v>
      </c>
      <c r="D88" s="134">
        <f t="shared" si="3"/>
        <v>0.2</v>
      </c>
      <c r="E88" s="135">
        <f t="shared" si="4"/>
        <v>3.487866535690829E-3</v>
      </c>
      <c r="F88" s="136">
        <v>-90</v>
      </c>
      <c r="G88" s="136">
        <v>0</v>
      </c>
      <c r="H88" s="136">
        <v>0</v>
      </c>
      <c r="I88" s="136">
        <v>0</v>
      </c>
      <c r="J88" s="104" t="s">
        <v>41</v>
      </c>
      <c r="K88" s="104" t="s">
        <v>38</v>
      </c>
      <c r="L88" s="104" t="s">
        <v>38</v>
      </c>
      <c r="M88" s="105" t="s">
        <v>38</v>
      </c>
      <c r="N88" s="105" t="s">
        <v>38</v>
      </c>
      <c r="O88" s="105" t="s">
        <v>38</v>
      </c>
      <c r="P88" s="105" t="s">
        <v>38</v>
      </c>
      <c r="Q88" s="137">
        <f t="shared" si="5"/>
        <v>4.5000000000000003E-5</v>
      </c>
      <c r="R88" s="134" t="s">
        <v>38</v>
      </c>
      <c r="S88" s="136" t="s">
        <v>38</v>
      </c>
      <c r="T88" s="136" t="s">
        <v>38</v>
      </c>
      <c r="U88" s="138" t="s">
        <v>38</v>
      </c>
      <c r="V88" s="138" t="s">
        <v>38</v>
      </c>
      <c r="X88" s="15">
        <f t="shared" si="1"/>
        <v>97.35</v>
      </c>
    </row>
    <row r="89" spans="1:25" x14ac:dyDescent="0.25">
      <c r="A89" s="104" t="s">
        <v>41</v>
      </c>
      <c r="B89" s="105" t="str">
        <f t="shared" si="2"/>
        <v>PIPE_89</v>
      </c>
      <c r="C89" s="134">
        <v>0.4</v>
      </c>
      <c r="D89" s="134">
        <f t="shared" si="3"/>
        <v>0.2</v>
      </c>
      <c r="E89" s="135">
        <f t="shared" si="4"/>
        <v>3.487866535690829E-3</v>
      </c>
      <c r="F89" s="136">
        <v>0</v>
      </c>
      <c r="G89" s="136">
        <v>0</v>
      </c>
      <c r="H89" s="136">
        <v>0</v>
      </c>
      <c r="I89" s="136">
        <v>0</v>
      </c>
      <c r="J89" s="104" t="s">
        <v>41</v>
      </c>
      <c r="K89" s="104" t="s">
        <v>38</v>
      </c>
      <c r="L89" s="104" t="s">
        <v>38</v>
      </c>
      <c r="M89" s="105" t="s">
        <v>38</v>
      </c>
      <c r="N89" s="105" t="s">
        <v>38</v>
      </c>
      <c r="O89" s="105" t="s">
        <v>38</v>
      </c>
      <c r="P89" s="105" t="s">
        <v>38</v>
      </c>
      <c r="Q89" s="137">
        <f t="shared" si="5"/>
        <v>4.5000000000000003E-5</v>
      </c>
      <c r="R89" s="134" t="s">
        <v>38</v>
      </c>
      <c r="S89" s="136" t="s">
        <v>38</v>
      </c>
      <c r="T89" s="136" t="s">
        <v>38</v>
      </c>
      <c r="U89" s="138" t="s">
        <v>38</v>
      </c>
      <c r="V89" s="138" t="s">
        <v>38</v>
      </c>
      <c r="X89" s="15">
        <f t="shared" si="1"/>
        <v>97.35</v>
      </c>
    </row>
    <row r="90" spans="1:25" x14ac:dyDescent="0.25">
      <c r="A90" s="104" t="s">
        <v>41</v>
      </c>
      <c r="B90" s="105" t="str">
        <f t="shared" si="2"/>
        <v>PIPE_90</v>
      </c>
      <c r="C90" s="134">
        <v>0.6</v>
      </c>
      <c r="D90" s="134">
        <f t="shared" si="3"/>
        <v>0.2</v>
      </c>
      <c r="E90" s="135">
        <f t="shared" si="4"/>
        <v>3.487866535690829E-3</v>
      </c>
      <c r="F90" s="136">
        <v>90</v>
      </c>
      <c r="G90" s="136">
        <v>0</v>
      </c>
      <c r="H90" s="136">
        <v>0</v>
      </c>
      <c r="I90" s="136">
        <v>0</v>
      </c>
      <c r="J90" s="104" t="s">
        <v>41</v>
      </c>
      <c r="K90" s="104" t="s">
        <v>38</v>
      </c>
      <c r="L90" s="104" t="s">
        <v>38</v>
      </c>
      <c r="M90" s="105" t="s">
        <v>38</v>
      </c>
      <c r="N90" s="105" t="s">
        <v>38</v>
      </c>
      <c r="O90" s="105" t="s">
        <v>38</v>
      </c>
      <c r="P90" s="105" t="s">
        <v>38</v>
      </c>
      <c r="Q90" s="137">
        <f t="shared" si="5"/>
        <v>4.5000000000000003E-5</v>
      </c>
      <c r="R90" s="134" t="s">
        <v>38</v>
      </c>
      <c r="S90" s="136" t="s">
        <v>38</v>
      </c>
      <c r="T90" s="136" t="s">
        <v>38</v>
      </c>
      <c r="U90" s="138" t="s">
        <v>38</v>
      </c>
      <c r="V90" s="138" t="s">
        <v>38</v>
      </c>
      <c r="X90" s="15">
        <f t="shared" si="1"/>
        <v>97.949999999999989</v>
      </c>
    </row>
    <row r="91" spans="1:25" x14ac:dyDescent="0.25">
      <c r="A91" s="104" t="s">
        <v>41</v>
      </c>
      <c r="B91" s="105" t="str">
        <f t="shared" si="2"/>
        <v>PIPE_91</v>
      </c>
      <c r="C91" s="134">
        <v>0.2</v>
      </c>
      <c r="D91" s="134">
        <f t="shared" si="3"/>
        <v>0.2</v>
      </c>
      <c r="E91" s="135">
        <f t="shared" si="4"/>
        <v>3.487866535690829E-3</v>
      </c>
      <c r="F91" s="136">
        <v>0</v>
      </c>
      <c r="G91" s="136">
        <v>0</v>
      </c>
      <c r="H91" s="136">
        <v>0</v>
      </c>
      <c r="I91" s="136">
        <v>0</v>
      </c>
      <c r="J91" s="104" t="s">
        <v>41</v>
      </c>
      <c r="K91" s="104" t="s">
        <v>38</v>
      </c>
      <c r="L91" s="104" t="s">
        <v>38</v>
      </c>
      <c r="M91" s="105" t="s">
        <v>38</v>
      </c>
      <c r="N91" s="105" t="s">
        <v>38</v>
      </c>
      <c r="O91" s="105" t="s">
        <v>38</v>
      </c>
      <c r="P91" s="105" t="s">
        <v>38</v>
      </c>
      <c r="Q91" s="137">
        <f t="shared" si="5"/>
        <v>4.5000000000000003E-5</v>
      </c>
      <c r="R91" s="134" t="s">
        <v>38</v>
      </c>
      <c r="S91" s="136" t="s">
        <v>38</v>
      </c>
      <c r="T91" s="136" t="s">
        <v>38</v>
      </c>
      <c r="U91" s="138" t="s">
        <v>38</v>
      </c>
      <c r="V91" s="138" t="s">
        <v>38</v>
      </c>
      <c r="X91" s="15">
        <f t="shared" si="1"/>
        <v>97.949999999999989</v>
      </c>
    </row>
    <row r="92" spans="1:25" x14ac:dyDescent="0.25">
      <c r="A92" s="104"/>
      <c r="B92" s="105"/>
      <c r="C92" s="134"/>
      <c r="D92" s="134"/>
      <c r="E92" s="135"/>
      <c r="F92" s="136"/>
      <c r="G92" s="136"/>
      <c r="H92" s="136"/>
      <c r="I92" s="136"/>
      <c r="J92" s="104"/>
      <c r="K92" s="104"/>
      <c r="L92" s="104"/>
      <c r="M92" s="105"/>
      <c r="N92" s="105"/>
      <c r="O92" s="105"/>
      <c r="P92" s="105"/>
      <c r="Q92" s="137"/>
      <c r="R92" s="134"/>
      <c r="S92" s="136"/>
      <c r="T92" s="136"/>
      <c r="U92" s="138"/>
      <c r="V92" s="138"/>
      <c r="X92" s="15">
        <f t="shared" si="1"/>
        <v>97.949999999999989</v>
      </c>
    </row>
    <row r="93" spans="1:25" x14ac:dyDescent="0.25">
      <c r="A93" s="104" t="s">
        <v>39</v>
      </c>
      <c r="B93" s="105" t="str">
        <f>CONCATENATE("JUNC_",ROW())</f>
        <v>JUNC_93</v>
      </c>
      <c r="C93" s="134" t="s">
        <v>38</v>
      </c>
      <c r="D93" s="134" t="s">
        <v>38</v>
      </c>
      <c r="E93" s="135">
        <v>0</v>
      </c>
      <c r="F93" s="136" t="s">
        <v>38</v>
      </c>
      <c r="G93" s="136" t="s">
        <v>38</v>
      </c>
      <c r="H93" s="136">
        <v>0</v>
      </c>
      <c r="I93" s="136">
        <v>0</v>
      </c>
      <c r="J93" s="104" t="s">
        <v>269</v>
      </c>
      <c r="K93" s="104" t="s">
        <v>38</v>
      </c>
      <c r="L93" s="104" t="s">
        <v>38</v>
      </c>
      <c r="M93" s="105" t="str">
        <f ca="1">OFFSET($A$1,ROW()-3,1)</f>
        <v>PIPE_91</v>
      </c>
      <c r="N93" s="105" t="str">
        <f>B253</f>
        <v>PIPE_253</v>
      </c>
      <c r="O93" s="105">
        <v>2</v>
      </c>
      <c r="P93" s="105">
        <v>1</v>
      </c>
      <c r="Q93" s="137" t="s">
        <v>38</v>
      </c>
      <c r="R93" s="134" t="s">
        <v>38</v>
      </c>
      <c r="S93" s="136" t="s">
        <v>38</v>
      </c>
      <c r="T93" s="136" t="s">
        <v>38</v>
      </c>
      <c r="U93" s="138" t="s">
        <v>38</v>
      </c>
      <c r="V93" s="138" t="s">
        <v>38</v>
      </c>
      <c r="X93" s="15">
        <f t="shared" si="1"/>
        <v>97.949999999999989</v>
      </c>
    </row>
    <row r="94" spans="1:25" x14ac:dyDescent="0.25">
      <c r="A94" s="104" t="s">
        <v>342</v>
      </c>
      <c r="B94" s="105"/>
      <c r="C94" s="134"/>
      <c r="D94" s="134"/>
      <c r="E94" s="135"/>
      <c r="F94" s="136"/>
      <c r="G94" s="136"/>
      <c r="H94" s="136"/>
      <c r="I94" s="136"/>
      <c r="J94" s="104"/>
      <c r="K94" s="104"/>
      <c r="L94" s="104"/>
      <c r="M94" s="105"/>
      <c r="N94" s="105"/>
      <c r="O94" s="105"/>
      <c r="P94" s="105"/>
      <c r="Q94" s="137"/>
      <c r="R94" s="134"/>
      <c r="S94" s="136"/>
      <c r="T94" s="136"/>
      <c r="U94" s="138"/>
      <c r="V94" s="138"/>
    </row>
    <row r="95" spans="1:25" x14ac:dyDescent="0.25">
      <c r="A95" s="104" t="s">
        <v>393</v>
      </c>
      <c r="B95" s="105"/>
      <c r="C95" s="134"/>
      <c r="D95" s="134"/>
      <c r="E95" s="135"/>
      <c r="F95" s="136"/>
      <c r="G95" s="136"/>
      <c r="H95" s="136"/>
      <c r="I95" s="136"/>
      <c r="J95" s="104"/>
      <c r="K95" s="104"/>
      <c r="L95" s="104"/>
      <c r="M95" s="105"/>
      <c r="N95" s="105"/>
      <c r="O95" s="105"/>
      <c r="P95" s="105"/>
      <c r="Q95" s="137"/>
      <c r="R95" s="134"/>
      <c r="S95" s="136"/>
      <c r="T95" s="136"/>
      <c r="U95" s="138"/>
      <c r="V95" s="138"/>
      <c r="W95" s="11">
        <v>97.95</v>
      </c>
      <c r="Y95" s="118"/>
    </row>
    <row r="96" spans="1:25" x14ac:dyDescent="0.25">
      <c r="A96" s="104" t="s">
        <v>35</v>
      </c>
      <c r="B96" s="134">
        <v>109</v>
      </c>
      <c r="C96" s="134"/>
      <c r="D96" s="134"/>
      <c r="E96" s="135"/>
      <c r="F96" s="136"/>
      <c r="G96" s="136"/>
      <c r="H96" s="136"/>
      <c r="I96" s="136"/>
      <c r="J96" s="104"/>
      <c r="K96" s="104"/>
      <c r="L96" s="104"/>
      <c r="M96" s="105"/>
      <c r="N96" s="105"/>
      <c r="O96" s="105"/>
      <c r="P96" s="105"/>
      <c r="Q96" s="137"/>
      <c r="R96" s="134"/>
      <c r="S96" s="136"/>
      <c r="T96" s="136"/>
      <c r="U96" s="138"/>
      <c r="V96" s="138"/>
    </row>
    <row r="97" spans="1:24" x14ac:dyDescent="0.25">
      <c r="A97" s="104" t="s">
        <v>39</v>
      </c>
      <c r="B97" s="134" t="str">
        <f>CONCATENATE("JUNC_",ROW())</f>
        <v>JUNC_97</v>
      </c>
      <c r="C97" s="134" t="s">
        <v>38</v>
      </c>
      <c r="D97" s="134" t="s">
        <v>38</v>
      </c>
      <c r="E97" s="135">
        <v>0</v>
      </c>
      <c r="F97" s="136" t="s">
        <v>38</v>
      </c>
      <c r="G97" s="136" t="s">
        <v>38</v>
      </c>
      <c r="H97" s="136">
        <v>0</v>
      </c>
      <c r="I97" s="136">
        <v>0</v>
      </c>
      <c r="J97" s="104" t="s">
        <v>269</v>
      </c>
      <c r="K97" s="104" t="s">
        <v>38</v>
      </c>
      <c r="L97" s="104" t="s">
        <v>38</v>
      </c>
      <c r="M97" s="105" t="str">
        <f>B267</f>
        <v>PIPE_267</v>
      </c>
      <c r="N97" s="105" t="str">
        <f ca="1">OFFSET($A$1,ROW()+1,1)</f>
        <v>PIPE_99</v>
      </c>
      <c r="O97" s="105">
        <v>2</v>
      </c>
      <c r="P97" s="105">
        <v>1</v>
      </c>
      <c r="Q97" s="137" t="s">
        <v>38</v>
      </c>
      <c r="R97" s="134" t="s">
        <v>38</v>
      </c>
      <c r="S97" s="136" t="s">
        <v>38</v>
      </c>
      <c r="T97" s="136" t="s">
        <v>38</v>
      </c>
      <c r="U97" s="138" t="s">
        <v>38</v>
      </c>
      <c r="V97" s="138" t="s">
        <v>38</v>
      </c>
      <c r="X97" s="15">
        <f>X287</f>
        <v>97.95</v>
      </c>
    </row>
    <row r="98" spans="1:24" x14ac:dyDescent="0.25">
      <c r="A98" s="104"/>
      <c r="B98" s="134"/>
      <c r="C98" s="134"/>
      <c r="D98" s="134"/>
      <c r="E98" s="135"/>
      <c r="F98" s="136"/>
      <c r="G98" s="136"/>
      <c r="H98" s="136"/>
      <c r="I98" s="136"/>
      <c r="J98" s="104"/>
      <c r="K98" s="104"/>
      <c r="L98" s="104"/>
      <c r="M98" s="105"/>
      <c r="N98" s="105"/>
      <c r="O98" s="105"/>
      <c r="P98" s="105"/>
      <c r="Q98" s="137"/>
      <c r="R98" s="134"/>
      <c r="S98" s="136"/>
      <c r="T98" s="136"/>
      <c r="U98" s="138"/>
      <c r="V98" s="138"/>
      <c r="X98" s="15">
        <f t="shared" si="1"/>
        <v>97.95</v>
      </c>
    </row>
    <row r="99" spans="1:24" x14ac:dyDescent="0.25">
      <c r="A99" s="104" t="s">
        <v>41</v>
      </c>
      <c r="B99" s="105" t="str">
        <f t="shared" ref="B99:B101" si="6">CONCATENATE("PIPE_",ROW())</f>
        <v>PIPE_99</v>
      </c>
      <c r="C99" s="134">
        <v>1.43</v>
      </c>
      <c r="D99" s="134">
        <f>dx</f>
        <v>0.2</v>
      </c>
      <c r="E99" s="135">
        <f>(88.9-2*11.13)^2*PI()/4*0.001^2</f>
        <v>3.487866535690829E-3</v>
      </c>
      <c r="F99" s="136">
        <v>90</v>
      </c>
      <c r="G99" s="136">
        <v>0</v>
      </c>
      <c r="H99" s="136">
        <v>0</v>
      </c>
      <c r="I99" s="136">
        <v>0</v>
      </c>
      <c r="J99" s="104" t="s">
        <v>41</v>
      </c>
      <c r="K99" s="104" t="s">
        <v>38</v>
      </c>
      <c r="L99" s="104" t="s">
        <v>38</v>
      </c>
      <c r="M99" s="105" t="s">
        <v>38</v>
      </c>
      <c r="N99" s="105" t="s">
        <v>38</v>
      </c>
      <c r="O99" s="105" t="s">
        <v>38</v>
      </c>
      <c r="P99" s="105" t="s">
        <v>38</v>
      </c>
      <c r="Q99" s="137">
        <f>roughness</f>
        <v>4.5000000000000003E-5</v>
      </c>
      <c r="R99" s="134" t="s">
        <v>38</v>
      </c>
      <c r="S99" s="136" t="s">
        <v>38</v>
      </c>
      <c r="T99" s="136" t="s">
        <v>38</v>
      </c>
      <c r="U99" s="138" t="s">
        <v>38</v>
      </c>
      <c r="V99" s="138" t="s">
        <v>38</v>
      </c>
      <c r="X99" s="15">
        <f t="shared" si="1"/>
        <v>99.38000000000001</v>
      </c>
    </row>
    <row r="100" spans="1:24" x14ac:dyDescent="0.25">
      <c r="A100" s="104" t="s">
        <v>41</v>
      </c>
      <c r="B100" s="105" t="str">
        <f t="shared" si="6"/>
        <v>PIPE_100</v>
      </c>
      <c r="C100" s="134">
        <v>0.4</v>
      </c>
      <c r="D100" s="134">
        <f>dx</f>
        <v>0.2</v>
      </c>
      <c r="E100" s="135">
        <f>(88.9-2*11.13)^2*PI()/4*0.001^2</f>
        <v>3.487866535690829E-3</v>
      </c>
      <c r="F100" s="136">
        <v>0</v>
      </c>
      <c r="G100" s="136">
        <v>0</v>
      </c>
      <c r="H100" s="136">
        <v>0</v>
      </c>
      <c r="I100" s="136">
        <v>0</v>
      </c>
      <c r="J100" s="104" t="s">
        <v>41</v>
      </c>
      <c r="K100" s="104" t="s">
        <v>38</v>
      </c>
      <c r="L100" s="104" t="s">
        <v>38</v>
      </c>
      <c r="M100" s="105" t="s">
        <v>38</v>
      </c>
      <c r="N100" s="105" t="s">
        <v>38</v>
      </c>
      <c r="O100" s="105" t="s">
        <v>38</v>
      </c>
      <c r="P100" s="105" t="s">
        <v>38</v>
      </c>
      <c r="Q100" s="137">
        <f>roughness</f>
        <v>4.5000000000000003E-5</v>
      </c>
      <c r="R100" s="134" t="s">
        <v>38</v>
      </c>
      <c r="S100" s="136" t="s">
        <v>38</v>
      </c>
      <c r="T100" s="136" t="s">
        <v>38</v>
      </c>
      <c r="U100" s="138" t="s">
        <v>38</v>
      </c>
      <c r="V100" s="138" t="s">
        <v>38</v>
      </c>
      <c r="X100" s="15">
        <f t="shared" si="1"/>
        <v>99.38000000000001</v>
      </c>
    </row>
    <row r="101" spans="1:24" x14ac:dyDescent="0.25">
      <c r="A101" s="104" t="s">
        <v>41</v>
      </c>
      <c r="B101" s="105" t="str">
        <f t="shared" si="6"/>
        <v>PIPE_101</v>
      </c>
      <c r="C101" s="134">
        <v>0.6</v>
      </c>
      <c r="D101" s="134">
        <f>dx</f>
        <v>0.2</v>
      </c>
      <c r="E101" s="135">
        <f>(88.9-2*11.13)^2*PI()/4*0.001^2</f>
        <v>3.487866535690829E-3</v>
      </c>
      <c r="F101" s="136">
        <v>-90</v>
      </c>
      <c r="G101" s="136">
        <v>0</v>
      </c>
      <c r="H101" s="136">
        <v>0</v>
      </c>
      <c r="I101" s="136">
        <v>0</v>
      </c>
      <c r="J101" s="104" t="s">
        <v>41</v>
      </c>
      <c r="K101" s="104" t="s">
        <v>38</v>
      </c>
      <c r="L101" s="104" t="s">
        <v>38</v>
      </c>
      <c r="M101" s="105" t="s">
        <v>38</v>
      </c>
      <c r="N101" s="105" t="s">
        <v>38</v>
      </c>
      <c r="O101" s="105" t="s">
        <v>38</v>
      </c>
      <c r="P101" s="105" t="s">
        <v>38</v>
      </c>
      <c r="Q101" s="137">
        <f>roughness</f>
        <v>4.5000000000000003E-5</v>
      </c>
      <c r="R101" s="134" t="s">
        <v>38</v>
      </c>
      <c r="S101" s="136" t="s">
        <v>38</v>
      </c>
      <c r="T101" s="136" t="s">
        <v>38</v>
      </c>
      <c r="U101" s="138" t="s">
        <v>38</v>
      </c>
      <c r="V101" s="138" t="s">
        <v>38</v>
      </c>
      <c r="X101" s="15">
        <f t="shared" si="1"/>
        <v>98.780000000000015</v>
      </c>
    </row>
    <row r="102" spans="1:24" x14ac:dyDescent="0.25">
      <c r="A102" s="104"/>
      <c r="B102" s="105"/>
      <c r="C102" s="134"/>
      <c r="D102" s="134"/>
      <c r="E102" s="135"/>
      <c r="F102" s="136"/>
      <c r="G102" s="136"/>
      <c r="H102" s="136"/>
      <c r="I102" s="136"/>
      <c r="J102" s="104"/>
      <c r="K102" s="104"/>
      <c r="L102" s="104"/>
      <c r="M102" s="105"/>
      <c r="N102" s="105"/>
      <c r="O102" s="105"/>
      <c r="P102" s="105"/>
      <c r="Q102" s="137"/>
      <c r="R102" s="134"/>
      <c r="S102" s="136"/>
      <c r="T102" s="136"/>
      <c r="U102" s="138"/>
      <c r="V102" s="138"/>
      <c r="X102" s="15">
        <f t="shared" si="1"/>
        <v>98.780000000000015</v>
      </c>
    </row>
    <row r="103" spans="1:24" x14ac:dyDescent="0.25">
      <c r="A103" s="104" t="s">
        <v>39</v>
      </c>
      <c r="B103" s="105" t="str">
        <f>CONCATENATE("JUNC_",ROW())</f>
        <v>JUNC_103</v>
      </c>
      <c r="C103" s="134" t="s">
        <v>38</v>
      </c>
      <c r="D103" s="134" t="s">
        <v>38</v>
      </c>
      <c r="E103" s="135">
        <v>0</v>
      </c>
      <c r="F103" s="136" t="s">
        <v>38</v>
      </c>
      <c r="G103" s="136" t="s">
        <v>38</v>
      </c>
      <c r="H103" s="136">
        <v>0</v>
      </c>
      <c r="I103" s="136">
        <v>0</v>
      </c>
      <c r="J103" s="104" t="s">
        <v>269</v>
      </c>
      <c r="K103" s="104" t="s">
        <v>38</v>
      </c>
      <c r="L103" s="104" t="s">
        <v>38</v>
      </c>
      <c r="M103" s="105" t="str">
        <f ca="1">OFFSET($A$1,ROW()-3,1)</f>
        <v>PIPE_101</v>
      </c>
      <c r="N103" s="105" t="str">
        <f>B224</f>
        <v>PIPE_224</v>
      </c>
      <c r="O103" s="105">
        <v>2</v>
      </c>
      <c r="P103" s="105">
        <v>1</v>
      </c>
      <c r="Q103" s="137" t="s">
        <v>38</v>
      </c>
      <c r="R103" s="134" t="s">
        <v>38</v>
      </c>
      <c r="S103" s="136" t="s">
        <v>38</v>
      </c>
      <c r="T103" s="136" t="s">
        <v>38</v>
      </c>
      <c r="U103" s="138" t="s">
        <v>38</v>
      </c>
      <c r="V103" s="138" t="s">
        <v>38</v>
      </c>
      <c r="W103" s="15">
        <f>X223</f>
        <v>98.78</v>
      </c>
      <c r="X103" s="15">
        <f t="shared" si="1"/>
        <v>98.780000000000015</v>
      </c>
    </row>
    <row r="104" spans="1:24" x14ac:dyDescent="0.25">
      <c r="A104" s="104" t="s">
        <v>343</v>
      </c>
      <c r="B104" s="139"/>
      <c r="C104" s="134"/>
      <c r="D104" s="134"/>
      <c r="E104" s="135"/>
      <c r="F104" s="136"/>
      <c r="G104" s="136"/>
      <c r="H104" s="136"/>
      <c r="I104" s="136"/>
      <c r="J104" s="104"/>
      <c r="K104" s="104"/>
      <c r="L104" s="104"/>
      <c r="M104" s="105"/>
      <c r="N104" s="105"/>
      <c r="O104" s="105"/>
      <c r="P104" s="105"/>
      <c r="Q104" s="137"/>
      <c r="R104" s="134"/>
      <c r="S104" s="136"/>
      <c r="T104" s="136"/>
      <c r="U104" s="138"/>
      <c r="V104" s="138"/>
      <c r="X104" s="15">
        <f t="shared" si="1"/>
        <v>98.780000000000015</v>
      </c>
    </row>
    <row r="105" spans="1:24" x14ac:dyDescent="0.25">
      <c r="A105" s="104" t="s">
        <v>394</v>
      </c>
      <c r="B105" s="105"/>
      <c r="C105" s="134"/>
      <c r="D105" s="134"/>
      <c r="E105" s="135"/>
      <c r="F105" s="136"/>
      <c r="G105" s="136"/>
      <c r="H105" s="136"/>
      <c r="I105" s="136"/>
      <c r="J105" s="104"/>
      <c r="K105" s="104"/>
      <c r="L105" s="104"/>
      <c r="M105" s="105"/>
      <c r="N105" s="105"/>
      <c r="O105" s="105"/>
      <c r="P105" s="105"/>
      <c r="Q105" s="137"/>
      <c r="R105" s="134"/>
      <c r="S105" s="136"/>
      <c r="T105" s="136"/>
      <c r="U105" s="138"/>
      <c r="V105" s="138"/>
      <c r="W105" s="11">
        <v>98.78</v>
      </c>
      <c r="X105" s="15">
        <f t="shared" si="1"/>
        <v>98.780000000000015</v>
      </c>
    </row>
    <row r="106" spans="1:24" x14ac:dyDescent="0.25">
      <c r="A106" s="104" t="s">
        <v>35</v>
      </c>
      <c r="B106" s="105">
        <v>113</v>
      </c>
      <c r="C106" s="134"/>
      <c r="D106" s="134"/>
      <c r="E106" s="135"/>
      <c r="F106" s="136"/>
      <c r="G106" s="136"/>
      <c r="H106" s="136"/>
      <c r="I106" s="136"/>
      <c r="J106" s="104"/>
      <c r="K106" s="104"/>
      <c r="L106" s="104"/>
      <c r="M106" s="105"/>
      <c r="N106" s="105"/>
      <c r="O106" s="105"/>
      <c r="P106" s="105"/>
      <c r="Q106" s="137"/>
      <c r="R106" s="134"/>
      <c r="S106" s="136"/>
      <c r="T106" s="136"/>
      <c r="U106" s="138"/>
      <c r="V106" s="138"/>
      <c r="W106" s="13"/>
      <c r="X106" s="15">
        <f t="shared" si="1"/>
        <v>98.780000000000015</v>
      </c>
    </row>
    <row r="107" spans="1:24" x14ac:dyDescent="0.25">
      <c r="A107" s="11" t="s">
        <v>39</v>
      </c>
      <c r="B107" s="12" t="str">
        <f>CONCATENATE("JUNC_",ROW())</f>
        <v>JUNC_107</v>
      </c>
      <c r="C107" s="13" t="s">
        <v>38</v>
      </c>
      <c r="D107" s="13" t="s">
        <v>38</v>
      </c>
      <c r="E107" s="14">
        <v>0</v>
      </c>
      <c r="F107" s="15" t="s">
        <v>38</v>
      </c>
      <c r="G107" s="15" t="s">
        <v>38</v>
      </c>
      <c r="H107" s="15">
        <v>0</v>
      </c>
      <c r="I107" s="15">
        <v>0</v>
      </c>
      <c r="J107" s="11" t="s">
        <v>269</v>
      </c>
      <c r="K107" s="11" t="s">
        <v>38</v>
      </c>
      <c r="L107" s="11" t="s">
        <v>38</v>
      </c>
      <c r="M107" s="12" t="str">
        <f>B238</f>
        <v>PIPE_238</v>
      </c>
      <c r="N107" s="12" t="str">
        <f ca="1">OFFSET($A$1,ROW()+1,1)</f>
        <v>PIPE_109</v>
      </c>
      <c r="O107" s="12">
        <v>2</v>
      </c>
      <c r="P107" s="12">
        <v>1</v>
      </c>
      <c r="Q107" s="17" t="s">
        <v>38</v>
      </c>
      <c r="R107" s="13" t="s">
        <v>38</v>
      </c>
      <c r="S107" s="15" t="s">
        <v>38</v>
      </c>
      <c r="T107" s="15" t="s">
        <v>38</v>
      </c>
      <c r="U107" s="36" t="s">
        <v>38</v>
      </c>
      <c r="V107" s="36" t="s">
        <v>38</v>
      </c>
      <c r="W107" s="13"/>
      <c r="X107" s="15">
        <f t="shared" si="1"/>
        <v>98.780000000000015</v>
      </c>
    </row>
    <row r="108" spans="1:24" x14ac:dyDescent="0.25">
      <c r="R108" s="13"/>
      <c r="U108" s="36"/>
      <c r="V108" s="36"/>
      <c r="W108" s="13"/>
      <c r="X108" s="15">
        <f t="shared" si="1"/>
        <v>98.780000000000015</v>
      </c>
    </row>
    <row r="109" spans="1:24" x14ac:dyDescent="0.25">
      <c r="A109" s="11" t="s">
        <v>41</v>
      </c>
      <c r="B109" s="12" t="str">
        <f t="shared" ref="B109:B111" si="7">CONCATENATE("PIPE_",ROW())</f>
        <v>PIPE_109</v>
      </c>
      <c r="C109" s="13">
        <v>0.6</v>
      </c>
      <c r="D109" s="13">
        <f>dx</f>
        <v>0.2</v>
      </c>
      <c r="E109" s="14">
        <f>(88.9-2*11.13)^2*PI()/4*0.001^2</f>
        <v>3.487866535690829E-3</v>
      </c>
      <c r="F109" s="15">
        <v>90</v>
      </c>
      <c r="G109" s="15">
        <v>0</v>
      </c>
      <c r="H109" s="15">
        <v>0</v>
      </c>
      <c r="I109" s="15">
        <v>0</v>
      </c>
      <c r="J109" s="11" t="s">
        <v>41</v>
      </c>
      <c r="K109" s="11" t="s">
        <v>38</v>
      </c>
      <c r="L109" s="11" t="s">
        <v>38</v>
      </c>
      <c r="M109" s="12" t="s">
        <v>38</v>
      </c>
      <c r="N109" s="12" t="s">
        <v>38</v>
      </c>
      <c r="O109" s="12" t="s">
        <v>38</v>
      </c>
      <c r="P109" s="12" t="s">
        <v>38</v>
      </c>
      <c r="Q109" s="17">
        <f>roughness</f>
        <v>4.5000000000000003E-5</v>
      </c>
      <c r="R109" s="13" t="s">
        <v>38</v>
      </c>
      <c r="S109" s="15" t="s">
        <v>38</v>
      </c>
      <c r="T109" s="15" t="s">
        <v>38</v>
      </c>
      <c r="U109" s="36" t="s">
        <v>38</v>
      </c>
      <c r="V109" s="36" t="s">
        <v>38</v>
      </c>
      <c r="W109" s="13"/>
      <c r="X109" s="15">
        <f t="shared" si="1"/>
        <v>99.38000000000001</v>
      </c>
    </row>
    <row r="110" spans="1:24" x14ac:dyDescent="0.25">
      <c r="A110" s="11" t="s">
        <v>41</v>
      </c>
      <c r="B110" s="12" t="str">
        <f t="shared" si="7"/>
        <v>PIPE_110</v>
      </c>
      <c r="C110" s="13">
        <v>0.4</v>
      </c>
      <c r="D110" s="13">
        <f>dx</f>
        <v>0.2</v>
      </c>
      <c r="E110" s="14">
        <f>(88.9-2*11.13)^2*PI()/4*0.001^2</f>
        <v>3.487866535690829E-3</v>
      </c>
      <c r="F110" s="15">
        <v>0</v>
      </c>
      <c r="G110" s="15">
        <v>0</v>
      </c>
      <c r="H110" s="15">
        <v>0</v>
      </c>
      <c r="I110" s="15">
        <v>0</v>
      </c>
      <c r="J110" s="11" t="s">
        <v>41</v>
      </c>
      <c r="K110" s="11" t="s">
        <v>38</v>
      </c>
      <c r="L110" s="11" t="s">
        <v>38</v>
      </c>
      <c r="M110" s="12" t="s">
        <v>38</v>
      </c>
      <c r="N110" s="12" t="s">
        <v>38</v>
      </c>
      <c r="O110" s="12" t="s">
        <v>38</v>
      </c>
      <c r="P110" s="12" t="s">
        <v>38</v>
      </c>
      <c r="Q110" s="17">
        <f>roughness</f>
        <v>4.5000000000000003E-5</v>
      </c>
      <c r="R110" s="13" t="s">
        <v>38</v>
      </c>
      <c r="S110" s="15" t="s">
        <v>38</v>
      </c>
      <c r="T110" s="15" t="s">
        <v>38</v>
      </c>
      <c r="U110" s="36" t="s">
        <v>38</v>
      </c>
      <c r="V110" s="36" t="s">
        <v>38</v>
      </c>
      <c r="W110" s="13"/>
      <c r="X110" s="15">
        <f t="shared" si="1"/>
        <v>99.38000000000001</v>
      </c>
    </row>
    <row r="111" spans="1:24" x14ac:dyDescent="0.25">
      <c r="A111" s="11" t="s">
        <v>41</v>
      </c>
      <c r="B111" s="12" t="str">
        <f t="shared" si="7"/>
        <v>PIPE_111</v>
      </c>
      <c r="C111" s="13">
        <v>1.43</v>
      </c>
      <c r="D111" s="13">
        <f>dx</f>
        <v>0.2</v>
      </c>
      <c r="E111" s="14">
        <f>(88.9-2*11.13)^2*PI()/4*0.001^2</f>
        <v>3.487866535690829E-3</v>
      </c>
      <c r="F111" s="15">
        <v>-90</v>
      </c>
      <c r="G111" s="15">
        <v>0</v>
      </c>
      <c r="H111" s="15">
        <v>0</v>
      </c>
      <c r="I111" s="15">
        <v>0</v>
      </c>
      <c r="J111" s="11" t="s">
        <v>41</v>
      </c>
      <c r="K111" s="11" t="s">
        <v>38</v>
      </c>
      <c r="L111" s="11" t="s">
        <v>38</v>
      </c>
      <c r="M111" s="12" t="s">
        <v>38</v>
      </c>
      <c r="N111" s="12" t="s">
        <v>38</v>
      </c>
      <c r="O111" s="12" t="s">
        <v>38</v>
      </c>
      <c r="P111" s="12" t="s">
        <v>38</v>
      </c>
      <c r="Q111" s="17">
        <f>roughness</f>
        <v>4.5000000000000003E-5</v>
      </c>
      <c r="R111" s="13" t="s">
        <v>38</v>
      </c>
      <c r="S111" s="15" t="s">
        <v>38</v>
      </c>
      <c r="T111" s="15" t="s">
        <v>38</v>
      </c>
      <c r="U111" s="36" t="s">
        <v>38</v>
      </c>
      <c r="V111" s="36" t="s">
        <v>38</v>
      </c>
      <c r="W111" s="13"/>
      <c r="X111" s="15">
        <f t="shared" si="1"/>
        <v>97.95</v>
      </c>
    </row>
    <row r="112" spans="1:24" x14ac:dyDescent="0.25">
      <c r="R112" s="13"/>
      <c r="U112" s="36"/>
      <c r="V112" s="36"/>
      <c r="W112" s="13"/>
      <c r="X112" s="15">
        <f t="shared" si="1"/>
        <v>97.95</v>
      </c>
    </row>
    <row r="113" spans="1:24" x14ac:dyDescent="0.25">
      <c r="A113" s="11" t="s">
        <v>39</v>
      </c>
      <c r="B113" s="12" t="str">
        <f>CONCATENATE("JUNC_",ROW())</f>
        <v>JUNC_113</v>
      </c>
      <c r="C113" s="13" t="s">
        <v>38</v>
      </c>
      <c r="D113" s="13" t="s">
        <v>38</v>
      </c>
      <c r="E113" s="14">
        <v>0</v>
      </c>
      <c r="F113" s="15" t="s">
        <v>38</v>
      </c>
      <c r="G113" s="15" t="s">
        <v>38</v>
      </c>
      <c r="H113" s="15">
        <v>0</v>
      </c>
      <c r="I113" s="15">
        <v>0</v>
      </c>
      <c r="J113" s="11" t="s">
        <v>269</v>
      </c>
      <c r="K113" s="11" t="s">
        <v>38</v>
      </c>
      <c r="L113" s="11" t="s">
        <v>38</v>
      </c>
      <c r="M113" s="12" t="str">
        <f ca="1">OFFSET($A$1,ROW()-3,1)</f>
        <v>PIPE_111</v>
      </c>
      <c r="N113" s="12" t="str">
        <f>B274</f>
        <v>PIPE_274</v>
      </c>
      <c r="O113" s="12">
        <v>2</v>
      </c>
      <c r="P113" s="12">
        <v>1</v>
      </c>
      <c r="Q113" s="17" t="s">
        <v>38</v>
      </c>
      <c r="R113" s="13" t="s">
        <v>38</v>
      </c>
      <c r="S113" s="15" t="s">
        <v>38</v>
      </c>
      <c r="T113" s="15" t="s">
        <v>38</v>
      </c>
      <c r="U113" s="36" t="s">
        <v>38</v>
      </c>
      <c r="V113" s="36" t="s">
        <v>38</v>
      </c>
      <c r="W113" s="13">
        <f>X273</f>
        <v>97.95</v>
      </c>
      <c r="X113" s="15">
        <f t="shared" si="1"/>
        <v>97.95</v>
      </c>
    </row>
    <row r="114" spans="1:24" x14ac:dyDescent="0.25">
      <c r="A114" s="11" t="s">
        <v>344</v>
      </c>
      <c r="R114" s="13"/>
      <c r="U114" s="36"/>
      <c r="V114" s="36"/>
      <c r="W114" s="13"/>
      <c r="X114" s="15">
        <f t="shared" si="1"/>
        <v>97.95</v>
      </c>
    </row>
    <row r="115" spans="1:24" x14ac:dyDescent="0.25">
      <c r="A115" s="11" t="s">
        <v>395</v>
      </c>
      <c r="R115" s="13"/>
      <c r="U115" s="36"/>
      <c r="V115" s="36"/>
      <c r="W115" s="13"/>
      <c r="X115" s="15">
        <f t="shared" si="1"/>
        <v>97.95</v>
      </c>
    </row>
    <row r="116" spans="1:24" x14ac:dyDescent="0.25">
      <c r="A116" s="11" t="s">
        <v>35</v>
      </c>
      <c r="B116" s="12">
        <v>117</v>
      </c>
      <c r="R116" s="13"/>
      <c r="U116" s="36"/>
      <c r="V116" s="36"/>
      <c r="W116" s="13"/>
      <c r="X116" s="15">
        <f t="shared" si="1"/>
        <v>97.95</v>
      </c>
    </row>
    <row r="117" spans="1:24" x14ac:dyDescent="0.25">
      <c r="A117" s="11" t="s">
        <v>39</v>
      </c>
      <c r="B117" s="12" t="str">
        <f>CONCATENATE("JUNC_",ROW())</f>
        <v>JUNC_117</v>
      </c>
      <c r="C117" s="13" t="s">
        <v>38</v>
      </c>
      <c r="D117" s="13" t="s">
        <v>38</v>
      </c>
      <c r="E117" s="14">
        <v>0</v>
      </c>
      <c r="F117" s="15" t="s">
        <v>38</v>
      </c>
      <c r="G117" s="15" t="s">
        <v>38</v>
      </c>
      <c r="H117" s="15">
        <v>0</v>
      </c>
      <c r="I117" s="15">
        <v>0</v>
      </c>
      <c r="J117" s="11" t="s">
        <v>269</v>
      </c>
      <c r="K117" s="11" t="s">
        <v>38</v>
      </c>
      <c r="L117" s="11" t="s">
        <v>38</v>
      </c>
      <c r="M117" s="12" t="str">
        <f>B288</f>
        <v>PIPE_288</v>
      </c>
      <c r="N117" s="12" t="str">
        <f ca="1">OFFSET($A$1,ROW()+1,1)</f>
        <v>PIPE_119</v>
      </c>
      <c r="O117" s="12">
        <v>2</v>
      </c>
      <c r="P117" s="12">
        <v>1</v>
      </c>
      <c r="Q117" s="17" t="s">
        <v>38</v>
      </c>
      <c r="R117" s="13" t="s">
        <v>38</v>
      </c>
      <c r="S117" s="15" t="s">
        <v>38</v>
      </c>
      <c r="T117" s="15" t="s">
        <v>38</v>
      </c>
      <c r="U117" s="36" t="s">
        <v>38</v>
      </c>
      <c r="V117" s="36" t="s">
        <v>38</v>
      </c>
      <c r="W117" s="13"/>
      <c r="X117" s="15">
        <f t="shared" si="1"/>
        <v>97.95</v>
      </c>
    </row>
    <row r="118" spans="1:24" x14ac:dyDescent="0.25">
      <c r="R118" s="13"/>
      <c r="U118" s="36"/>
      <c r="V118" s="36"/>
      <c r="W118" s="13"/>
      <c r="X118" s="15">
        <f t="shared" si="1"/>
        <v>97.95</v>
      </c>
    </row>
    <row r="119" spans="1:24" x14ac:dyDescent="0.25">
      <c r="A119" s="11" t="s">
        <v>41</v>
      </c>
      <c r="B119" s="12" t="str">
        <f t="shared" ref="B119:B122" si="8">CONCATENATE("PIPE_",ROW())</f>
        <v>PIPE_119</v>
      </c>
      <c r="C119" s="13">
        <v>1</v>
      </c>
      <c r="D119" s="13">
        <f>dx</f>
        <v>0.2</v>
      </c>
      <c r="E119" s="14">
        <f t="shared" ref="E119" si="9">(88.9-2*11.13)^2*PI()/4*0.001^2</f>
        <v>3.487866535690829E-3</v>
      </c>
      <c r="F119" s="15">
        <v>-45</v>
      </c>
      <c r="G119" s="15">
        <v>90</v>
      </c>
      <c r="H119" s="15">
        <v>0</v>
      </c>
      <c r="I119" s="15">
        <v>0</v>
      </c>
      <c r="J119" s="11" t="s">
        <v>41</v>
      </c>
      <c r="K119" s="11" t="s">
        <v>404</v>
      </c>
      <c r="L119" s="11" t="s">
        <v>38</v>
      </c>
      <c r="M119" s="12" t="s">
        <v>38</v>
      </c>
      <c r="N119" s="12" t="s">
        <v>38</v>
      </c>
      <c r="O119" s="12" t="s">
        <v>38</v>
      </c>
      <c r="P119" s="12" t="s">
        <v>38</v>
      </c>
      <c r="Q119" s="17">
        <f>roughness</f>
        <v>4.5000000000000003E-5</v>
      </c>
      <c r="R119" s="13" t="s">
        <v>38</v>
      </c>
      <c r="S119" s="15" t="s">
        <v>38</v>
      </c>
      <c r="T119" s="15" t="s">
        <v>38</v>
      </c>
      <c r="U119" s="36" t="s">
        <v>38</v>
      </c>
      <c r="V119" s="36" t="s">
        <v>38</v>
      </c>
      <c r="W119" s="13"/>
      <c r="X119" s="15">
        <f t="shared" si="1"/>
        <v>97.24289321881345</v>
      </c>
    </row>
    <row r="120" spans="1:24" x14ac:dyDescent="0.25">
      <c r="A120" s="11" t="s">
        <v>41</v>
      </c>
      <c r="B120" s="12" t="str">
        <f t="shared" si="8"/>
        <v>PIPE_120</v>
      </c>
      <c r="C120" s="13">
        <f>0.21/2+0.14</f>
        <v>0.245</v>
      </c>
      <c r="D120" s="13">
        <f>dx</f>
        <v>0.2</v>
      </c>
      <c r="E120" s="14">
        <f>(60.32-2*8.71)^2*PI()/4*0.001^2</f>
        <v>1.4454546338982977E-3</v>
      </c>
      <c r="F120" s="15">
        <v>-45</v>
      </c>
      <c r="G120" s="15">
        <v>90</v>
      </c>
      <c r="H120" s="15">
        <v>0</v>
      </c>
      <c r="I120" s="15">
        <v>0</v>
      </c>
      <c r="J120" s="11" t="s">
        <v>41</v>
      </c>
      <c r="K120" s="11" t="s">
        <v>404</v>
      </c>
      <c r="L120" s="11" t="s">
        <v>38</v>
      </c>
      <c r="M120" s="12" t="s">
        <v>38</v>
      </c>
      <c r="N120" s="12" t="s">
        <v>38</v>
      </c>
      <c r="O120" s="12" t="s">
        <v>38</v>
      </c>
      <c r="P120" s="12" t="s">
        <v>38</v>
      </c>
      <c r="Q120" s="17">
        <f>roughness</f>
        <v>4.5000000000000003E-5</v>
      </c>
      <c r="R120" s="13" t="s">
        <v>38</v>
      </c>
      <c r="S120" s="15" t="s">
        <v>38</v>
      </c>
      <c r="T120" s="15" t="s">
        <v>38</v>
      </c>
      <c r="U120" s="36" t="s">
        <v>38</v>
      </c>
      <c r="V120" s="36" t="s">
        <v>38</v>
      </c>
      <c r="W120" s="13"/>
      <c r="X120" s="15">
        <f t="shared" si="1"/>
        <v>97.069652057422743</v>
      </c>
    </row>
    <row r="121" spans="1:24" x14ac:dyDescent="0.25">
      <c r="A121" s="11" t="s">
        <v>41</v>
      </c>
      <c r="B121" s="12" t="str">
        <f t="shared" si="8"/>
        <v>PIPE_121</v>
      </c>
      <c r="C121" s="13">
        <v>0.3</v>
      </c>
      <c r="D121" s="13">
        <f>dx</f>
        <v>0.2</v>
      </c>
      <c r="E121" s="14">
        <f>(60.32-2*8.71)^2*PI()/4*0.001^2</f>
        <v>1.4454546338982977E-3</v>
      </c>
      <c r="F121" s="15">
        <v>0</v>
      </c>
      <c r="G121" s="15">
        <v>90</v>
      </c>
      <c r="H121" s="15">
        <v>0</v>
      </c>
      <c r="I121" s="15">
        <v>0</v>
      </c>
      <c r="J121" s="11" t="s">
        <v>41</v>
      </c>
      <c r="K121" s="11" t="s">
        <v>404</v>
      </c>
      <c r="L121" s="11" t="s">
        <v>38</v>
      </c>
      <c r="M121" s="12" t="s">
        <v>38</v>
      </c>
      <c r="N121" s="12" t="s">
        <v>38</v>
      </c>
      <c r="O121" s="12" t="s">
        <v>38</v>
      </c>
      <c r="P121" s="12" t="s">
        <v>38</v>
      </c>
      <c r="Q121" s="17">
        <f>roughness</f>
        <v>4.5000000000000003E-5</v>
      </c>
      <c r="R121" s="13" t="s">
        <v>38</v>
      </c>
      <c r="S121" s="15" t="s">
        <v>38</v>
      </c>
      <c r="T121" s="15" t="s">
        <v>38</v>
      </c>
      <c r="U121" s="36" t="s">
        <v>38</v>
      </c>
      <c r="V121" s="36" t="s">
        <v>38</v>
      </c>
      <c r="W121" s="13"/>
      <c r="X121" s="15">
        <f t="shared" si="1"/>
        <v>97.069652057422743</v>
      </c>
    </row>
    <row r="122" spans="1:24" x14ac:dyDescent="0.25">
      <c r="A122" s="11" t="s">
        <v>41</v>
      </c>
      <c r="B122" s="12" t="str">
        <f t="shared" si="8"/>
        <v>PIPE_122</v>
      </c>
      <c r="C122" s="13">
        <f>1.128+0.3/2</f>
        <v>1.2779999999999998</v>
      </c>
      <c r="D122" s="13">
        <f>dx</f>
        <v>0.2</v>
      </c>
      <c r="E122" s="14">
        <f>(60.32-2*8.71)^2*PI()/4*0.001^2</f>
        <v>1.4454546338982977E-3</v>
      </c>
      <c r="F122" s="15">
        <v>0</v>
      </c>
      <c r="G122" s="15">
        <v>180</v>
      </c>
      <c r="H122" s="15">
        <v>0</v>
      </c>
      <c r="I122" s="15">
        <v>0</v>
      </c>
      <c r="J122" s="11" t="s">
        <v>41</v>
      </c>
      <c r="K122" s="11" t="s">
        <v>404</v>
      </c>
      <c r="L122" s="11" t="s">
        <v>38</v>
      </c>
      <c r="M122" s="12" t="s">
        <v>38</v>
      </c>
      <c r="N122" s="12" t="s">
        <v>38</v>
      </c>
      <c r="O122" s="12" t="s">
        <v>38</v>
      </c>
      <c r="P122" s="12" t="s">
        <v>38</v>
      </c>
      <c r="Q122" s="17">
        <f>roughness</f>
        <v>4.5000000000000003E-5</v>
      </c>
      <c r="R122" s="13" t="s">
        <v>38</v>
      </c>
      <c r="S122" s="15" t="s">
        <v>38</v>
      </c>
      <c r="T122" s="15" t="s">
        <v>38</v>
      </c>
      <c r="U122" s="36" t="s">
        <v>38</v>
      </c>
      <c r="V122" s="36" t="s">
        <v>38</v>
      </c>
      <c r="W122" s="13"/>
      <c r="X122" s="15">
        <f t="shared" si="1"/>
        <v>97.069652057422743</v>
      </c>
    </row>
    <row r="123" spans="1:24" x14ac:dyDescent="0.25">
      <c r="R123" s="13"/>
      <c r="U123" s="36"/>
      <c r="V123" s="36"/>
      <c r="W123" s="13"/>
      <c r="X123" s="15">
        <f t="shared" si="1"/>
        <v>97.069652057422743</v>
      </c>
    </row>
    <row r="124" spans="1:24" x14ac:dyDescent="0.25">
      <c r="A124" s="11" t="s">
        <v>56</v>
      </c>
      <c r="B124" s="12" t="str">
        <f>CONCATENATE("JUNC_",ROW())</f>
        <v>JUNC_124</v>
      </c>
      <c r="C124" s="13" t="s">
        <v>38</v>
      </c>
      <c r="D124" s="13" t="s">
        <v>38</v>
      </c>
      <c r="E124" s="14">
        <f>(60.32-2*8.71)^2*PI()/4*0.001^2</f>
        <v>1.4454546338982977E-3</v>
      </c>
      <c r="F124" s="15" t="s">
        <v>38</v>
      </c>
      <c r="G124" s="15" t="s">
        <v>38</v>
      </c>
      <c r="H124" s="15">
        <f>Cv2K(42,E124)</f>
        <v>4.14020597763502</v>
      </c>
      <c r="I124" s="15">
        <f>H124</f>
        <v>4.14020597763502</v>
      </c>
      <c r="J124" s="11" t="s">
        <v>405</v>
      </c>
      <c r="K124" s="11" t="s">
        <v>38</v>
      </c>
      <c r="L124" s="11" t="s">
        <v>38</v>
      </c>
      <c r="M124" s="12" t="str">
        <f ca="1">OFFSET($A$1,ROW()-3,1)</f>
        <v>PIPE_122</v>
      </c>
      <c r="N124" s="12" t="str">
        <f ca="1">OFFSET($A$1,ROW()+1,1)</f>
        <v>PIPE_126</v>
      </c>
      <c r="O124" s="12">
        <v>2</v>
      </c>
      <c r="P124" s="12">
        <v>1</v>
      </c>
      <c r="Q124" s="17" t="s">
        <v>38</v>
      </c>
      <c r="R124" s="13" t="s">
        <v>38</v>
      </c>
      <c r="S124" s="15" t="s">
        <v>38</v>
      </c>
      <c r="T124" s="15">
        <v>1</v>
      </c>
      <c r="U124" s="36" t="s">
        <v>38</v>
      </c>
      <c r="V124" s="36" t="s">
        <v>38</v>
      </c>
      <c r="W124" s="13"/>
      <c r="X124" s="15">
        <f t="shared" si="1"/>
        <v>97.069652057422743</v>
      </c>
    </row>
    <row r="125" spans="1:24" x14ac:dyDescent="0.25">
      <c r="R125" s="13"/>
      <c r="U125" s="36"/>
      <c r="V125" s="36"/>
      <c r="W125" s="13"/>
      <c r="X125" s="15">
        <f t="shared" si="1"/>
        <v>97.069652057422743</v>
      </c>
    </row>
    <row r="126" spans="1:24" x14ac:dyDescent="0.25">
      <c r="A126" s="11" t="s">
        <v>41</v>
      </c>
      <c r="B126" s="12" t="str">
        <f t="shared" ref="B126" si="10">CONCATENATE("PIPE_",ROW())</f>
        <v>PIPE_126</v>
      </c>
      <c r="C126" s="13">
        <f>0.3/2+0.241+0.12+0.16+0.12+0.176+0.216/2</f>
        <v>1.0750000000000002</v>
      </c>
      <c r="D126" s="13">
        <f>dx</f>
        <v>0.2</v>
      </c>
      <c r="E126" s="14">
        <f>(60.32-2*8.71)^2*PI()/4*0.001^2</f>
        <v>1.4454546338982977E-3</v>
      </c>
      <c r="F126" s="15">
        <v>0</v>
      </c>
      <c r="G126" s="15">
        <v>180</v>
      </c>
      <c r="H126" s="15">
        <v>0</v>
      </c>
      <c r="I126" s="15">
        <v>0</v>
      </c>
      <c r="J126" s="11" t="s">
        <v>41</v>
      </c>
      <c r="K126" s="11" t="s">
        <v>404</v>
      </c>
      <c r="L126" s="11" t="s">
        <v>38</v>
      </c>
      <c r="M126" s="12" t="s">
        <v>38</v>
      </c>
      <c r="N126" s="12" t="s">
        <v>38</v>
      </c>
      <c r="O126" s="12" t="s">
        <v>38</v>
      </c>
      <c r="P126" s="12" t="s">
        <v>38</v>
      </c>
      <c r="Q126" s="17">
        <f>roughness</f>
        <v>4.5000000000000003E-5</v>
      </c>
      <c r="R126" s="13" t="s">
        <v>38</v>
      </c>
      <c r="S126" s="15" t="s">
        <v>38</v>
      </c>
      <c r="T126" s="15" t="s">
        <v>38</v>
      </c>
      <c r="U126" s="36" t="s">
        <v>38</v>
      </c>
      <c r="V126" s="36" t="s">
        <v>38</v>
      </c>
      <c r="W126" s="13"/>
      <c r="X126" s="15">
        <f t="shared" si="1"/>
        <v>97.069652057422743</v>
      </c>
    </row>
    <row r="127" spans="1:24" x14ac:dyDescent="0.25">
      <c r="R127" s="13"/>
      <c r="U127" s="36"/>
      <c r="V127" s="36"/>
      <c r="W127" s="13"/>
      <c r="X127" s="15">
        <f t="shared" si="1"/>
        <v>97.069652057422743</v>
      </c>
    </row>
    <row r="128" spans="1:24" x14ac:dyDescent="0.25">
      <c r="A128" s="11" t="s">
        <v>56</v>
      </c>
      <c r="B128" s="12" t="str">
        <f>CONCATENATE("JUNC_",ROW())</f>
        <v>JUNC_128</v>
      </c>
      <c r="C128" s="13" t="s">
        <v>38</v>
      </c>
      <c r="D128" s="13" t="s">
        <v>38</v>
      </c>
      <c r="E128" s="14">
        <f>(60.32-2*8.71)^2*PI()/4*0.001^2</f>
        <v>1.4454546338982977E-3</v>
      </c>
      <c r="F128" s="15" t="s">
        <v>38</v>
      </c>
      <c r="G128" s="15" t="s">
        <v>38</v>
      </c>
      <c r="H128" s="15">
        <f>Cv2K(67,E128)</f>
        <v>1.6269377020601863</v>
      </c>
      <c r="I128" s="15">
        <f>H128</f>
        <v>1.6269377020601863</v>
      </c>
      <c r="J128" s="11" t="s">
        <v>406</v>
      </c>
      <c r="K128" s="11" t="s">
        <v>38</v>
      </c>
      <c r="L128" s="11" t="s">
        <v>38</v>
      </c>
      <c r="M128" s="12" t="str">
        <f ca="1">OFFSET($A$1,ROW()-3,1)</f>
        <v>PIPE_126</v>
      </c>
      <c r="N128" s="12" t="str">
        <f ca="1">OFFSET($A$1,ROW()+1,1)</f>
        <v>PIPE_130</v>
      </c>
      <c r="O128" s="12">
        <v>2</v>
      </c>
      <c r="P128" s="12">
        <v>1</v>
      </c>
      <c r="Q128" s="17" t="s">
        <v>38</v>
      </c>
      <c r="R128" s="13" t="s">
        <v>38</v>
      </c>
      <c r="S128" s="15" t="s">
        <v>38</v>
      </c>
      <c r="T128" s="15">
        <v>1</v>
      </c>
      <c r="U128" s="36" t="s">
        <v>38</v>
      </c>
      <c r="V128" s="36" t="s">
        <v>38</v>
      </c>
      <c r="W128" s="13" t="s">
        <v>407</v>
      </c>
      <c r="X128" s="15">
        <f t="shared" si="1"/>
        <v>97.069652057422743</v>
      </c>
    </row>
    <row r="129" spans="1:24" x14ac:dyDescent="0.25">
      <c r="R129" s="13"/>
      <c r="U129" s="36"/>
      <c r="V129" s="36"/>
      <c r="W129" s="13"/>
      <c r="X129" s="15">
        <f t="shared" si="1"/>
        <v>97.069652057422743</v>
      </c>
    </row>
    <row r="130" spans="1:24" x14ac:dyDescent="0.25">
      <c r="A130" s="11" t="s">
        <v>41</v>
      </c>
      <c r="B130" s="12" t="str">
        <f t="shared" ref="B130" si="11">CONCATENATE("PIPE_",ROW())</f>
        <v>PIPE_130</v>
      </c>
      <c r="C130" s="13">
        <f>0.216/2+0.1+0.405+0.4/2</f>
        <v>0.81299999999999994</v>
      </c>
      <c r="D130" s="13">
        <f>dx</f>
        <v>0.2</v>
      </c>
      <c r="E130" s="14">
        <f>(60.32-2*8.71)^2*PI()/4*0.001^2</f>
        <v>1.4454546338982977E-3</v>
      </c>
      <c r="F130" s="15">
        <v>0</v>
      </c>
      <c r="G130" s="15">
        <v>180</v>
      </c>
      <c r="H130" s="15">
        <v>0</v>
      </c>
      <c r="I130" s="15">
        <v>0</v>
      </c>
      <c r="J130" s="11" t="s">
        <v>41</v>
      </c>
      <c r="K130" s="11" t="s">
        <v>404</v>
      </c>
      <c r="L130" s="11" t="s">
        <v>38</v>
      </c>
      <c r="M130" s="12" t="s">
        <v>38</v>
      </c>
      <c r="N130" s="12" t="s">
        <v>38</v>
      </c>
      <c r="O130" s="12" t="s">
        <v>38</v>
      </c>
      <c r="P130" s="12" t="s">
        <v>38</v>
      </c>
      <c r="Q130" s="17">
        <f>roughness</f>
        <v>4.5000000000000003E-5</v>
      </c>
      <c r="R130" s="13" t="s">
        <v>38</v>
      </c>
      <c r="S130" s="15" t="s">
        <v>38</v>
      </c>
      <c r="T130" s="15" t="s">
        <v>38</v>
      </c>
      <c r="U130" s="36" t="s">
        <v>38</v>
      </c>
      <c r="V130" s="36" t="s">
        <v>38</v>
      </c>
      <c r="W130" s="13"/>
      <c r="X130" s="15">
        <f t="shared" si="1"/>
        <v>97.069652057422743</v>
      </c>
    </row>
    <row r="131" spans="1:24" x14ac:dyDescent="0.25">
      <c r="A131" s="11" t="s">
        <v>36</v>
      </c>
      <c r="B131" s="12">
        <f>$B$29*100000</f>
        <v>1000000</v>
      </c>
      <c r="C131" s="13">
        <v>300</v>
      </c>
      <c r="R131" s="13"/>
      <c r="U131" s="36"/>
      <c r="V131" s="36"/>
      <c r="W131" s="13"/>
      <c r="X131" s="15">
        <f t="shared" si="1"/>
        <v>97.069652057422743</v>
      </c>
    </row>
    <row r="132" spans="1:24" x14ac:dyDescent="0.25">
      <c r="A132" s="11" t="s">
        <v>56</v>
      </c>
      <c r="B132" s="12" t="str">
        <f>CONCATENATE("JUNC_",ROW())</f>
        <v>JUNC_132</v>
      </c>
      <c r="C132" s="13" t="s">
        <v>38</v>
      </c>
      <c r="D132" s="13" t="s">
        <v>38</v>
      </c>
      <c r="E132" s="14">
        <f>K2At(3,E130,E130,E134)</f>
        <v>7.7883749438807204E-4</v>
      </c>
      <c r="F132" s="15" t="s">
        <v>38</v>
      </c>
      <c r="G132" s="15" t="s">
        <v>38</v>
      </c>
      <c r="H132" s="15">
        <v>0</v>
      </c>
      <c r="I132" s="15">
        <v>0</v>
      </c>
      <c r="J132" s="11" t="s">
        <v>412</v>
      </c>
      <c r="K132" s="11" t="s">
        <v>38</v>
      </c>
      <c r="L132" s="11" t="s">
        <v>38</v>
      </c>
      <c r="M132" s="12" t="str">
        <f ca="1">OFFSET($A$1,ROW()-3,1)</f>
        <v>PIPE_130</v>
      </c>
      <c r="N132" s="12" t="str">
        <f ca="1">OFFSET($A$1,ROW()+1,1)</f>
        <v>PIPE_134</v>
      </c>
      <c r="O132" s="12">
        <v>2</v>
      </c>
      <c r="P132" s="12">
        <v>1</v>
      </c>
      <c r="Q132" s="17" t="s">
        <v>38</v>
      </c>
      <c r="R132" s="13" t="s">
        <v>38</v>
      </c>
      <c r="S132" s="15" t="s">
        <v>38</v>
      </c>
      <c r="T132" s="15">
        <v>0</v>
      </c>
      <c r="U132" s="36" t="s">
        <v>38</v>
      </c>
      <c r="V132" s="36" t="s">
        <v>38</v>
      </c>
      <c r="W132" s="13" t="s">
        <v>433</v>
      </c>
      <c r="X132" s="15">
        <f t="shared" si="1"/>
        <v>97.069652057422743</v>
      </c>
    </row>
    <row r="133" spans="1:24" x14ac:dyDescent="0.25">
      <c r="R133" s="13"/>
      <c r="U133" s="36"/>
      <c r="V133" s="36"/>
      <c r="W133" s="13"/>
      <c r="X133" s="15">
        <f t="shared" si="1"/>
        <v>97.069652057422743</v>
      </c>
    </row>
    <row r="134" spans="1:24" x14ac:dyDescent="0.25">
      <c r="A134" s="11" t="s">
        <v>41</v>
      </c>
      <c r="B134" s="12" t="str">
        <f t="shared" ref="B134" si="12">CONCATENATE("PIPE_",ROW())</f>
        <v>PIPE_134</v>
      </c>
      <c r="C134" s="13">
        <f>0.4/2+0.428+0.216/2</f>
        <v>0.73599999999999999</v>
      </c>
      <c r="D134" s="13">
        <f>dx</f>
        <v>0.2</v>
      </c>
      <c r="E134" s="14">
        <f>(60.32-2*8.71)^2*PI()/4*0.001^2</f>
        <v>1.4454546338982977E-3</v>
      </c>
      <c r="F134" s="15">
        <v>0</v>
      </c>
      <c r="G134" s="15">
        <v>180</v>
      </c>
      <c r="H134" s="15">
        <v>0</v>
      </c>
      <c r="I134" s="15">
        <v>0</v>
      </c>
      <c r="J134" s="11" t="s">
        <v>41</v>
      </c>
      <c r="K134" s="11" t="s">
        <v>404</v>
      </c>
      <c r="L134" s="11" t="s">
        <v>38</v>
      </c>
      <c r="M134" s="12" t="s">
        <v>38</v>
      </c>
      <c r="N134" s="12" t="s">
        <v>38</v>
      </c>
      <c r="O134" s="12" t="s">
        <v>38</v>
      </c>
      <c r="P134" s="12" t="s">
        <v>38</v>
      </c>
      <c r="Q134" s="17">
        <f>roughness</f>
        <v>4.5000000000000003E-5</v>
      </c>
      <c r="R134" s="13" t="s">
        <v>38</v>
      </c>
      <c r="S134" s="15" t="s">
        <v>38</v>
      </c>
      <c r="T134" s="15" t="s">
        <v>38</v>
      </c>
      <c r="U134" s="36" t="s">
        <v>38</v>
      </c>
      <c r="V134" s="36" t="s">
        <v>38</v>
      </c>
      <c r="W134" s="13"/>
      <c r="X134" s="15">
        <f t="shared" si="1"/>
        <v>97.069652057422743</v>
      </c>
    </row>
    <row r="135" spans="1:24" x14ac:dyDescent="0.25">
      <c r="R135" s="13"/>
      <c r="U135" s="36"/>
      <c r="V135" s="36"/>
      <c r="W135" s="13"/>
      <c r="X135" s="15">
        <f t="shared" si="1"/>
        <v>97.069652057422743</v>
      </c>
    </row>
    <row r="136" spans="1:24" x14ac:dyDescent="0.25">
      <c r="A136" s="11" t="s">
        <v>56</v>
      </c>
      <c r="B136" s="12" t="str">
        <f>CONCATENATE("JUNC_",ROW())</f>
        <v>JUNC_136</v>
      </c>
      <c r="C136" s="13" t="s">
        <v>38</v>
      </c>
      <c r="D136" s="13" t="s">
        <v>38</v>
      </c>
      <c r="E136" s="14">
        <f>(60.32-2*8.71)^2*PI()/4*0.001^2</f>
        <v>1.4454546338982977E-3</v>
      </c>
      <c r="F136" s="15" t="s">
        <v>38</v>
      </c>
      <c r="G136" s="15" t="s">
        <v>38</v>
      </c>
      <c r="H136" s="15">
        <f>Cv2K(67,E136)</f>
        <v>1.6269377020601863</v>
      </c>
      <c r="I136" s="15">
        <f>H136</f>
        <v>1.6269377020601863</v>
      </c>
      <c r="J136" s="11" t="s">
        <v>408</v>
      </c>
      <c r="K136" s="11" t="s">
        <v>38</v>
      </c>
      <c r="L136" s="11" t="s">
        <v>38</v>
      </c>
      <c r="M136" s="12" t="str">
        <f ca="1">OFFSET($A$1,ROW()-3,1)</f>
        <v>PIPE_134</v>
      </c>
      <c r="N136" s="12" t="str">
        <f ca="1">OFFSET($A$1,ROW()+1,1)</f>
        <v>PIPE_138</v>
      </c>
      <c r="O136" s="12">
        <v>2</v>
      </c>
      <c r="P136" s="12">
        <v>1</v>
      </c>
      <c r="Q136" s="17" t="s">
        <v>38</v>
      </c>
      <c r="R136" s="13" t="s">
        <v>38</v>
      </c>
      <c r="S136" s="15" t="s">
        <v>38</v>
      </c>
      <c r="T136" s="15">
        <v>1</v>
      </c>
      <c r="U136" s="36" t="s">
        <v>38</v>
      </c>
      <c r="V136" s="36" t="s">
        <v>38</v>
      </c>
      <c r="W136" s="13" t="s">
        <v>407</v>
      </c>
      <c r="X136" s="15">
        <f t="shared" si="1"/>
        <v>97.069652057422743</v>
      </c>
    </row>
    <row r="137" spans="1:24" x14ac:dyDescent="0.25">
      <c r="R137" s="13"/>
      <c r="U137" s="36"/>
      <c r="V137" s="36"/>
      <c r="W137" s="13"/>
      <c r="X137" s="15">
        <f t="shared" si="1"/>
        <v>97.069652057422743</v>
      </c>
    </row>
    <row r="138" spans="1:24" x14ac:dyDescent="0.25">
      <c r="A138" s="11" t="s">
        <v>41</v>
      </c>
      <c r="B138" s="12" t="str">
        <f t="shared" ref="B138:B139" si="13">CONCATENATE("PIPE_",ROW())</f>
        <v>PIPE_138</v>
      </c>
      <c r="C138" s="13">
        <f>0.216/2+0.275+0.28+0.12/2</f>
        <v>0.72300000000000009</v>
      </c>
      <c r="D138" s="13">
        <f>dx</f>
        <v>0.2</v>
      </c>
      <c r="E138" s="14">
        <f>(60.32-2*8.71)^2*PI()/4*0.001^2</f>
        <v>1.4454546338982977E-3</v>
      </c>
      <c r="F138" s="15">
        <v>0</v>
      </c>
      <c r="G138" s="15">
        <v>180</v>
      </c>
      <c r="H138" s="15">
        <v>0</v>
      </c>
      <c r="I138" s="15">
        <v>0</v>
      </c>
      <c r="J138" s="11" t="s">
        <v>41</v>
      </c>
      <c r="K138" s="11" t="s">
        <v>409</v>
      </c>
      <c r="L138" s="11" t="s">
        <v>38</v>
      </c>
      <c r="M138" s="12" t="s">
        <v>38</v>
      </c>
      <c r="N138" s="12" t="s">
        <v>38</v>
      </c>
      <c r="O138" s="12" t="s">
        <v>38</v>
      </c>
      <c r="P138" s="12" t="s">
        <v>38</v>
      </c>
      <c r="Q138" s="17">
        <f>roughness</f>
        <v>4.5000000000000003E-5</v>
      </c>
      <c r="R138" s="13" t="s">
        <v>38</v>
      </c>
      <c r="S138" s="15" t="s">
        <v>38</v>
      </c>
      <c r="T138" s="15" t="s">
        <v>38</v>
      </c>
      <c r="U138" s="36" t="s">
        <v>38</v>
      </c>
      <c r="V138" s="36" t="s">
        <v>38</v>
      </c>
      <c r="W138" s="13"/>
      <c r="X138" s="15">
        <f t="shared" si="1"/>
        <v>97.069652057422743</v>
      </c>
    </row>
    <row r="139" spans="1:24" x14ac:dyDescent="0.25">
      <c r="A139" s="11" t="s">
        <v>41</v>
      </c>
      <c r="B139" s="12" t="str">
        <f t="shared" si="13"/>
        <v>PIPE_139</v>
      </c>
      <c r="C139" s="13">
        <f>0.06+0.59+0.05</f>
        <v>0.7</v>
      </c>
      <c r="D139" s="13">
        <f>dx</f>
        <v>0.2</v>
      </c>
      <c r="E139" s="14">
        <f>(60.32-2*8.71)^2*PI()/4*0.001^2</f>
        <v>1.4454546338982977E-3</v>
      </c>
      <c r="F139" s="15">
        <v>90</v>
      </c>
      <c r="G139" s="15">
        <v>0</v>
      </c>
      <c r="H139" s="15">
        <v>0</v>
      </c>
      <c r="I139" s="15">
        <v>0</v>
      </c>
      <c r="J139" s="11" t="s">
        <v>41</v>
      </c>
      <c r="K139" s="11" t="s">
        <v>409</v>
      </c>
      <c r="L139" s="11" t="s">
        <v>38</v>
      </c>
      <c r="M139" s="12" t="s">
        <v>38</v>
      </c>
      <c r="N139" s="12" t="s">
        <v>38</v>
      </c>
      <c r="O139" s="12" t="s">
        <v>38</v>
      </c>
      <c r="P139" s="12" t="s">
        <v>38</v>
      </c>
      <c r="Q139" s="17">
        <f>roughness</f>
        <v>4.5000000000000003E-5</v>
      </c>
      <c r="R139" s="13" t="s">
        <v>38</v>
      </c>
      <c r="S139" s="15" t="s">
        <v>38</v>
      </c>
      <c r="T139" s="15" t="s">
        <v>38</v>
      </c>
      <c r="U139" s="36" t="s">
        <v>38</v>
      </c>
      <c r="V139" s="36" t="s">
        <v>38</v>
      </c>
      <c r="W139" s="13"/>
      <c r="X139" s="15">
        <f t="shared" si="1"/>
        <v>97.769652057422746</v>
      </c>
    </row>
    <row r="140" spans="1:24" x14ac:dyDescent="0.25">
      <c r="R140" s="13"/>
      <c r="U140" s="36"/>
      <c r="V140" s="36"/>
      <c r="W140" s="13"/>
      <c r="X140" s="15">
        <f t="shared" si="1"/>
        <v>97.769652057422746</v>
      </c>
    </row>
    <row r="141" spans="1:24" x14ac:dyDescent="0.25">
      <c r="A141" s="11" t="s">
        <v>39</v>
      </c>
      <c r="B141" s="12" t="str">
        <f>CONCATENATE("JUNC_",ROW())</f>
        <v>JUNC_141</v>
      </c>
      <c r="C141" s="13" t="s">
        <v>38</v>
      </c>
      <c r="D141" s="13" t="s">
        <v>38</v>
      </c>
      <c r="E141" s="14">
        <f>35^2*PI()/4*0.001^2</f>
        <v>9.6211275016187413E-4</v>
      </c>
      <c r="F141" s="15" t="s">
        <v>38</v>
      </c>
      <c r="G141" s="15" t="s">
        <v>38</v>
      </c>
      <c r="H141" s="15">
        <v>0</v>
      </c>
      <c r="I141" s="15">
        <v>0</v>
      </c>
      <c r="J141" s="11" t="s">
        <v>410</v>
      </c>
      <c r="K141" s="11" t="s">
        <v>38</v>
      </c>
      <c r="L141" s="11" t="s">
        <v>38</v>
      </c>
      <c r="M141" s="12" t="str">
        <f ca="1">OFFSET($A$1,ROW()-3,1)</f>
        <v>PIPE_139</v>
      </c>
      <c r="N141" s="12" t="str">
        <f ca="1">OFFSET($A$1,ROW()+1,1)</f>
        <v>PIPE_143</v>
      </c>
      <c r="O141" s="12">
        <v>2</v>
      </c>
      <c r="P141" s="12">
        <v>1</v>
      </c>
      <c r="Q141" s="17" t="s">
        <v>38</v>
      </c>
      <c r="R141" s="13" t="s">
        <v>38</v>
      </c>
      <c r="S141" s="15" t="s">
        <v>38</v>
      </c>
      <c r="T141" s="15" t="s">
        <v>38</v>
      </c>
      <c r="U141" s="36" t="s">
        <v>38</v>
      </c>
      <c r="V141" s="36" t="s">
        <v>38</v>
      </c>
      <c r="W141" s="13"/>
      <c r="X141" s="15">
        <f t="shared" si="1"/>
        <v>97.769652057422746</v>
      </c>
    </row>
    <row r="142" spans="1:24" x14ac:dyDescent="0.25">
      <c r="R142" s="13"/>
      <c r="U142" s="36"/>
      <c r="V142" s="36"/>
      <c r="W142" s="13"/>
      <c r="X142" s="15">
        <f t="shared" si="1"/>
        <v>97.769652057422746</v>
      </c>
    </row>
    <row r="143" spans="1:24" x14ac:dyDescent="0.25">
      <c r="A143" s="11" t="s">
        <v>41</v>
      </c>
      <c r="B143" s="12" t="str">
        <f t="shared" ref="B143" si="14">CONCATENATE("PIPE_",ROW())</f>
        <v>PIPE_143</v>
      </c>
      <c r="C143" s="13">
        <f>0.06+0.59+0.05</f>
        <v>0.7</v>
      </c>
      <c r="D143" s="13">
        <f>dx</f>
        <v>0.2</v>
      </c>
      <c r="E143" s="14">
        <f>(60.32-2*8.71)^2*PI()/4*0.001^2</f>
        <v>1.4454546338982977E-3</v>
      </c>
      <c r="F143" s="15">
        <v>90</v>
      </c>
      <c r="G143" s="15">
        <v>0</v>
      </c>
      <c r="H143" s="15">
        <v>0</v>
      </c>
      <c r="I143" s="15">
        <v>0</v>
      </c>
      <c r="J143" s="11" t="s">
        <v>41</v>
      </c>
      <c r="K143" s="11" t="s">
        <v>409</v>
      </c>
      <c r="L143" s="11" t="s">
        <v>38</v>
      </c>
      <c r="M143" s="12" t="s">
        <v>38</v>
      </c>
      <c r="N143" s="12" t="s">
        <v>38</v>
      </c>
      <c r="O143" s="12" t="s">
        <v>38</v>
      </c>
      <c r="P143" s="12" t="s">
        <v>38</v>
      </c>
      <c r="Q143" s="17">
        <f>roughness</f>
        <v>4.5000000000000003E-5</v>
      </c>
      <c r="R143" s="13" t="s">
        <v>38</v>
      </c>
      <c r="S143" s="15" t="s">
        <v>38</v>
      </c>
      <c r="T143" s="15" t="s">
        <v>38</v>
      </c>
      <c r="U143" s="36" t="s">
        <v>38</v>
      </c>
      <c r="V143" s="36" t="s">
        <v>38</v>
      </c>
      <c r="W143" s="13"/>
      <c r="X143" s="15">
        <f t="shared" si="1"/>
        <v>98.469652057422749</v>
      </c>
    </row>
    <row r="144" spans="1:24" x14ac:dyDescent="0.25">
      <c r="R144" s="13"/>
      <c r="U144" s="36"/>
      <c r="V144" s="36"/>
      <c r="W144" s="13"/>
      <c r="X144" s="15">
        <f t="shared" si="1"/>
        <v>98.469652057422749</v>
      </c>
    </row>
    <row r="145" spans="1:24" x14ac:dyDescent="0.25">
      <c r="A145" s="11" t="s">
        <v>39</v>
      </c>
      <c r="B145" s="12" t="str">
        <f>CONCATENATE("JUNC_",ROW())</f>
        <v>JUNC_145</v>
      </c>
      <c r="C145" s="13" t="s">
        <v>38</v>
      </c>
      <c r="D145" s="13" t="s">
        <v>38</v>
      </c>
      <c r="E145" s="14">
        <v>0</v>
      </c>
      <c r="F145" s="15" t="s">
        <v>38</v>
      </c>
      <c r="G145" s="15" t="s">
        <v>38</v>
      </c>
      <c r="H145" s="15">
        <v>0</v>
      </c>
      <c r="I145" s="15">
        <v>0</v>
      </c>
      <c r="J145" s="11" t="s">
        <v>269</v>
      </c>
      <c r="K145" s="11" t="s">
        <v>38</v>
      </c>
      <c r="L145" s="11" t="s">
        <v>38</v>
      </c>
      <c r="M145" s="12" t="str">
        <f ca="1">OFFSET($A$1,ROW()-3,1)</f>
        <v>PIPE_143</v>
      </c>
      <c r="N145" s="12" t="str">
        <f ca="1">OFFSET($A$1,ROW()+1,1)</f>
        <v>TMDV_147</v>
      </c>
      <c r="O145" s="12">
        <v>2</v>
      </c>
      <c r="P145" s="12">
        <v>1</v>
      </c>
      <c r="Q145" s="17" t="s">
        <v>38</v>
      </c>
      <c r="R145" s="13" t="s">
        <v>38</v>
      </c>
      <c r="S145" s="15" t="s">
        <v>38</v>
      </c>
      <c r="T145" s="15" t="s">
        <v>38</v>
      </c>
      <c r="U145" s="36" t="s">
        <v>38</v>
      </c>
      <c r="V145" s="36" t="s">
        <v>38</v>
      </c>
      <c r="W145" s="13"/>
      <c r="X145" s="15">
        <f t="shared" si="1"/>
        <v>98.469652057422749</v>
      </c>
    </row>
    <row r="146" spans="1:24" x14ac:dyDescent="0.25">
      <c r="R146" s="13"/>
      <c r="U146" s="36"/>
      <c r="V146" s="36"/>
      <c r="W146" s="13"/>
      <c r="X146" s="15">
        <f t="shared" si="1"/>
        <v>98.469652057422749</v>
      </c>
    </row>
    <row r="147" spans="1:24" x14ac:dyDescent="0.25">
      <c r="A147" s="11" t="s">
        <v>37</v>
      </c>
      <c r="B147" s="12" t="str">
        <f>CONCATENATE("TMDV_",ROW())</f>
        <v>TMDV_147</v>
      </c>
      <c r="C147" s="13">
        <v>1</v>
      </c>
      <c r="D147" s="13" t="s">
        <v>38</v>
      </c>
      <c r="E147" s="14">
        <v>1</v>
      </c>
      <c r="F147" s="15">
        <v>0</v>
      </c>
      <c r="G147" s="15">
        <v>0</v>
      </c>
      <c r="H147" s="15" t="s">
        <v>38</v>
      </c>
      <c r="I147" s="15" t="s">
        <v>38</v>
      </c>
      <c r="J147" s="11" t="s">
        <v>280</v>
      </c>
      <c r="K147" s="11" t="s">
        <v>38</v>
      </c>
      <c r="L147" s="11" t="s">
        <v>38</v>
      </c>
      <c r="M147" s="12" t="s">
        <v>38</v>
      </c>
      <c r="N147" s="12" t="s">
        <v>38</v>
      </c>
      <c r="O147" s="12" t="s">
        <v>38</v>
      </c>
      <c r="P147" s="12" t="s">
        <v>38</v>
      </c>
      <c r="Q147" s="17">
        <f>$B$29*100000</f>
        <v>1000000</v>
      </c>
      <c r="R147" s="13">
        <v>300</v>
      </c>
      <c r="S147" s="15" t="s">
        <v>38</v>
      </c>
      <c r="T147" s="15" t="s">
        <v>38</v>
      </c>
      <c r="U147" s="36" t="s">
        <v>38</v>
      </c>
      <c r="V147" s="36" t="s">
        <v>38</v>
      </c>
      <c r="W147" s="13"/>
      <c r="X147" s="15">
        <f t="shared" si="1"/>
        <v>98.469652057422749</v>
      </c>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A152" s="11" t="s">
        <v>397</v>
      </c>
      <c r="R152" s="13"/>
      <c r="U152" s="36"/>
      <c r="V152" s="36"/>
      <c r="W152" s="13"/>
    </row>
    <row r="153" spans="1:24" x14ac:dyDescent="0.25">
      <c r="A153" s="11" t="s">
        <v>35</v>
      </c>
      <c r="B153" s="12">
        <v>200</v>
      </c>
      <c r="R153" s="13"/>
      <c r="U153" s="36"/>
      <c r="V153" s="36"/>
      <c r="W153" s="13"/>
    </row>
    <row r="154" spans="1:24" x14ac:dyDescent="0.25">
      <c r="A154" s="11" t="s">
        <v>36</v>
      </c>
      <c r="B154" s="12">
        <f>$B$33*100000</f>
        <v>300000</v>
      </c>
      <c r="C154" s="13">
        <f>273.15+B34</f>
        <v>308.14999999999998</v>
      </c>
      <c r="R154" s="13"/>
      <c r="U154" s="36"/>
      <c r="V154" s="36"/>
      <c r="W154" s="13"/>
    </row>
    <row r="155" spans="1:24" x14ac:dyDescent="0.25">
      <c r="A155" s="11" t="s">
        <v>37</v>
      </c>
      <c r="B155" s="12" t="str">
        <f>CONCATENATE("TMDV_",ROW())</f>
        <v>TMDV_155</v>
      </c>
      <c r="C155" s="13">
        <v>1</v>
      </c>
      <c r="D155" s="13" t="s">
        <v>38</v>
      </c>
      <c r="E155" s="14">
        <v>1</v>
      </c>
      <c r="F155" s="15">
        <v>0</v>
      </c>
      <c r="G155" s="15">
        <v>0</v>
      </c>
      <c r="H155" s="15" t="s">
        <v>38</v>
      </c>
      <c r="I155" s="15" t="s">
        <v>38</v>
      </c>
      <c r="J155" s="11" t="s">
        <v>345</v>
      </c>
      <c r="K155" s="11" t="s">
        <v>38</v>
      </c>
      <c r="L155" s="11" t="s">
        <v>38</v>
      </c>
      <c r="M155" s="12" t="s">
        <v>38</v>
      </c>
      <c r="N155" s="12" t="s">
        <v>38</v>
      </c>
      <c r="O155" s="12" t="s">
        <v>38</v>
      </c>
      <c r="P155" s="12" t="s">
        <v>38</v>
      </c>
      <c r="Q155" s="17">
        <v>500000</v>
      </c>
      <c r="R155" s="13">
        <f>273.15+$B$34</f>
        <v>308.14999999999998</v>
      </c>
      <c r="S155" s="15" t="s">
        <v>38</v>
      </c>
      <c r="T155" s="15" t="s">
        <v>38</v>
      </c>
      <c r="U155" s="36" t="s">
        <v>38</v>
      </c>
      <c r="V155" s="36" t="s">
        <v>38</v>
      </c>
      <c r="W155" s="13"/>
      <c r="X155" s="15">
        <v>107.22</v>
      </c>
    </row>
    <row r="156" spans="1:24" x14ac:dyDescent="0.25">
      <c r="R156" s="13"/>
      <c r="U156" s="36"/>
      <c r="V156" s="36"/>
      <c r="W156" s="13"/>
      <c r="X156" s="15">
        <f t="shared" ref="X156:X171" si="15">IF(OR(A156="Pipe", A156="Tmdpvol"), X155+C156*SIN(F156*PI()/180), X155)</f>
        <v>107.22</v>
      </c>
    </row>
    <row r="157" spans="1:24" x14ac:dyDescent="0.25">
      <c r="A157" s="11" t="s">
        <v>56</v>
      </c>
      <c r="B157" s="12" t="str">
        <f>CONCATENATE("JUNC_",ROW())</f>
        <v>JUNC_157</v>
      </c>
      <c r="C157" s="13" t="s">
        <v>38</v>
      </c>
      <c r="D157" s="13" t="s">
        <v>38</v>
      </c>
      <c r="E157" s="14">
        <f>0.2*(168.3-2*7.11)^2*PI()/4*0.001^2</f>
        <v>3.7291720160856491E-3</v>
      </c>
      <c r="F157" s="15" t="s">
        <v>38</v>
      </c>
      <c r="G157" s="15" t="s">
        <v>38</v>
      </c>
      <c r="H157" s="15">
        <v>0</v>
      </c>
      <c r="I157" s="15">
        <v>0</v>
      </c>
      <c r="J157" s="11" t="s">
        <v>447</v>
      </c>
      <c r="K157" s="11" t="s">
        <v>38</v>
      </c>
      <c r="L157" s="11" t="s">
        <v>38</v>
      </c>
      <c r="M157" s="12" t="str">
        <f ca="1">OFFSET($A$1,ROW()-3,1)</f>
        <v>TMDV_155</v>
      </c>
      <c r="N157" s="12" t="str">
        <f ca="1">OFFSET($A$1,ROW()+1,1)</f>
        <v>PIPE_159</v>
      </c>
      <c r="O157" s="12">
        <v>2</v>
      </c>
      <c r="P157" s="12">
        <v>1</v>
      </c>
      <c r="Q157" s="17" t="s">
        <v>38</v>
      </c>
      <c r="R157" s="13" t="s">
        <v>38</v>
      </c>
      <c r="S157" s="15" t="s">
        <v>38</v>
      </c>
      <c r="T157" s="15">
        <v>0</v>
      </c>
      <c r="U157" s="36" t="s">
        <v>38</v>
      </c>
      <c r="V157" s="36" t="s">
        <v>38</v>
      </c>
      <c r="W157" s="13"/>
      <c r="X157" s="15">
        <f t="shared" si="15"/>
        <v>107.22</v>
      </c>
    </row>
    <row r="158" spans="1:24" x14ac:dyDescent="0.25">
      <c r="R158" s="13"/>
      <c r="U158" s="36"/>
      <c r="V158" s="36"/>
      <c r="W158" s="13"/>
      <c r="X158" s="15">
        <f t="shared" si="15"/>
        <v>107.22</v>
      </c>
    </row>
    <row r="159" spans="1:24" x14ac:dyDescent="0.25">
      <c r="A159" s="11" t="s">
        <v>41</v>
      </c>
      <c r="B159" s="12" t="str">
        <f t="shared" ref="B159:B169" si="16">CONCATENATE("PIPE_",ROW())</f>
        <v>PIPE_159</v>
      </c>
      <c r="C159" s="13">
        <v>0.95899999999999996</v>
      </c>
      <c r="D159" s="13">
        <f>dx</f>
        <v>0.2</v>
      </c>
      <c r="E159" s="14">
        <f>(168.3-2*7.11)^2*PI()/4*0.001^2</f>
        <v>1.8645860080428248E-2</v>
      </c>
      <c r="F159" s="15">
        <v>0</v>
      </c>
      <c r="G159" s="15">
        <v>0</v>
      </c>
      <c r="H159" s="15">
        <v>0</v>
      </c>
      <c r="I159" s="15">
        <v>0</v>
      </c>
      <c r="J159" s="11" t="s">
        <v>41</v>
      </c>
      <c r="K159" s="11" t="s">
        <v>347</v>
      </c>
      <c r="L159" s="11" t="s">
        <v>38</v>
      </c>
      <c r="M159" s="12" t="s">
        <v>38</v>
      </c>
      <c r="N159" s="12" t="s">
        <v>38</v>
      </c>
      <c r="O159" s="12" t="s">
        <v>38</v>
      </c>
      <c r="P159" s="12" t="s">
        <v>38</v>
      </c>
      <c r="Q159" s="17">
        <f>roughness</f>
        <v>4.5000000000000003E-5</v>
      </c>
      <c r="R159" s="13" t="s">
        <v>38</v>
      </c>
      <c r="S159" s="15" t="s">
        <v>38</v>
      </c>
      <c r="T159" s="15" t="s">
        <v>38</v>
      </c>
      <c r="U159" s="36" t="s">
        <v>38</v>
      </c>
      <c r="V159" s="36" t="s">
        <v>38</v>
      </c>
      <c r="W159" s="13"/>
      <c r="X159" s="15">
        <f t="shared" si="15"/>
        <v>107.22</v>
      </c>
    </row>
    <row r="160" spans="1:24" x14ac:dyDescent="0.25">
      <c r="A160" s="11" t="s">
        <v>41</v>
      </c>
      <c r="B160" s="12" t="str">
        <f t="shared" si="16"/>
        <v>PIPE_160</v>
      </c>
      <c r="C160" s="13">
        <v>0.9</v>
      </c>
      <c r="D160" s="13">
        <f>dx</f>
        <v>0.2</v>
      </c>
      <c r="E160" s="14">
        <f>(168.3-2*7.11)^2*PI()/4*0.001^2</f>
        <v>1.8645860080428248E-2</v>
      </c>
      <c r="F160" s="15">
        <v>0</v>
      </c>
      <c r="G160" s="15">
        <v>0</v>
      </c>
      <c r="H160" s="15">
        <v>0</v>
      </c>
      <c r="I160" s="15">
        <v>0</v>
      </c>
      <c r="J160" s="11" t="s">
        <v>41</v>
      </c>
      <c r="K160" s="11" t="s">
        <v>347</v>
      </c>
      <c r="L160" s="11" t="s">
        <v>38</v>
      </c>
      <c r="M160" s="12" t="s">
        <v>38</v>
      </c>
      <c r="N160" s="12" t="s">
        <v>38</v>
      </c>
      <c r="O160" s="12" t="s">
        <v>38</v>
      </c>
      <c r="P160" s="12" t="s">
        <v>38</v>
      </c>
      <c r="Q160" s="17">
        <f>roughness</f>
        <v>4.5000000000000003E-5</v>
      </c>
      <c r="R160" s="13" t="s">
        <v>38</v>
      </c>
      <c r="S160" s="15" t="s">
        <v>38</v>
      </c>
      <c r="T160" s="15" t="s">
        <v>38</v>
      </c>
      <c r="U160" s="36" t="s">
        <v>38</v>
      </c>
      <c r="V160" s="36" t="s">
        <v>38</v>
      </c>
      <c r="W160" s="13"/>
      <c r="X160" s="15">
        <f t="shared" si="15"/>
        <v>107.22</v>
      </c>
    </row>
    <row r="161" spans="1:25" x14ac:dyDescent="0.25">
      <c r="A161" s="11" t="s">
        <v>41</v>
      </c>
      <c r="B161" s="12" t="str">
        <f t="shared" si="16"/>
        <v>PIPE_161</v>
      </c>
      <c r="C161" s="13">
        <f>0.229+1.475*2+0.1+0.08/2</f>
        <v>3.3190000000000004</v>
      </c>
      <c r="D161" s="13">
        <f>dx</f>
        <v>0.2</v>
      </c>
      <c r="E161" s="14">
        <f>(168.3-2*7.11)^2*PI()/4*0.001^2</f>
        <v>1.8645860080428248E-2</v>
      </c>
      <c r="F161" s="15">
        <v>-90</v>
      </c>
      <c r="G161" s="15">
        <v>0</v>
      </c>
      <c r="H161" s="15">
        <v>0</v>
      </c>
      <c r="I161" s="15">
        <v>0</v>
      </c>
      <c r="J161" s="11" t="s">
        <v>41</v>
      </c>
      <c r="K161" s="11" t="s">
        <v>347</v>
      </c>
      <c r="L161" s="11" t="s">
        <v>38</v>
      </c>
      <c r="M161" s="12" t="s">
        <v>38</v>
      </c>
      <c r="N161" s="12" t="s">
        <v>38</v>
      </c>
      <c r="O161" s="12" t="s">
        <v>38</v>
      </c>
      <c r="P161" s="12" t="s">
        <v>38</v>
      </c>
      <c r="Q161" s="17">
        <f>roughness</f>
        <v>4.5000000000000003E-5</v>
      </c>
      <c r="R161" s="13" t="s">
        <v>38</v>
      </c>
      <c r="S161" s="15" t="s">
        <v>38</v>
      </c>
      <c r="T161" s="15" t="s">
        <v>38</v>
      </c>
      <c r="U161" s="36" t="s">
        <v>38</v>
      </c>
      <c r="V161" s="36" t="s">
        <v>38</v>
      </c>
      <c r="W161" s="13"/>
      <c r="X161" s="15">
        <f t="shared" si="15"/>
        <v>103.901</v>
      </c>
    </row>
    <row r="162" spans="1:25" x14ac:dyDescent="0.25">
      <c r="R162" s="13"/>
      <c r="U162" s="36"/>
      <c r="V162" s="36"/>
      <c r="W162" s="13"/>
      <c r="X162" s="15">
        <f t="shared" si="15"/>
        <v>103.901</v>
      </c>
    </row>
    <row r="163" spans="1:25" x14ac:dyDescent="0.25">
      <c r="A163" s="11" t="s">
        <v>56</v>
      </c>
      <c r="B163" s="12" t="str">
        <f>CONCATENATE("JUNC_",ROW())</f>
        <v>JUNC_163</v>
      </c>
      <c r="C163" s="13" t="s">
        <v>38</v>
      </c>
      <c r="D163" s="13" t="s">
        <v>38</v>
      </c>
      <c r="E163" s="14">
        <f>(168.3-2*7.11)^2*PI()/4*0.001^2</f>
        <v>1.8645860080428248E-2</v>
      </c>
      <c r="F163" s="15" t="s">
        <v>38</v>
      </c>
      <c r="G163" s="15" t="s">
        <v>38</v>
      </c>
      <c r="H163" s="15">
        <v>0</v>
      </c>
      <c r="I163" s="15">
        <v>0</v>
      </c>
      <c r="J163" s="11" t="s">
        <v>452</v>
      </c>
      <c r="K163" s="11" t="s">
        <v>347</v>
      </c>
      <c r="L163" s="11" t="s">
        <v>38</v>
      </c>
      <c r="M163" s="12" t="str">
        <f ca="1">OFFSET($A$1,ROW()-3,1)</f>
        <v>PIPE_161</v>
      </c>
      <c r="N163" s="12" t="str">
        <f ca="1">OFFSET($A$1,ROW()+1,1)</f>
        <v>PIPE_165</v>
      </c>
      <c r="O163" s="12">
        <v>2</v>
      </c>
      <c r="P163" s="12">
        <v>1</v>
      </c>
      <c r="Q163" s="17" t="s">
        <v>38</v>
      </c>
      <c r="R163" s="13" t="s">
        <v>38</v>
      </c>
      <c r="S163" s="15" t="s">
        <v>38</v>
      </c>
      <c r="T163" s="15">
        <f>$B$39</f>
        <v>1</v>
      </c>
      <c r="U163" s="36" t="s">
        <v>38</v>
      </c>
      <c r="V163" s="36" t="s">
        <v>38</v>
      </c>
      <c r="W163" s="13"/>
      <c r="X163" s="15">
        <f t="shared" si="15"/>
        <v>103.901</v>
      </c>
    </row>
    <row r="164" spans="1:25" x14ac:dyDescent="0.25">
      <c r="R164" s="13"/>
      <c r="U164" s="36"/>
      <c r="V164" s="36"/>
      <c r="W164" s="13"/>
      <c r="X164" s="15">
        <f t="shared" si="15"/>
        <v>103.901</v>
      </c>
    </row>
    <row r="165" spans="1:25" x14ac:dyDescent="0.25">
      <c r="A165" s="11" t="s">
        <v>41</v>
      </c>
      <c r="B165" s="12" t="str">
        <f t="shared" si="16"/>
        <v>PIPE_165</v>
      </c>
      <c r="C165" s="13">
        <f>0.08/2+0.1+3.65+0.229</f>
        <v>4.0190000000000001</v>
      </c>
      <c r="D165" s="13">
        <f>dx</f>
        <v>0.2</v>
      </c>
      <c r="E165" s="14">
        <f>(168.3-2*7.11)^2*PI()/4*0.001^2</f>
        <v>1.8645860080428248E-2</v>
      </c>
      <c r="F165" s="15">
        <v>-90</v>
      </c>
      <c r="G165" s="15">
        <v>0</v>
      </c>
      <c r="H165" s="15">
        <v>0</v>
      </c>
      <c r="I165" s="15">
        <v>0</v>
      </c>
      <c r="J165" s="11" t="s">
        <v>41</v>
      </c>
      <c r="K165" s="11" t="s">
        <v>347</v>
      </c>
      <c r="L165" s="11" t="s">
        <v>38</v>
      </c>
      <c r="M165" s="12" t="s">
        <v>38</v>
      </c>
      <c r="N165" s="12" t="s">
        <v>38</v>
      </c>
      <c r="O165" s="12" t="s">
        <v>38</v>
      </c>
      <c r="P165" s="12" t="s">
        <v>38</v>
      </c>
      <c r="Q165" s="17">
        <f>roughness</f>
        <v>4.5000000000000003E-5</v>
      </c>
      <c r="R165" s="13" t="s">
        <v>38</v>
      </c>
      <c r="S165" s="15" t="s">
        <v>38</v>
      </c>
      <c r="T165" s="15" t="s">
        <v>38</v>
      </c>
      <c r="U165" s="36" t="s">
        <v>38</v>
      </c>
      <c r="V165" s="36" t="s">
        <v>38</v>
      </c>
      <c r="W165" s="13"/>
      <c r="X165" s="15">
        <f t="shared" si="15"/>
        <v>99.881999999999991</v>
      </c>
    </row>
    <row r="166" spans="1:25" x14ac:dyDescent="0.25">
      <c r="A166" s="11" t="s">
        <v>41</v>
      </c>
      <c r="B166" s="12" t="str">
        <f t="shared" si="16"/>
        <v>PIPE_166</v>
      </c>
      <c r="C166" s="13">
        <v>0.75</v>
      </c>
      <c r="D166" s="13">
        <f>dx</f>
        <v>0.2</v>
      </c>
      <c r="E166" s="14">
        <f>(168.3-2*7.11)^2*PI()/4*0.001^2</f>
        <v>1.8645860080428248E-2</v>
      </c>
      <c r="F166" s="15">
        <v>0</v>
      </c>
      <c r="G166" s="15">
        <v>0</v>
      </c>
      <c r="H166" s="15">
        <v>0</v>
      </c>
      <c r="I166" s="15">
        <v>0</v>
      </c>
      <c r="J166" s="11" t="s">
        <v>41</v>
      </c>
      <c r="K166" s="11" t="s">
        <v>347</v>
      </c>
      <c r="L166" s="11" t="s">
        <v>38</v>
      </c>
      <c r="M166" s="12" t="s">
        <v>38</v>
      </c>
      <c r="N166" s="12" t="s">
        <v>38</v>
      </c>
      <c r="O166" s="12" t="s">
        <v>38</v>
      </c>
      <c r="P166" s="12" t="s">
        <v>38</v>
      </c>
      <c r="Q166" s="17">
        <f>roughness</f>
        <v>4.5000000000000003E-5</v>
      </c>
      <c r="R166" s="13" t="s">
        <v>38</v>
      </c>
      <c r="S166" s="15" t="s">
        <v>38</v>
      </c>
      <c r="T166" s="15" t="s">
        <v>38</v>
      </c>
      <c r="U166" s="36" t="s">
        <v>38</v>
      </c>
      <c r="V166" s="36" t="s">
        <v>38</v>
      </c>
      <c r="W166" s="13"/>
      <c r="X166" s="15">
        <f t="shared" si="15"/>
        <v>99.881999999999991</v>
      </c>
    </row>
    <row r="167" spans="1:25" x14ac:dyDescent="0.25">
      <c r="A167" s="11" t="s">
        <v>41</v>
      </c>
      <c r="B167" s="12" t="str">
        <f t="shared" si="16"/>
        <v>PIPE_167</v>
      </c>
      <c r="C167" s="13">
        <v>4.5</v>
      </c>
      <c r="D167" s="13">
        <f>dx</f>
        <v>0.2</v>
      </c>
      <c r="E167" s="14">
        <f>(168.3-2*7.11)^2*PI()/4*0.001^2</f>
        <v>1.8645860080428248E-2</v>
      </c>
      <c r="F167" s="15">
        <v>0</v>
      </c>
      <c r="G167" s="15">
        <v>0</v>
      </c>
      <c r="H167" s="15">
        <v>0</v>
      </c>
      <c r="I167" s="15">
        <v>0</v>
      </c>
      <c r="J167" s="11" t="s">
        <v>41</v>
      </c>
      <c r="K167" s="11" t="s">
        <v>347</v>
      </c>
      <c r="L167" s="11" t="s">
        <v>38</v>
      </c>
      <c r="M167" s="12" t="s">
        <v>38</v>
      </c>
      <c r="N167" s="12" t="s">
        <v>38</v>
      </c>
      <c r="O167" s="12" t="s">
        <v>38</v>
      </c>
      <c r="P167" s="12" t="s">
        <v>38</v>
      </c>
      <c r="Q167" s="17">
        <f>roughness</f>
        <v>4.5000000000000003E-5</v>
      </c>
      <c r="R167" s="13" t="s">
        <v>38</v>
      </c>
      <c r="S167" s="15" t="s">
        <v>38</v>
      </c>
      <c r="T167" s="15" t="s">
        <v>38</v>
      </c>
      <c r="U167" s="36" t="s">
        <v>38</v>
      </c>
      <c r="V167" s="36" t="s">
        <v>38</v>
      </c>
      <c r="W167" s="13"/>
      <c r="X167" s="15">
        <f t="shared" si="15"/>
        <v>99.881999999999991</v>
      </c>
    </row>
    <row r="168" spans="1:25" x14ac:dyDescent="0.25">
      <c r="A168" s="11" t="s">
        <v>41</v>
      </c>
      <c r="B168" s="12" t="str">
        <f t="shared" si="16"/>
        <v>PIPE_168</v>
      </c>
      <c r="C168" s="13">
        <v>1.9319999999999999</v>
      </c>
      <c r="D168" s="13">
        <f>dx</f>
        <v>0.2</v>
      </c>
      <c r="E168" s="14">
        <f>(168.3-2*7.11)^2*PI()/4*0.001^2</f>
        <v>1.8645860080428248E-2</v>
      </c>
      <c r="F168" s="15">
        <v>-90</v>
      </c>
      <c r="G168" s="15">
        <v>0</v>
      </c>
      <c r="H168" s="15">
        <v>0</v>
      </c>
      <c r="I168" s="15">
        <v>0</v>
      </c>
      <c r="J168" s="11" t="s">
        <v>41</v>
      </c>
      <c r="K168" s="11" t="s">
        <v>347</v>
      </c>
      <c r="L168" s="11" t="s">
        <v>38</v>
      </c>
      <c r="M168" s="12" t="s">
        <v>38</v>
      </c>
      <c r="N168" s="12" t="s">
        <v>38</v>
      </c>
      <c r="O168" s="12" t="s">
        <v>38</v>
      </c>
      <c r="P168" s="12" t="s">
        <v>38</v>
      </c>
      <c r="Q168" s="17">
        <f>roughness</f>
        <v>4.5000000000000003E-5</v>
      </c>
      <c r="R168" s="13" t="s">
        <v>38</v>
      </c>
      <c r="S168" s="15" t="s">
        <v>38</v>
      </c>
      <c r="T168" s="15" t="s">
        <v>38</v>
      </c>
      <c r="U168" s="36" t="s">
        <v>38</v>
      </c>
      <c r="V168" s="36" t="s">
        <v>38</v>
      </c>
      <c r="W168" s="13" t="s">
        <v>351</v>
      </c>
      <c r="X168" s="15">
        <f t="shared" si="15"/>
        <v>97.949999999999989</v>
      </c>
    </row>
    <row r="169" spans="1:25" x14ac:dyDescent="0.25">
      <c r="A169" s="11" t="s">
        <v>41</v>
      </c>
      <c r="B169" s="12" t="str">
        <f t="shared" si="16"/>
        <v>PIPE_169</v>
      </c>
      <c r="C169" s="13">
        <v>0.629</v>
      </c>
      <c r="D169" s="13">
        <f>dx</f>
        <v>0.2</v>
      </c>
      <c r="E169" s="14">
        <f>(168.3-2*7.11)^2*PI()/4*0.001^2</f>
        <v>1.8645860080428248E-2</v>
      </c>
      <c r="F169" s="15">
        <v>0</v>
      </c>
      <c r="G169" s="15">
        <v>0</v>
      </c>
      <c r="H169" s="15">
        <v>0</v>
      </c>
      <c r="I169" s="15">
        <v>0</v>
      </c>
      <c r="J169" s="11" t="s">
        <v>41</v>
      </c>
      <c r="K169" s="11" t="s">
        <v>347</v>
      </c>
      <c r="L169" s="11" t="s">
        <v>38</v>
      </c>
      <c r="M169" s="12" t="s">
        <v>38</v>
      </c>
      <c r="N169" s="12" t="s">
        <v>38</v>
      </c>
      <c r="O169" s="12" t="s">
        <v>38</v>
      </c>
      <c r="P169" s="12" t="s">
        <v>38</v>
      </c>
      <c r="Q169" s="17">
        <f>roughness</f>
        <v>4.5000000000000003E-5</v>
      </c>
      <c r="R169" s="13" t="s">
        <v>38</v>
      </c>
      <c r="S169" s="15" t="s">
        <v>38</v>
      </c>
      <c r="T169" s="15" t="s">
        <v>38</v>
      </c>
      <c r="U169" s="36" t="s">
        <v>38</v>
      </c>
      <c r="V169" s="36" t="s">
        <v>38</v>
      </c>
      <c r="W169" s="13"/>
      <c r="X169" s="15">
        <f t="shared" si="15"/>
        <v>97.949999999999989</v>
      </c>
    </row>
    <row r="170" spans="1:25" x14ac:dyDescent="0.25">
      <c r="R170" s="13"/>
      <c r="U170" s="36"/>
      <c r="V170" s="36"/>
      <c r="W170" s="13"/>
      <c r="X170" s="15">
        <f t="shared" si="15"/>
        <v>97.949999999999989</v>
      </c>
    </row>
    <row r="171" spans="1:25" x14ac:dyDescent="0.25">
      <c r="A171" s="11" t="s">
        <v>39</v>
      </c>
      <c r="B171" s="12" t="str">
        <f>CONCATENATE("JUNC_",ROW())</f>
        <v>JUNC_171</v>
      </c>
      <c r="C171" s="13" t="s">
        <v>38</v>
      </c>
      <c r="D171" s="13" t="s">
        <v>38</v>
      </c>
      <c r="E171" s="14">
        <v>0</v>
      </c>
      <c r="F171" s="15" t="s">
        <v>38</v>
      </c>
      <c r="G171" s="15" t="s">
        <v>38</v>
      </c>
      <c r="H171" s="15">
        <v>0</v>
      </c>
      <c r="I171" s="15">
        <v>0</v>
      </c>
      <c r="J171" s="11" t="s">
        <v>269</v>
      </c>
      <c r="K171" s="11" t="s">
        <v>38</v>
      </c>
      <c r="L171" s="11" t="s">
        <v>38</v>
      </c>
      <c r="M171" s="12" t="str">
        <f ca="1">OFFSET($A$1,ROW()-3,1)</f>
        <v>PIPE_169</v>
      </c>
      <c r="N171" s="12" t="str">
        <f>B246</f>
        <v>PIPE_246</v>
      </c>
      <c r="O171" s="12">
        <v>2</v>
      </c>
      <c r="P171" s="12">
        <v>1</v>
      </c>
      <c r="Q171" s="17" t="s">
        <v>38</v>
      </c>
      <c r="R171" s="13" t="s">
        <v>38</v>
      </c>
      <c r="S171" s="15" t="s">
        <v>38</v>
      </c>
      <c r="T171" s="15" t="s">
        <v>38</v>
      </c>
      <c r="U171" s="36" t="s">
        <v>38</v>
      </c>
      <c r="V171" s="36" t="s">
        <v>38</v>
      </c>
      <c r="W171" s="13">
        <f>X246</f>
        <v>97.95</v>
      </c>
      <c r="X171" s="15">
        <f t="shared" si="15"/>
        <v>97.949999999999989</v>
      </c>
      <c r="Y171" s="118">
        <f>X171-W171</f>
        <v>0</v>
      </c>
    </row>
    <row r="172" spans="1:25" x14ac:dyDescent="0.25">
      <c r="A172" s="11" t="s">
        <v>346</v>
      </c>
      <c r="R172" s="13"/>
      <c r="U172" s="36"/>
      <c r="V172" s="36"/>
      <c r="W172" s="13"/>
    </row>
    <row r="173" spans="1:25" x14ac:dyDescent="0.25">
      <c r="A173" s="11" t="s">
        <v>390</v>
      </c>
      <c r="R173" s="13"/>
      <c r="U173" s="36"/>
      <c r="V173" s="36"/>
      <c r="W173" s="13">
        <v>97.95</v>
      </c>
    </row>
    <row r="174" spans="1:25" x14ac:dyDescent="0.25">
      <c r="A174" s="11" t="s">
        <v>35</v>
      </c>
      <c r="B174" s="12">
        <v>207</v>
      </c>
      <c r="R174" s="13"/>
      <c r="U174" s="36"/>
      <c r="V174" s="36"/>
      <c r="W174" s="13"/>
    </row>
    <row r="175" spans="1:25" x14ac:dyDescent="0.25">
      <c r="A175" s="11" t="s">
        <v>39</v>
      </c>
      <c r="B175" s="12" t="str">
        <f>CONCATENATE("JUNC_",ROW())</f>
        <v>JUNC_175</v>
      </c>
      <c r="C175" s="13" t="s">
        <v>38</v>
      </c>
      <c r="D175" s="13" t="s">
        <v>38</v>
      </c>
      <c r="E175" s="14">
        <v>0</v>
      </c>
      <c r="F175" s="15" t="s">
        <v>38</v>
      </c>
      <c r="G175" s="15" t="s">
        <v>38</v>
      </c>
      <c r="H175" s="15">
        <v>0</v>
      </c>
      <c r="I175" s="15">
        <v>0</v>
      </c>
      <c r="J175" s="11" t="s">
        <v>269</v>
      </c>
      <c r="K175" s="11" t="s">
        <v>38</v>
      </c>
      <c r="L175" s="11" t="s">
        <v>38</v>
      </c>
      <c r="M175" s="12" t="str">
        <f>B246</f>
        <v>PIPE_246</v>
      </c>
      <c r="N175" s="12" t="str">
        <f ca="1">OFFSET($A$1,ROW()+1,1)</f>
        <v>PIPE_177</v>
      </c>
      <c r="O175" s="12">
        <v>2</v>
      </c>
      <c r="P175" s="12">
        <v>1</v>
      </c>
      <c r="Q175" s="17" t="s">
        <v>38</v>
      </c>
      <c r="R175" s="13" t="s">
        <v>38</v>
      </c>
      <c r="S175" s="15" t="s">
        <v>38</v>
      </c>
      <c r="T175" s="15" t="s">
        <v>38</v>
      </c>
      <c r="U175" s="36" t="s">
        <v>38</v>
      </c>
      <c r="V175" s="36" t="s">
        <v>38</v>
      </c>
      <c r="W175" s="13"/>
      <c r="X175" s="15">
        <f>X246</f>
        <v>97.95</v>
      </c>
    </row>
    <row r="176" spans="1:25" x14ac:dyDescent="0.25">
      <c r="R176" s="13"/>
      <c r="U176" s="36"/>
      <c r="V176" s="36"/>
      <c r="W176" s="13"/>
      <c r="X176" s="15">
        <f t="shared" ref="X176:X192" si="17">IF(OR(A176="Pipe", A176="Tmdpvol"), X175+C176*SIN(F176*PI()/180), X175)</f>
        <v>97.95</v>
      </c>
    </row>
    <row r="177" spans="1:24" x14ac:dyDescent="0.25">
      <c r="A177" s="11" t="s">
        <v>41</v>
      </c>
      <c r="B177" s="12" t="str">
        <f t="shared" ref="B177:B179" si="18">CONCATENATE("PIPE_",ROW())</f>
        <v>PIPE_177</v>
      </c>
      <c r="C177" s="13">
        <v>0.22900000000000001</v>
      </c>
      <c r="D177" s="13">
        <f>dx</f>
        <v>0.2</v>
      </c>
      <c r="E177" s="14">
        <f>(168.3-2*7.11)^2*PI()/4*0.001^2</f>
        <v>1.8645860080428248E-2</v>
      </c>
      <c r="F177" s="15">
        <v>0</v>
      </c>
      <c r="G177" s="15">
        <v>0</v>
      </c>
      <c r="H177" s="15">
        <v>0</v>
      </c>
      <c r="I177" s="15">
        <v>0</v>
      </c>
      <c r="J177" s="11" t="s">
        <v>41</v>
      </c>
      <c r="K177" s="11" t="s">
        <v>348</v>
      </c>
      <c r="L177" s="11" t="s">
        <v>38</v>
      </c>
      <c r="M177" s="12" t="s">
        <v>38</v>
      </c>
      <c r="N177" s="12" t="s">
        <v>38</v>
      </c>
      <c r="O177" s="12" t="s">
        <v>38</v>
      </c>
      <c r="P177" s="12" t="s">
        <v>38</v>
      </c>
      <c r="Q177" s="17">
        <f>roughness</f>
        <v>4.5000000000000003E-5</v>
      </c>
      <c r="R177" s="13" t="s">
        <v>38</v>
      </c>
      <c r="S177" s="15" t="s">
        <v>38</v>
      </c>
      <c r="T177" s="15" t="s">
        <v>38</v>
      </c>
      <c r="U177" s="36" t="s">
        <v>38</v>
      </c>
      <c r="V177" s="36" t="s">
        <v>38</v>
      </c>
      <c r="W177" s="13"/>
      <c r="X177" s="15">
        <f t="shared" si="17"/>
        <v>97.95</v>
      </c>
    </row>
    <row r="178" spans="1:24" x14ac:dyDescent="0.25">
      <c r="A178" s="11" t="s">
        <v>41</v>
      </c>
      <c r="B178" s="12" t="str">
        <f t="shared" si="18"/>
        <v>PIPE_178</v>
      </c>
      <c r="C178" s="13">
        <f>0.229+0.143</f>
        <v>0.372</v>
      </c>
      <c r="D178" s="13">
        <f>dx</f>
        <v>0.2</v>
      </c>
      <c r="E178" s="14">
        <f>(168.3-2*7.11)^2*PI()/4*0.001^2</f>
        <v>1.8645860080428248E-2</v>
      </c>
      <c r="F178" s="15">
        <v>90</v>
      </c>
      <c r="G178" s="15">
        <v>0</v>
      </c>
      <c r="H178" s="15">
        <v>0</v>
      </c>
      <c r="I178" s="15">
        <v>0</v>
      </c>
      <c r="J178" s="11" t="s">
        <v>41</v>
      </c>
      <c r="K178" s="11" t="s">
        <v>348</v>
      </c>
      <c r="L178" s="11" t="s">
        <v>38</v>
      </c>
      <c r="M178" s="12" t="s">
        <v>38</v>
      </c>
      <c r="N178" s="12" t="s">
        <v>38</v>
      </c>
      <c r="O178" s="12" t="s">
        <v>38</v>
      </c>
      <c r="P178" s="12" t="s">
        <v>38</v>
      </c>
      <c r="Q178" s="17">
        <f>roughness</f>
        <v>4.5000000000000003E-5</v>
      </c>
      <c r="R178" s="13" t="s">
        <v>38</v>
      </c>
      <c r="S178" s="15" t="s">
        <v>38</v>
      </c>
      <c r="T178" s="15" t="s">
        <v>38</v>
      </c>
      <c r="U178" s="36" t="s">
        <v>38</v>
      </c>
      <c r="V178" s="36" t="s">
        <v>38</v>
      </c>
      <c r="W178" s="13"/>
      <c r="X178" s="15">
        <f t="shared" si="17"/>
        <v>98.322000000000003</v>
      </c>
    </row>
    <row r="179" spans="1:24" x14ac:dyDescent="0.25">
      <c r="A179" s="11" t="s">
        <v>41</v>
      </c>
      <c r="B179" s="12" t="str">
        <f t="shared" si="18"/>
        <v>PIPE_179</v>
      </c>
      <c r="C179" s="13">
        <f>0.143+3.325+0.1</f>
        <v>3.5680000000000001</v>
      </c>
      <c r="D179" s="13">
        <f>dx</f>
        <v>0.2</v>
      </c>
      <c r="E179" s="14">
        <f>(168.3-2*7.11)^2*PI()/4*0.001^2</f>
        <v>1.8645860080428248E-2</v>
      </c>
      <c r="F179" s="15">
        <v>90</v>
      </c>
      <c r="G179" s="15">
        <v>0</v>
      </c>
      <c r="H179" s="15">
        <v>0</v>
      </c>
      <c r="I179" s="15">
        <v>0</v>
      </c>
      <c r="J179" s="11" t="s">
        <v>41</v>
      </c>
      <c r="K179" s="11" t="s">
        <v>348</v>
      </c>
      <c r="L179" s="11" t="s">
        <v>38</v>
      </c>
      <c r="M179" s="12" t="s">
        <v>38</v>
      </c>
      <c r="N179" s="12" t="s">
        <v>38</v>
      </c>
      <c r="O179" s="12" t="s">
        <v>38</v>
      </c>
      <c r="P179" s="12" t="s">
        <v>38</v>
      </c>
      <c r="Q179" s="17">
        <f>roughness</f>
        <v>4.5000000000000003E-5</v>
      </c>
      <c r="R179" s="13" t="s">
        <v>38</v>
      </c>
      <c r="S179" s="15" t="s">
        <v>38</v>
      </c>
      <c r="T179" s="15" t="s">
        <v>38</v>
      </c>
      <c r="U179" s="36" t="s">
        <v>38</v>
      </c>
      <c r="V179" s="36" t="s">
        <v>38</v>
      </c>
      <c r="W179" s="13"/>
      <c r="X179" s="15">
        <f t="shared" si="17"/>
        <v>101.89</v>
      </c>
    </row>
    <row r="180" spans="1:24" x14ac:dyDescent="0.25">
      <c r="R180" s="13"/>
      <c r="U180" s="36"/>
      <c r="V180" s="36"/>
      <c r="W180" s="13"/>
      <c r="X180" s="15">
        <f t="shared" si="17"/>
        <v>101.89</v>
      </c>
    </row>
    <row r="181" spans="1:24" x14ac:dyDescent="0.25">
      <c r="A181" s="11" t="s">
        <v>39</v>
      </c>
      <c r="B181" s="12" t="str">
        <f>CONCATENATE("JUNC_",ROW())</f>
        <v>JUNC_181</v>
      </c>
      <c r="C181" s="13" t="s">
        <v>38</v>
      </c>
      <c r="D181" s="13" t="s">
        <v>38</v>
      </c>
      <c r="E181" s="14">
        <v>0</v>
      </c>
      <c r="F181" s="15" t="s">
        <v>38</v>
      </c>
      <c r="G181" s="15" t="s">
        <v>38</v>
      </c>
      <c r="H181" s="15">
        <v>0</v>
      </c>
      <c r="I181" s="15">
        <v>0</v>
      </c>
      <c r="J181" s="11" t="s">
        <v>349</v>
      </c>
      <c r="K181" s="11" t="s">
        <v>38</v>
      </c>
      <c r="L181" s="11" t="s">
        <v>38</v>
      </c>
      <c r="M181" s="12" t="str">
        <f ca="1">OFFSET($A$1,ROW()-3,1)</f>
        <v>PIPE_179</v>
      </c>
      <c r="N181" s="12" t="str">
        <f ca="1">OFFSET($A$1,ROW()+1,1)</f>
        <v>PIPE_183</v>
      </c>
      <c r="O181" s="12">
        <v>2</v>
      </c>
      <c r="P181" s="12">
        <v>1</v>
      </c>
      <c r="Q181" s="17" t="s">
        <v>38</v>
      </c>
      <c r="R181" s="13" t="s">
        <v>38</v>
      </c>
      <c r="S181" s="15" t="s">
        <v>38</v>
      </c>
      <c r="T181" s="15" t="s">
        <v>38</v>
      </c>
      <c r="U181" s="36" t="s">
        <v>38</v>
      </c>
      <c r="V181" s="36" t="s">
        <v>38</v>
      </c>
      <c r="W181" s="13"/>
      <c r="X181" s="15">
        <f t="shared" si="17"/>
        <v>101.89</v>
      </c>
    </row>
    <row r="182" spans="1:24" x14ac:dyDescent="0.25">
      <c r="R182" s="13"/>
      <c r="U182" s="36"/>
      <c r="V182" s="36"/>
      <c r="W182" s="13"/>
      <c r="X182" s="15">
        <f t="shared" si="17"/>
        <v>101.89</v>
      </c>
    </row>
    <row r="183" spans="1:24" x14ac:dyDescent="0.25">
      <c r="A183" s="11" t="s">
        <v>41</v>
      </c>
      <c r="B183" s="12" t="str">
        <f t="shared" ref="B183" si="19">CONCATENATE("PIPE_",ROW())</f>
        <v>PIPE_183</v>
      </c>
      <c r="C183" s="13">
        <f>0.1+1.84+0.076/2</f>
        <v>1.9780000000000002</v>
      </c>
      <c r="D183" s="13">
        <f>dx</f>
        <v>0.2</v>
      </c>
      <c r="E183" s="14">
        <f>(168.3-2*7.11)^2*PI()/4*0.001^2</f>
        <v>1.8645860080428248E-2</v>
      </c>
      <c r="F183" s="15">
        <v>90</v>
      </c>
      <c r="G183" s="15">
        <v>0</v>
      </c>
      <c r="H183" s="15">
        <v>0</v>
      </c>
      <c r="I183" s="15">
        <v>0</v>
      </c>
      <c r="J183" s="11" t="s">
        <v>41</v>
      </c>
      <c r="K183" s="11" t="s">
        <v>348</v>
      </c>
      <c r="L183" s="11" t="s">
        <v>38</v>
      </c>
      <c r="M183" s="12" t="s">
        <v>38</v>
      </c>
      <c r="N183" s="12" t="s">
        <v>38</v>
      </c>
      <c r="O183" s="12" t="s">
        <v>38</v>
      </c>
      <c r="P183" s="12" t="s">
        <v>38</v>
      </c>
      <c r="Q183" s="17">
        <f>roughness</f>
        <v>4.5000000000000003E-5</v>
      </c>
      <c r="R183" s="13" t="s">
        <v>38</v>
      </c>
      <c r="S183" s="15" t="s">
        <v>38</v>
      </c>
      <c r="T183" s="15" t="s">
        <v>38</v>
      </c>
      <c r="U183" s="36" t="s">
        <v>38</v>
      </c>
      <c r="V183" s="36" t="s">
        <v>38</v>
      </c>
      <c r="W183" s="13"/>
      <c r="X183" s="15">
        <f t="shared" si="17"/>
        <v>103.86799999999999</v>
      </c>
    </row>
    <row r="184" spans="1:24" x14ac:dyDescent="0.25">
      <c r="R184" s="13"/>
      <c r="U184" s="36"/>
      <c r="V184" s="36"/>
      <c r="W184" s="13"/>
      <c r="X184" s="15">
        <f t="shared" si="17"/>
        <v>103.86799999999999</v>
      </c>
    </row>
    <row r="185" spans="1:24" x14ac:dyDescent="0.25">
      <c r="A185" s="11" t="s">
        <v>56</v>
      </c>
      <c r="B185" s="12" t="str">
        <f>CONCATENATE("JUNC_",ROW())</f>
        <v>JUNC_185</v>
      </c>
      <c r="C185" s="13" t="s">
        <v>38</v>
      </c>
      <c r="D185" s="13" t="s">
        <v>38</v>
      </c>
      <c r="E185" s="14">
        <f>(168.3-2*7.11)^2*PI()/4*0.001^2</f>
        <v>1.8645860080428248E-2</v>
      </c>
      <c r="F185" s="15" t="s">
        <v>38</v>
      </c>
      <c r="G185" s="15" t="s">
        <v>38</v>
      </c>
      <c r="H185" s="15">
        <v>0</v>
      </c>
      <c r="I185" s="15">
        <v>0</v>
      </c>
      <c r="J185" s="11" t="s">
        <v>453</v>
      </c>
      <c r="K185" s="11" t="s">
        <v>38</v>
      </c>
      <c r="L185" s="11" t="s">
        <v>38</v>
      </c>
      <c r="M185" s="12" t="str">
        <f ca="1">OFFSET($A$1,ROW()-3,1)</f>
        <v>PIPE_183</v>
      </c>
      <c r="N185" s="12" t="str">
        <f ca="1">OFFSET($A$1,ROW()+1,1)</f>
        <v>PIPE_187</v>
      </c>
      <c r="O185" s="12">
        <v>2</v>
      </c>
      <c r="P185" s="12">
        <v>1</v>
      </c>
      <c r="Q185" s="17" t="s">
        <v>38</v>
      </c>
      <c r="R185" s="13" t="s">
        <v>38</v>
      </c>
      <c r="S185" s="15" t="s">
        <v>38</v>
      </c>
      <c r="T185" s="15">
        <f>$B$40</f>
        <v>1</v>
      </c>
      <c r="U185" s="36" t="s">
        <v>38</v>
      </c>
      <c r="V185" s="36" t="s">
        <v>38</v>
      </c>
      <c r="W185" s="13"/>
      <c r="X185" s="15">
        <f t="shared" si="17"/>
        <v>103.86799999999999</v>
      </c>
    </row>
    <row r="186" spans="1:24" x14ac:dyDescent="0.25">
      <c r="R186" s="13"/>
      <c r="U186" s="36"/>
      <c r="V186" s="36"/>
      <c r="W186" s="13"/>
      <c r="X186" s="15">
        <f t="shared" si="17"/>
        <v>103.86799999999999</v>
      </c>
    </row>
    <row r="187" spans="1:24" x14ac:dyDescent="0.25">
      <c r="A187" s="11" t="s">
        <v>41</v>
      </c>
      <c r="B187" s="12" t="str">
        <f t="shared" ref="B187:B188" si="20">CONCATENATE("PIPE_",ROW())</f>
        <v>PIPE_187</v>
      </c>
      <c r="C187" s="13">
        <f>0.076/2+2.361+0.229</f>
        <v>2.6280000000000001</v>
      </c>
      <c r="D187" s="13">
        <f>dx</f>
        <v>0.2</v>
      </c>
      <c r="E187" s="14">
        <f>(168.3-2*7.11)^2*PI()/4*0.001^2</f>
        <v>1.8645860080428248E-2</v>
      </c>
      <c r="F187" s="15">
        <v>90</v>
      </c>
      <c r="G187" s="15">
        <v>0</v>
      </c>
      <c r="H187" s="15">
        <v>0</v>
      </c>
      <c r="I187" s="15">
        <v>0</v>
      </c>
      <c r="J187" s="11" t="s">
        <v>41</v>
      </c>
      <c r="K187" s="11" t="s">
        <v>348</v>
      </c>
      <c r="L187" s="11" t="s">
        <v>38</v>
      </c>
      <c r="M187" s="12" t="s">
        <v>38</v>
      </c>
      <c r="N187" s="12" t="s">
        <v>38</v>
      </c>
      <c r="O187" s="12" t="s">
        <v>38</v>
      </c>
      <c r="P187" s="12" t="s">
        <v>38</v>
      </c>
      <c r="Q187" s="17">
        <f>roughness</f>
        <v>4.5000000000000003E-5</v>
      </c>
      <c r="R187" s="13" t="s">
        <v>38</v>
      </c>
      <c r="S187" s="15" t="s">
        <v>38</v>
      </c>
      <c r="T187" s="15" t="s">
        <v>38</v>
      </c>
      <c r="U187" s="36" t="s">
        <v>38</v>
      </c>
      <c r="V187" s="36" t="s">
        <v>38</v>
      </c>
      <c r="W187" s="13"/>
      <c r="X187" s="15">
        <f t="shared" si="17"/>
        <v>106.496</v>
      </c>
    </row>
    <row r="188" spans="1:24" x14ac:dyDescent="0.25">
      <c r="A188" s="11" t="s">
        <v>41</v>
      </c>
      <c r="B188" s="12" t="str">
        <f t="shared" si="20"/>
        <v>PIPE_188</v>
      </c>
      <c r="C188" s="13">
        <v>0.65900000000000003</v>
      </c>
      <c r="D188" s="13">
        <f>dx</f>
        <v>0.2</v>
      </c>
      <c r="E188" s="14">
        <f>(168.3-2*7.11)^2*PI()/4*0.001^2</f>
        <v>1.8645860080428248E-2</v>
      </c>
      <c r="F188" s="15">
        <v>0</v>
      </c>
      <c r="G188" s="15">
        <v>0</v>
      </c>
      <c r="H188" s="15">
        <v>0</v>
      </c>
      <c r="I188" s="15">
        <v>0</v>
      </c>
      <c r="J188" s="11" t="s">
        <v>41</v>
      </c>
      <c r="K188" s="11" t="s">
        <v>348</v>
      </c>
      <c r="L188" s="11" t="s">
        <v>38</v>
      </c>
      <c r="M188" s="12" t="s">
        <v>38</v>
      </c>
      <c r="N188" s="12" t="s">
        <v>38</v>
      </c>
      <c r="O188" s="12" t="s">
        <v>38</v>
      </c>
      <c r="P188" s="12" t="s">
        <v>38</v>
      </c>
      <c r="Q188" s="17">
        <f>roughness</f>
        <v>4.5000000000000003E-5</v>
      </c>
      <c r="R188" s="13" t="s">
        <v>38</v>
      </c>
      <c r="S188" s="15" t="s">
        <v>38</v>
      </c>
      <c r="T188" s="15" t="s">
        <v>38</v>
      </c>
      <c r="U188" s="36" t="s">
        <v>38</v>
      </c>
      <c r="V188" s="36" t="s">
        <v>38</v>
      </c>
      <c r="W188" s="13"/>
      <c r="X188" s="15">
        <f t="shared" si="17"/>
        <v>106.496</v>
      </c>
    </row>
    <row r="189" spans="1:24" x14ac:dyDescent="0.25">
      <c r="R189" s="13"/>
      <c r="U189" s="36"/>
      <c r="V189" s="36"/>
      <c r="W189" s="13"/>
      <c r="X189" s="15">
        <f t="shared" si="17"/>
        <v>106.496</v>
      </c>
    </row>
    <row r="190" spans="1:24" x14ac:dyDescent="0.25">
      <c r="A190" s="11" t="s">
        <v>39</v>
      </c>
      <c r="B190" s="12" t="str">
        <f>CONCATENATE("JUNC_",ROW())</f>
        <v>JUNC_190</v>
      </c>
      <c r="C190" s="13" t="s">
        <v>38</v>
      </c>
      <c r="D190" s="13" t="s">
        <v>38</v>
      </c>
      <c r="E190" s="14">
        <v>0</v>
      </c>
      <c r="F190" s="15" t="s">
        <v>38</v>
      </c>
      <c r="G190" s="15" t="s">
        <v>38</v>
      </c>
      <c r="H190" s="15">
        <v>0</v>
      </c>
      <c r="I190" s="15">
        <v>0</v>
      </c>
      <c r="J190" s="11" t="s">
        <v>269</v>
      </c>
      <c r="K190" s="11" t="s">
        <v>38</v>
      </c>
      <c r="L190" s="11" t="s">
        <v>38</v>
      </c>
      <c r="M190" s="12" t="str">
        <f ca="1">OFFSET($A$1,ROW()-3,1)</f>
        <v>PIPE_188</v>
      </c>
      <c r="N190" s="12" t="str">
        <f ca="1">OFFSET($A$1,ROW()+1,1)</f>
        <v>TMDV_192</v>
      </c>
      <c r="O190" s="12">
        <v>2</v>
      </c>
      <c r="P190" s="12">
        <v>1</v>
      </c>
      <c r="Q190" s="17" t="s">
        <v>38</v>
      </c>
      <c r="R190" s="13" t="s">
        <v>38</v>
      </c>
      <c r="S190" s="15" t="s">
        <v>38</v>
      </c>
      <c r="T190" s="15" t="s">
        <v>38</v>
      </c>
      <c r="U190" s="36" t="s">
        <v>38</v>
      </c>
      <c r="V190" s="36" t="s">
        <v>38</v>
      </c>
      <c r="W190" s="13"/>
      <c r="X190" s="15">
        <f t="shared" si="17"/>
        <v>106.496</v>
      </c>
    </row>
    <row r="191" spans="1:24" x14ac:dyDescent="0.25">
      <c r="R191" s="13"/>
      <c r="U191" s="36"/>
      <c r="V191" s="36"/>
      <c r="W191" s="13"/>
      <c r="X191" s="15">
        <f t="shared" si="17"/>
        <v>106.496</v>
      </c>
    </row>
    <row r="192" spans="1:24" x14ac:dyDescent="0.25">
      <c r="A192" s="11" t="s">
        <v>37</v>
      </c>
      <c r="B192" s="12" t="str">
        <f>CONCATENATE("TMDV_",ROW())</f>
        <v>TMDV_192</v>
      </c>
      <c r="C192" s="13">
        <v>1</v>
      </c>
      <c r="D192" s="13" t="s">
        <v>38</v>
      </c>
      <c r="E192" s="14">
        <v>1</v>
      </c>
      <c r="F192" s="15">
        <v>0</v>
      </c>
      <c r="G192" s="15">
        <v>0</v>
      </c>
      <c r="H192" s="15" t="s">
        <v>38</v>
      </c>
      <c r="I192" s="15" t="s">
        <v>38</v>
      </c>
      <c r="J192" s="11" t="s">
        <v>280</v>
      </c>
      <c r="K192" s="11" t="s">
        <v>38</v>
      </c>
      <c r="L192" s="11" t="s">
        <v>38</v>
      </c>
      <c r="M192" s="12" t="s">
        <v>38</v>
      </c>
      <c r="N192" s="12" t="s">
        <v>38</v>
      </c>
      <c r="O192" s="12" t="s">
        <v>38</v>
      </c>
      <c r="P192" s="12" t="s">
        <v>38</v>
      </c>
      <c r="Q192" s="17">
        <v>300000</v>
      </c>
      <c r="R192" s="13">
        <v>293.14999999999998</v>
      </c>
      <c r="S192" s="15" t="s">
        <v>38</v>
      </c>
      <c r="T192" s="15" t="s">
        <v>38</v>
      </c>
      <c r="U192" s="36" t="s">
        <v>38</v>
      </c>
      <c r="V192" s="36" t="s">
        <v>38</v>
      </c>
      <c r="W192" s="13"/>
      <c r="X192" s="15">
        <f t="shared" si="17"/>
        <v>106.496</v>
      </c>
    </row>
    <row r="193" spans="1:23" x14ac:dyDescent="0.25">
      <c r="R193" s="13"/>
      <c r="U193" s="36"/>
      <c r="V193" s="36"/>
      <c r="W193" s="13"/>
    </row>
    <row r="194" spans="1:23" x14ac:dyDescent="0.25">
      <c r="R194" s="13"/>
      <c r="U194" s="36"/>
      <c r="V194" s="36"/>
      <c r="W194" s="13"/>
    </row>
    <row r="195" spans="1:23" x14ac:dyDescent="0.25">
      <c r="R195" s="13"/>
      <c r="U195" s="36"/>
      <c r="V195" s="36"/>
      <c r="W195" s="13"/>
    </row>
    <row r="196" spans="1:23" x14ac:dyDescent="0.25">
      <c r="A196" s="11" t="s">
        <v>391</v>
      </c>
      <c r="R196" s="13"/>
      <c r="U196" s="36"/>
      <c r="V196" s="36"/>
      <c r="W196" s="13"/>
    </row>
    <row r="197" spans="1:23" x14ac:dyDescent="0.25">
      <c r="A197" s="11" t="s">
        <v>35</v>
      </c>
      <c r="B197" s="12">
        <v>251</v>
      </c>
      <c r="R197" s="13"/>
      <c r="U197" s="36"/>
      <c r="V197" s="36"/>
      <c r="W197" s="13"/>
    </row>
    <row r="198" spans="1:23" x14ac:dyDescent="0.25">
      <c r="A198" s="11" t="s">
        <v>36</v>
      </c>
      <c r="B198" s="12">
        <f>$B$33*100000</f>
        <v>300000</v>
      </c>
      <c r="C198" s="13">
        <f>273.15+B34</f>
        <v>308.14999999999998</v>
      </c>
      <c r="R198" s="13"/>
      <c r="U198" s="36"/>
      <c r="V198" s="36"/>
      <c r="W198" s="13"/>
    </row>
    <row r="199" spans="1:23" x14ac:dyDescent="0.25">
      <c r="A199" s="11" t="s">
        <v>39</v>
      </c>
      <c r="B199" s="12" t="str">
        <f>CONCATENATE("JUNC_",ROW())</f>
        <v>JUNC_199</v>
      </c>
      <c r="C199" s="13" t="s">
        <v>38</v>
      </c>
      <c r="D199" s="13" t="s">
        <v>38</v>
      </c>
      <c r="E199" s="14">
        <v>0</v>
      </c>
      <c r="F199" s="15" t="s">
        <v>38</v>
      </c>
      <c r="G199" s="15" t="s">
        <v>38</v>
      </c>
      <c r="H199" s="15">
        <v>0</v>
      </c>
      <c r="I199" s="15">
        <v>0</v>
      </c>
      <c r="J199" s="11" t="s">
        <v>269</v>
      </c>
      <c r="K199" s="11" t="s">
        <v>38</v>
      </c>
      <c r="L199" s="11" t="s">
        <v>38</v>
      </c>
      <c r="M199" s="12" t="str">
        <f>B178</f>
        <v>PIPE_178</v>
      </c>
      <c r="N199" s="12" t="str">
        <f ca="1">OFFSET($A$1,ROW()+1,1)</f>
        <v>PIPE_201</v>
      </c>
      <c r="O199" s="12">
        <v>2</v>
      </c>
      <c r="P199" s="12">
        <v>1</v>
      </c>
      <c r="Q199" s="17" t="s">
        <v>38</v>
      </c>
      <c r="R199" s="13" t="s">
        <v>38</v>
      </c>
      <c r="S199" s="15" t="s">
        <v>38</v>
      </c>
      <c r="T199" s="15" t="s">
        <v>38</v>
      </c>
      <c r="U199" s="36" t="s">
        <v>38</v>
      </c>
      <c r="V199" s="36" t="s">
        <v>38</v>
      </c>
      <c r="W199" s="13"/>
    </row>
    <row r="200" spans="1:23" x14ac:dyDescent="0.25">
      <c r="R200" s="13"/>
      <c r="U200" s="36"/>
      <c r="V200" s="36"/>
      <c r="W200" s="13"/>
    </row>
    <row r="201" spans="1:23" x14ac:dyDescent="0.25">
      <c r="A201" s="11" t="s">
        <v>41</v>
      </c>
      <c r="B201" s="12" t="str">
        <f t="shared" ref="B201:B205" si="21">CONCATENATE("PIPE_",ROW())</f>
        <v>PIPE_201</v>
      </c>
      <c r="C201" s="13">
        <f>0.175+0.475</f>
        <v>0.64999999999999991</v>
      </c>
      <c r="D201" s="13">
        <f>dx</f>
        <v>0.2</v>
      </c>
      <c r="E201" s="14">
        <f>77.92^2*PI()/4*0.001^2</f>
        <v>4.768565683579121E-3</v>
      </c>
      <c r="F201" s="15">
        <v>0</v>
      </c>
      <c r="G201" s="15">
        <v>0</v>
      </c>
      <c r="H201" s="15">
        <v>0</v>
      </c>
      <c r="I201" s="15">
        <v>0</v>
      </c>
      <c r="J201" s="11" t="s">
        <v>41</v>
      </c>
      <c r="K201" s="11" t="s">
        <v>350</v>
      </c>
      <c r="L201" s="11" t="s">
        <v>38</v>
      </c>
      <c r="M201" s="12" t="s">
        <v>38</v>
      </c>
      <c r="N201" s="12" t="s">
        <v>38</v>
      </c>
      <c r="O201" s="12" t="s">
        <v>38</v>
      </c>
      <c r="P201" s="12" t="s">
        <v>38</v>
      </c>
      <c r="Q201" s="17">
        <f>roughness</f>
        <v>4.5000000000000003E-5</v>
      </c>
      <c r="R201" s="13" t="s">
        <v>38</v>
      </c>
      <c r="S201" s="15" t="s">
        <v>38</v>
      </c>
      <c r="T201" s="15" t="s">
        <v>38</v>
      </c>
      <c r="U201" s="36" t="s">
        <v>38</v>
      </c>
      <c r="V201" s="36" t="s">
        <v>38</v>
      </c>
      <c r="W201" s="13"/>
    </row>
    <row r="202" spans="1:23" x14ac:dyDescent="0.25">
      <c r="A202" s="11" t="s">
        <v>41</v>
      </c>
      <c r="B202" s="12" t="str">
        <f t="shared" si="21"/>
        <v>PIPE_202</v>
      </c>
      <c r="C202" s="13">
        <v>0.44800000000000001</v>
      </c>
      <c r="D202" s="13">
        <f>dx</f>
        <v>0.2</v>
      </c>
      <c r="E202" s="14">
        <f>77.92^2*PI()/4*0.001^2</f>
        <v>4.768565683579121E-3</v>
      </c>
      <c r="F202" s="15">
        <v>0</v>
      </c>
      <c r="G202" s="15">
        <v>0</v>
      </c>
      <c r="H202" s="15">
        <v>0</v>
      </c>
      <c r="I202" s="15">
        <v>0</v>
      </c>
      <c r="J202" s="11" t="s">
        <v>41</v>
      </c>
      <c r="K202" s="11" t="s">
        <v>350</v>
      </c>
      <c r="L202" s="11" t="s">
        <v>38</v>
      </c>
      <c r="M202" s="12" t="s">
        <v>38</v>
      </c>
      <c r="N202" s="12" t="s">
        <v>38</v>
      </c>
      <c r="O202" s="12" t="s">
        <v>38</v>
      </c>
      <c r="P202" s="12" t="s">
        <v>38</v>
      </c>
      <c r="Q202" s="17">
        <f>roughness</f>
        <v>4.5000000000000003E-5</v>
      </c>
      <c r="R202" s="13" t="s">
        <v>38</v>
      </c>
      <c r="S202" s="15" t="s">
        <v>38</v>
      </c>
      <c r="T202" s="15" t="s">
        <v>38</v>
      </c>
      <c r="U202" s="36" t="s">
        <v>38</v>
      </c>
      <c r="V202" s="36" t="s">
        <v>38</v>
      </c>
      <c r="W202" s="13"/>
    </row>
    <row r="203" spans="1:23" x14ac:dyDescent="0.25">
      <c r="A203" s="11" t="s">
        <v>41</v>
      </c>
      <c r="B203" s="12" t="str">
        <f t="shared" si="21"/>
        <v>PIPE_203</v>
      </c>
      <c r="C203" s="13">
        <f>0.114+0.063/2</f>
        <v>0.14550000000000002</v>
      </c>
      <c r="D203" s="13">
        <f>dx</f>
        <v>0.2</v>
      </c>
      <c r="E203" s="14">
        <f>77.92^2*PI()/4*0.001^2</f>
        <v>4.768565683579121E-3</v>
      </c>
      <c r="F203" s="15">
        <v>90</v>
      </c>
      <c r="G203" s="15">
        <v>0</v>
      </c>
      <c r="H203" s="15">
        <v>0</v>
      </c>
      <c r="I203" s="15">
        <v>0</v>
      </c>
      <c r="J203" s="11" t="s">
        <v>41</v>
      </c>
      <c r="K203" s="11" t="s">
        <v>350</v>
      </c>
      <c r="L203" s="11" t="s">
        <v>38</v>
      </c>
      <c r="M203" s="12" t="s">
        <v>38</v>
      </c>
      <c r="N203" s="12" t="s">
        <v>38</v>
      </c>
      <c r="O203" s="12" t="s">
        <v>38</v>
      </c>
      <c r="P203" s="12" t="s">
        <v>38</v>
      </c>
      <c r="Q203" s="17">
        <f>roughness</f>
        <v>4.5000000000000003E-5</v>
      </c>
      <c r="R203" s="13" t="s">
        <v>38</v>
      </c>
      <c r="S203" s="15" t="s">
        <v>38</v>
      </c>
      <c r="T203" s="15" t="s">
        <v>38</v>
      </c>
      <c r="U203" s="36" t="s">
        <v>38</v>
      </c>
      <c r="V203" s="36" t="s">
        <v>38</v>
      </c>
      <c r="W203" s="13"/>
    </row>
    <row r="204" spans="1:23" x14ac:dyDescent="0.25">
      <c r="A204" s="11" t="s">
        <v>41</v>
      </c>
      <c r="B204" s="12" t="str">
        <f t="shared" si="21"/>
        <v>PIPE_204</v>
      </c>
      <c r="C204" s="13">
        <f>0.063/2+0.08+0.063/2</f>
        <v>0.14300000000000002</v>
      </c>
      <c r="D204" s="13">
        <f>dx</f>
        <v>0.2</v>
      </c>
      <c r="E204" s="14">
        <f>(60.32-2*3.91)^2*PI()/4*0.001^2</f>
        <v>2.1647536878642167E-3</v>
      </c>
      <c r="F204" s="15">
        <v>90</v>
      </c>
      <c r="G204" s="15">
        <v>0</v>
      </c>
      <c r="H204" s="15">
        <v>0</v>
      </c>
      <c r="I204" s="15">
        <v>0</v>
      </c>
      <c r="J204" s="11" t="s">
        <v>41</v>
      </c>
      <c r="K204" s="11" t="s">
        <v>350</v>
      </c>
      <c r="L204" s="11" t="s">
        <v>38</v>
      </c>
      <c r="M204" s="12" t="s">
        <v>38</v>
      </c>
      <c r="N204" s="12" t="s">
        <v>38</v>
      </c>
      <c r="O204" s="12" t="s">
        <v>38</v>
      </c>
      <c r="P204" s="12" t="s">
        <v>38</v>
      </c>
      <c r="Q204" s="17">
        <f>roughness</f>
        <v>4.5000000000000003E-5</v>
      </c>
      <c r="R204" s="13" t="s">
        <v>38</v>
      </c>
      <c r="S204" s="15" t="s">
        <v>38</v>
      </c>
      <c r="T204" s="15" t="s">
        <v>38</v>
      </c>
      <c r="U204" s="36" t="s">
        <v>38</v>
      </c>
      <c r="V204" s="36" t="s">
        <v>38</v>
      </c>
      <c r="W204" s="13"/>
    </row>
    <row r="205" spans="1:23" x14ac:dyDescent="0.25">
      <c r="A205" s="11" t="s">
        <v>41</v>
      </c>
      <c r="B205" s="12" t="str">
        <f t="shared" si="21"/>
        <v>PIPE_205</v>
      </c>
      <c r="C205" s="13">
        <f>0.063/2+0.1+0.071</f>
        <v>0.20250000000000001</v>
      </c>
      <c r="D205" s="13">
        <f>dx</f>
        <v>0.2</v>
      </c>
      <c r="E205" s="14">
        <f>(48.26-2*3.68)^2*PI()/4*0.001^2</f>
        <v>1.3138219017128853E-3</v>
      </c>
      <c r="F205" s="15">
        <v>90</v>
      </c>
      <c r="G205" s="15">
        <v>0</v>
      </c>
      <c r="H205" s="15">
        <v>0</v>
      </c>
      <c r="I205" s="15">
        <v>0</v>
      </c>
      <c r="J205" s="11" t="s">
        <v>41</v>
      </c>
      <c r="K205" s="11" t="s">
        <v>350</v>
      </c>
      <c r="L205" s="11" t="s">
        <v>38</v>
      </c>
      <c r="M205" s="12" t="s">
        <v>38</v>
      </c>
      <c r="N205" s="12" t="s">
        <v>38</v>
      </c>
      <c r="O205" s="12" t="s">
        <v>38</v>
      </c>
      <c r="P205" s="12" t="s">
        <v>38</v>
      </c>
      <c r="Q205" s="17">
        <f>roughness</f>
        <v>4.5000000000000003E-5</v>
      </c>
      <c r="R205" s="13" t="s">
        <v>38</v>
      </c>
      <c r="S205" s="15" t="s">
        <v>38</v>
      </c>
      <c r="T205" s="15" t="s">
        <v>38</v>
      </c>
      <c r="U205" s="36" t="s">
        <v>38</v>
      </c>
      <c r="V205" s="36" t="s">
        <v>38</v>
      </c>
      <c r="W205" s="13"/>
    </row>
    <row r="206" spans="1:23" x14ac:dyDescent="0.25">
      <c r="R206" s="13"/>
      <c r="U206" s="36"/>
      <c r="V206" s="36"/>
      <c r="W206" s="13"/>
    </row>
    <row r="207" spans="1:23" x14ac:dyDescent="0.25">
      <c r="A207" s="11" t="s">
        <v>46</v>
      </c>
      <c r="B207" s="12" t="str">
        <f>CONCATENATE("JUNC_",ROW())</f>
        <v>JUNC_207</v>
      </c>
      <c r="C207" s="13" t="s">
        <v>38</v>
      </c>
      <c r="D207" s="13" t="s">
        <v>38</v>
      </c>
      <c r="E207" s="14">
        <f>E205*$B$43</f>
        <v>7.8829314102773118E-4</v>
      </c>
      <c r="F207" s="15" t="s">
        <v>38</v>
      </c>
      <c r="G207" s="15" t="s">
        <v>38</v>
      </c>
      <c r="H207" s="15">
        <v>0</v>
      </c>
      <c r="I207" s="15">
        <v>0</v>
      </c>
      <c r="J207" s="11" t="s">
        <v>446</v>
      </c>
      <c r="K207" s="11" t="s">
        <v>38</v>
      </c>
      <c r="L207" s="11" t="s">
        <v>38</v>
      </c>
      <c r="M207" s="12" t="str">
        <f ca="1">OFFSET($A$1,ROW()-3,1)</f>
        <v>PIPE_205</v>
      </c>
      <c r="N207" s="12" t="str">
        <f ca="1">OFFSET($A$1,ROW()+1,1)</f>
        <v>TMDV_209</v>
      </c>
      <c r="O207" s="12">
        <v>2</v>
      </c>
      <c r="P207" s="12">
        <v>1</v>
      </c>
      <c r="Q207" s="17" t="s">
        <v>38</v>
      </c>
      <c r="R207" s="13" t="s">
        <v>38</v>
      </c>
      <c r="S207" s="15" t="s">
        <v>38</v>
      </c>
      <c r="T207" s="15">
        <v>0</v>
      </c>
      <c r="U207" s="36" t="s">
        <v>38</v>
      </c>
      <c r="V207" s="36" t="s">
        <v>38</v>
      </c>
      <c r="W207" s="13"/>
    </row>
    <row r="208" spans="1:23" x14ac:dyDescent="0.25">
      <c r="R208" s="13"/>
      <c r="U208" s="36"/>
      <c r="V208" s="36"/>
      <c r="W208" s="13"/>
    </row>
    <row r="209" spans="1:29" x14ac:dyDescent="0.25">
      <c r="A209" s="11" t="s">
        <v>37</v>
      </c>
      <c r="B209" s="12" t="str">
        <f>CONCATENATE("TMDV_",ROW())</f>
        <v>TMDV_209</v>
      </c>
      <c r="C209" s="13">
        <v>1</v>
      </c>
      <c r="D209" s="13" t="s">
        <v>38</v>
      </c>
      <c r="E209" s="14">
        <v>1</v>
      </c>
      <c r="F209" s="15">
        <v>0</v>
      </c>
      <c r="G209" s="15">
        <v>0</v>
      </c>
      <c r="H209" s="15" t="s">
        <v>38</v>
      </c>
      <c r="I209" s="15" t="s">
        <v>38</v>
      </c>
      <c r="J209" s="11" t="s">
        <v>280</v>
      </c>
      <c r="K209" s="11" t="s">
        <v>38</v>
      </c>
      <c r="L209" s="11" t="s">
        <v>38</v>
      </c>
      <c r="M209" s="12" t="s">
        <v>38</v>
      </c>
      <c r="N209" s="12" t="s">
        <v>38</v>
      </c>
      <c r="O209" s="12" t="s">
        <v>38</v>
      </c>
      <c r="P209" s="12" t="s">
        <v>38</v>
      </c>
      <c r="Q209" s="17">
        <v>100000</v>
      </c>
      <c r="R209" s="13">
        <v>293.14999999999998</v>
      </c>
      <c r="S209" s="15" t="s">
        <v>38</v>
      </c>
      <c r="T209" s="15" t="s">
        <v>38</v>
      </c>
      <c r="U209" s="36" t="s">
        <v>38</v>
      </c>
      <c r="V209" s="36" t="s">
        <v>38</v>
      </c>
      <c r="W209" s="13"/>
    </row>
    <row r="210" spans="1:29" x14ac:dyDescent="0.25">
      <c r="R210" s="13"/>
      <c r="U210" s="36"/>
      <c r="V210" s="36"/>
      <c r="W210" s="13"/>
    </row>
    <row r="211" spans="1:29" x14ac:dyDescent="0.25">
      <c r="R211" s="13"/>
      <c r="U211" s="36"/>
      <c r="V211" s="36"/>
      <c r="W211" s="13"/>
    </row>
    <row r="212" spans="1:29" ht="26.25" x14ac:dyDescent="0.4">
      <c r="A212" s="120" t="s">
        <v>398</v>
      </c>
      <c r="R212" s="13"/>
      <c r="U212" s="36"/>
      <c r="V212" s="36"/>
      <c r="W212" s="13"/>
    </row>
    <row r="213" spans="1:29" x14ac:dyDescent="0.25">
      <c r="R213" s="13"/>
      <c r="U213" s="36"/>
      <c r="V213" s="36"/>
      <c r="W213" s="13"/>
    </row>
    <row r="214" spans="1:29" x14ac:dyDescent="0.25">
      <c r="A214" s="11" t="s">
        <v>329</v>
      </c>
      <c r="R214" s="13"/>
      <c r="U214" s="36"/>
      <c r="V214" s="36"/>
      <c r="W214" s="13"/>
    </row>
    <row r="215" spans="1:29" x14ac:dyDescent="0.25">
      <c r="A215" s="11" t="s">
        <v>35</v>
      </c>
      <c r="B215" s="12">
        <v>300</v>
      </c>
      <c r="R215" s="13"/>
      <c r="U215" s="36"/>
      <c r="V215" s="36"/>
      <c r="W215" s="13"/>
    </row>
    <row r="216" spans="1:29" x14ac:dyDescent="0.25">
      <c r="A216" s="11" t="s">
        <v>36</v>
      </c>
      <c r="B216" s="12">
        <f>$B$26*100000</f>
        <v>8500000</v>
      </c>
      <c r="C216" s="13">
        <v>293.14999999999998</v>
      </c>
      <c r="R216" s="13"/>
      <c r="U216" s="36"/>
      <c r="V216" s="36"/>
      <c r="W216" s="13"/>
      <c r="AC216" s="116"/>
    </row>
    <row r="217" spans="1:29" x14ac:dyDescent="0.25">
      <c r="A217" s="11" t="s">
        <v>41</v>
      </c>
      <c r="B217" s="12" t="str">
        <f>CONCATENATE("PIPE_",ROW())</f>
        <v>PIPE_217</v>
      </c>
      <c r="C217" s="13">
        <v>3.5</v>
      </c>
      <c r="D217" s="13">
        <f>dx</f>
        <v>0.2</v>
      </c>
      <c r="E217" s="14">
        <f>77956*0.001^2</f>
        <v>7.7955999999999998E-2</v>
      </c>
      <c r="F217" s="15">
        <v>0</v>
      </c>
      <c r="G217" s="15">
        <v>0</v>
      </c>
      <c r="H217" s="15">
        <f>Cv2K(57.61,E217)</f>
        <v>6400.5153107979422</v>
      </c>
      <c r="I217" s="15">
        <f>H217</f>
        <v>6400.5153107979422</v>
      </c>
      <c r="J217" s="11" t="s">
        <v>365</v>
      </c>
      <c r="K217" s="11" t="s">
        <v>38</v>
      </c>
      <c r="L217" s="11" t="s">
        <v>38</v>
      </c>
      <c r="M217" s="12" t="s">
        <v>38</v>
      </c>
      <c r="N217" s="12" t="s">
        <v>38</v>
      </c>
      <c r="O217" s="12" t="s">
        <v>38</v>
      </c>
      <c r="P217" s="12" t="s">
        <v>38</v>
      </c>
      <c r="Q217" s="17">
        <f>roughness</f>
        <v>4.5000000000000003E-5</v>
      </c>
      <c r="R217" s="13" t="s">
        <v>38</v>
      </c>
      <c r="S217" s="15" t="s">
        <v>38</v>
      </c>
      <c r="T217" s="15" t="s">
        <v>38</v>
      </c>
      <c r="U217" s="36" t="s">
        <v>38</v>
      </c>
      <c r="V217" s="36" t="s">
        <v>38</v>
      </c>
      <c r="W217" s="13"/>
      <c r="X217" s="15">
        <v>98.78</v>
      </c>
    </row>
    <row r="218" spans="1:29" x14ac:dyDescent="0.25">
      <c r="R218" s="13"/>
      <c r="U218" s="36"/>
      <c r="V218" s="36"/>
      <c r="W218" s="13"/>
    </row>
    <row r="219" spans="1:29" x14ac:dyDescent="0.25">
      <c r="J219" s="103"/>
      <c r="R219" s="13"/>
      <c r="U219" s="36"/>
      <c r="V219" s="36"/>
      <c r="W219" s="13"/>
    </row>
    <row r="220" spans="1:29" x14ac:dyDescent="0.25">
      <c r="J220" s="103"/>
      <c r="R220" s="13"/>
      <c r="U220" s="36"/>
      <c r="V220" s="36"/>
      <c r="W220" s="13"/>
    </row>
    <row r="221" spans="1:29" x14ac:dyDescent="0.25">
      <c r="A221" s="11" t="s">
        <v>330</v>
      </c>
      <c r="R221" s="13"/>
      <c r="U221" s="36"/>
      <c r="V221" s="36"/>
      <c r="W221" s="13"/>
    </row>
    <row r="222" spans="1:29" x14ac:dyDescent="0.25">
      <c r="A222" s="11" t="s">
        <v>35</v>
      </c>
      <c r="B222" s="12">
        <v>310</v>
      </c>
      <c r="R222" s="13"/>
      <c r="U222" s="36"/>
      <c r="V222" s="36"/>
      <c r="W222" s="13"/>
    </row>
    <row r="223" spans="1:29" x14ac:dyDescent="0.25">
      <c r="A223" s="11" t="s">
        <v>36</v>
      </c>
      <c r="B223" s="12">
        <f>$B$26*100000</f>
        <v>8500000</v>
      </c>
      <c r="C223" s="13">
        <v>293.14999999999998</v>
      </c>
      <c r="R223" s="13"/>
      <c r="U223" s="36"/>
      <c r="V223" s="36"/>
      <c r="W223" s="13"/>
      <c r="X223" s="15">
        <v>98.78</v>
      </c>
    </row>
    <row r="224" spans="1:29" x14ac:dyDescent="0.25">
      <c r="A224" s="11" t="s">
        <v>41</v>
      </c>
      <c r="B224" s="12" t="str">
        <f>CONCATENATE("PIPE_",ROW())</f>
        <v>PIPE_224</v>
      </c>
      <c r="C224" s="13">
        <v>0.2</v>
      </c>
      <c r="D224" s="13">
        <f>dx</f>
        <v>0.2</v>
      </c>
      <c r="E224" s="14">
        <f>6461*0.001^2</f>
        <v>6.4609999999999997E-3</v>
      </c>
      <c r="F224" s="15">
        <v>0</v>
      </c>
      <c r="G224" s="15">
        <v>0</v>
      </c>
      <c r="H224" s="15">
        <v>0</v>
      </c>
      <c r="I224" s="15">
        <v>0</v>
      </c>
      <c r="J224" s="11" t="s">
        <v>41</v>
      </c>
      <c r="K224" s="11" t="s">
        <v>38</v>
      </c>
      <c r="L224" s="11" t="s">
        <v>38</v>
      </c>
      <c r="M224" s="12" t="s">
        <v>38</v>
      </c>
      <c r="N224" s="12" t="s">
        <v>38</v>
      </c>
      <c r="O224" s="12" t="s">
        <v>38</v>
      </c>
      <c r="P224" s="12" t="s">
        <v>38</v>
      </c>
      <c r="Q224" s="17">
        <f>roughness</f>
        <v>4.5000000000000003E-5</v>
      </c>
      <c r="R224" s="13" t="s">
        <v>38</v>
      </c>
      <c r="S224" s="15" t="s">
        <v>38</v>
      </c>
      <c r="T224" s="15" t="s">
        <v>38</v>
      </c>
      <c r="U224" s="36" t="s">
        <v>38</v>
      </c>
      <c r="V224" s="36" t="s">
        <v>38</v>
      </c>
      <c r="W224" s="13"/>
      <c r="X224" s="15">
        <f t="shared" ref="X224:X238" si="22">IF(OR(A224="Pipe", A224="Tmdpvol"), X223+C224*SIN(F224*PI()/180), X223)</f>
        <v>98.78</v>
      </c>
    </row>
    <row r="225" spans="1:29" s="15" customFormat="1" x14ac:dyDescent="0.25">
      <c r="A225" s="11"/>
      <c r="B225" s="12"/>
      <c r="C225" s="13"/>
      <c r="D225" s="13"/>
      <c r="E225" s="14"/>
      <c r="J225" s="11"/>
      <c r="K225" s="11"/>
      <c r="L225" s="11"/>
      <c r="M225" s="12"/>
      <c r="N225" s="12"/>
      <c r="O225" s="12"/>
      <c r="P225" s="12"/>
      <c r="Q225" s="17"/>
      <c r="R225" s="13"/>
      <c r="U225" s="36"/>
      <c r="V225" s="36"/>
      <c r="W225" s="13"/>
      <c r="X225" s="15">
        <f t="shared" si="22"/>
        <v>98.78</v>
      </c>
      <c r="Z225" s="11"/>
      <c r="AA225" s="11"/>
      <c r="AB225" s="11"/>
      <c r="AC225" s="11"/>
    </row>
    <row r="226" spans="1:29" s="15" customFormat="1" x14ac:dyDescent="0.25">
      <c r="A226" s="11" t="s">
        <v>39</v>
      </c>
      <c r="B226" s="12" t="str">
        <f>CONCATENATE("JUNC_",ROW())</f>
        <v>JUNC_226</v>
      </c>
      <c r="C226" s="13" t="s">
        <v>38</v>
      </c>
      <c r="D226" s="13" t="s">
        <v>38</v>
      </c>
      <c r="E226" s="14">
        <f>6461*0.001^2</f>
        <v>6.4609999999999997E-3</v>
      </c>
      <c r="F226" s="15" t="s">
        <v>38</v>
      </c>
      <c r="G226" s="15" t="s">
        <v>38</v>
      </c>
      <c r="H226" s="15">
        <v>0</v>
      </c>
      <c r="I226" s="15">
        <v>0</v>
      </c>
      <c r="J226" s="11" t="s">
        <v>269</v>
      </c>
      <c r="K226" s="11" t="s">
        <v>38</v>
      </c>
      <c r="L226" s="11" t="s">
        <v>38</v>
      </c>
      <c r="M226" s="12" t="str">
        <f ca="1">OFFSET($A$1,ROW()-3,1)</f>
        <v>PIPE_224</v>
      </c>
      <c r="N226" s="12" t="str">
        <f ca="1">OFFSET($A$1,ROW()+1,1)</f>
        <v>PIPE_228</v>
      </c>
      <c r="O226" s="12">
        <v>2</v>
      </c>
      <c r="P226" s="12">
        <v>1</v>
      </c>
      <c r="Q226" s="17" t="s">
        <v>38</v>
      </c>
      <c r="R226" s="13" t="s">
        <v>38</v>
      </c>
      <c r="S226" s="15" t="s">
        <v>38</v>
      </c>
      <c r="T226" s="15" t="s">
        <v>38</v>
      </c>
      <c r="U226" s="36" t="s">
        <v>38</v>
      </c>
      <c r="V226" s="36" t="s">
        <v>38</v>
      </c>
      <c r="W226" s="13"/>
      <c r="X226" s="15">
        <f t="shared" si="22"/>
        <v>98.78</v>
      </c>
      <c r="Z226" s="11"/>
      <c r="AA226" s="11"/>
      <c r="AB226" s="11"/>
      <c r="AC226" s="11"/>
    </row>
    <row r="227" spans="1:29" s="15" customFormat="1" x14ac:dyDescent="0.25">
      <c r="A227" s="11"/>
      <c r="B227" s="12"/>
      <c r="C227" s="13"/>
      <c r="D227" s="13"/>
      <c r="E227" s="14"/>
      <c r="J227" s="11"/>
      <c r="K227" s="11"/>
      <c r="L227" s="11"/>
      <c r="M227" s="12"/>
      <c r="N227" s="12"/>
      <c r="O227" s="12"/>
      <c r="P227" s="12"/>
      <c r="Q227" s="17"/>
      <c r="R227" s="13"/>
      <c r="U227" s="36"/>
      <c r="V227" s="36"/>
      <c r="W227" s="13"/>
      <c r="X227" s="15">
        <f t="shared" si="22"/>
        <v>98.78</v>
      </c>
      <c r="Z227" s="11"/>
      <c r="AA227" s="11"/>
      <c r="AB227" s="11"/>
      <c r="AC227" s="11"/>
    </row>
    <row r="228" spans="1:29" s="15" customFormat="1" x14ac:dyDescent="0.25">
      <c r="A228" s="11" t="s">
        <v>41</v>
      </c>
      <c r="B228" s="12" t="str">
        <f t="shared" ref="B228:B230" si="23">CONCATENATE("PIPE_",ROW())</f>
        <v>PIPE_228</v>
      </c>
      <c r="C228" s="13">
        <v>3.5</v>
      </c>
      <c r="D228" s="13">
        <f t="shared" ref="D228:D234" si="24">dx</f>
        <v>0.2</v>
      </c>
      <c r="E228" s="14">
        <f t="shared" ref="E228:E234" si="25">6461*0.001^2</f>
        <v>6.4609999999999997E-3</v>
      </c>
      <c r="F228" s="15">
        <v>0</v>
      </c>
      <c r="G228" s="15">
        <v>0</v>
      </c>
      <c r="H228" s="15">
        <v>0</v>
      </c>
      <c r="I228" s="15">
        <v>0</v>
      </c>
      <c r="J228" s="11" t="s">
        <v>331</v>
      </c>
      <c r="K228" s="11" t="s">
        <v>38</v>
      </c>
      <c r="L228" s="11" t="s">
        <v>38</v>
      </c>
      <c r="M228" s="12" t="s">
        <v>38</v>
      </c>
      <c r="N228" s="12" t="s">
        <v>38</v>
      </c>
      <c r="O228" s="12" t="s">
        <v>38</v>
      </c>
      <c r="P228" s="12" t="s">
        <v>38</v>
      </c>
      <c r="Q228" s="17">
        <f t="shared" ref="Q228:Q234" si="26">roughness</f>
        <v>4.5000000000000003E-5</v>
      </c>
      <c r="R228" s="13" t="s">
        <v>38</v>
      </c>
      <c r="S228" s="15" t="s">
        <v>38</v>
      </c>
      <c r="T228" s="15" t="s">
        <v>38</v>
      </c>
      <c r="U228" s="36" t="s">
        <v>38</v>
      </c>
      <c r="V228" s="36" t="s">
        <v>38</v>
      </c>
      <c r="W228" s="13"/>
      <c r="X228" s="15">
        <f t="shared" si="22"/>
        <v>98.78</v>
      </c>
      <c r="Z228" s="11"/>
      <c r="AA228" s="11"/>
      <c r="AB228" s="11"/>
      <c r="AC228" s="11"/>
    </row>
    <row r="229" spans="1:29" s="15" customFormat="1" x14ac:dyDescent="0.25">
      <c r="A229" s="11" t="s">
        <v>41</v>
      </c>
      <c r="B229" s="12" t="str">
        <f t="shared" si="23"/>
        <v>PIPE_229</v>
      </c>
      <c r="C229" s="13">
        <v>0.2</v>
      </c>
      <c r="D229" s="13">
        <f t="shared" si="24"/>
        <v>0.2</v>
      </c>
      <c r="E229" s="14">
        <f t="shared" si="25"/>
        <v>6.4609999999999997E-3</v>
      </c>
      <c r="F229" s="15">
        <v>-90</v>
      </c>
      <c r="G229" s="15">
        <v>0</v>
      </c>
      <c r="H229" s="15">
        <v>0</v>
      </c>
      <c r="I229" s="15">
        <v>0</v>
      </c>
      <c r="J229" s="11" t="s">
        <v>336</v>
      </c>
      <c r="K229" s="11" t="s">
        <v>38</v>
      </c>
      <c r="L229" s="11" t="s">
        <v>38</v>
      </c>
      <c r="M229" s="12" t="s">
        <v>38</v>
      </c>
      <c r="N229" s="12" t="s">
        <v>38</v>
      </c>
      <c r="O229" s="12" t="s">
        <v>38</v>
      </c>
      <c r="P229" s="12" t="s">
        <v>38</v>
      </c>
      <c r="Q229" s="17">
        <f t="shared" si="26"/>
        <v>4.5000000000000003E-5</v>
      </c>
      <c r="R229" s="13" t="s">
        <v>38</v>
      </c>
      <c r="S229" s="15" t="s">
        <v>38</v>
      </c>
      <c r="T229" s="15" t="s">
        <v>38</v>
      </c>
      <c r="U229" s="36" t="s">
        <v>38</v>
      </c>
      <c r="V229" s="36" t="s">
        <v>38</v>
      </c>
      <c r="W229" s="13"/>
      <c r="X229" s="15">
        <f t="shared" si="22"/>
        <v>98.58</v>
      </c>
      <c r="Z229" s="11"/>
      <c r="AA229" s="11"/>
      <c r="AB229" s="11"/>
      <c r="AC229" s="11"/>
    </row>
    <row r="230" spans="1:29" s="15" customFormat="1" x14ac:dyDescent="0.25">
      <c r="A230" s="11" t="s">
        <v>41</v>
      </c>
      <c r="B230" s="12" t="str">
        <f t="shared" si="23"/>
        <v>PIPE_230</v>
      </c>
      <c r="C230" s="13">
        <v>3.5</v>
      </c>
      <c r="D230" s="13">
        <f t="shared" si="24"/>
        <v>0.2</v>
      </c>
      <c r="E230" s="14">
        <f t="shared" si="25"/>
        <v>6.4609999999999997E-3</v>
      </c>
      <c r="F230" s="15">
        <v>0</v>
      </c>
      <c r="G230" s="15">
        <v>0</v>
      </c>
      <c r="H230" s="15">
        <v>0</v>
      </c>
      <c r="I230" s="15">
        <v>0</v>
      </c>
      <c r="J230" s="11" t="s">
        <v>332</v>
      </c>
      <c r="K230" s="11" t="s">
        <v>38</v>
      </c>
      <c r="L230" s="11" t="s">
        <v>38</v>
      </c>
      <c r="M230" s="12" t="s">
        <v>38</v>
      </c>
      <c r="N230" s="12" t="s">
        <v>38</v>
      </c>
      <c r="O230" s="12" t="s">
        <v>38</v>
      </c>
      <c r="P230" s="12" t="s">
        <v>38</v>
      </c>
      <c r="Q230" s="17">
        <f t="shared" si="26"/>
        <v>4.5000000000000003E-5</v>
      </c>
      <c r="R230" s="13" t="s">
        <v>38</v>
      </c>
      <c r="S230" s="15" t="s">
        <v>38</v>
      </c>
      <c r="T230" s="15" t="s">
        <v>38</v>
      </c>
      <c r="U230" s="36" t="s">
        <v>38</v>
      </c>
      <c r="V230" s="36" t="s">
        <v>38</v>
      </c>
      <c r="W230" s="13"/>
      <c r="X230" s="15">
        <f t="shared" si="22"/>
        <v>98.58</v>
      </c>
      <c r="Z230" s="11"/>
      <c r="AA230" s="11"/>
      <c r="AB230" s="11"/>
      <c r="AC230" s="11"/>
    </row>
    <row r="231" spans="1:29" s="15" customFormat="1" x14ac:dyDescent="0.25">
      <c r="A231" s="11" t="s">
        <v>41</v>
      </c>
      <c r="B231" s="12" t="str">
        <f>CONCATENATE("PIPE_",ROW())</f>
        <v>PIPE_231</v>
      </c>
      <c r="C231" s="13">
        <v>0.2</v>
      </c>
      <c r="D231" s="13">
        <f t="shared" si="24"/>
        <v>0.2</v>
      </c>
      <c r="E231" s="14">
        <f t="shared" si="25"/>
        <v>6.4609999999999997E-3</v>
      </c>
      <c r="F231" s="15">
        <v>0</v>
      </c>
      <c r="G231" s="15">
        <v>0</v>
      </c>
      <c r="H231" s="15">
        <v>0</v>
      </c>
      <c r="I231" s="15">
        <v>0</v>
      </c>
      <c r="J231" s="11" t="s">
        <v>333</v>
      </c>
      <c r="K231" s="11" t="s">
        <v>38</v>
      </c>
      <c r="L231" s="11" t="s">
        <v>38</v>
      </c>
      <c r="M231" s="12" t="s">
        <v>38</v>
      </c>
      <c r="N231" s="12" t="s">
        <v>38</v>
      </c>
      <c r="O231" s="12" t="s">
        <v>38</v>
      </c>
      <c r="P231" s="12" t="s">
        <v>38</v>
      </c>
      <c r="Q231" s="17">
        <f t="shared" si="26"/>
        <v>4.5000000000000003E-5</v>
      </c>
      <c r="R231" s="13" t="s">
        <v>38</v>
      </c>
      <c r="S231" s="15" t="s">
        <v>38</v>
      </c>
      <c r="T231" s="15" t="s">
        <v>38</v>
      </c>
      <c r="U231" s="36" t="s">
        <v>38</v>
      </c>
      <c r="V231" s="36" t="s">
        <v>38</v>
      </c>
      <c r="W231" s="13"/>
      <c r="X231" s="15">
        <f t="shared" si="22"/>
        <v>98.58</v>
      </c>
      <c r="Z231" s="11"/>
      <c r="AA231" s="11"/>
      <c r="AB231" s="11"/>
      <c r="AC231" s="11"/>
    </row>
    <row r="232" spans="1:29" s="15" customFormat="1" x14ac:dyDescent="0.25">
      <c r="A232" s="11" t="s">
        <v>41</v>
      </c>
      <c r="B232" s="12" t="str">
        <f t="shared" ref="B232:B234" si="27">CONCATENATE("PIPE_",ROW())</f>
        <v>PIPE_232</v>
      </c>
      <c r="C232" s="13">
        <v>3.5</v>
      </c>
      <c r="D232" s="13">
        <f t="shared" si="24"/>
        <v>0.2</v>
      </c>
      <c r="E232" s="14">
        <f t="shared" si="25"/>
        <v>6.4609999999999997E-3</v>
      </c>
      <c r="F232" s="15">
        <v>0</v>
      </c>
      <c r="G232" s="15">
        <v>0</v>
      </c>
      <c r="H232" s="15">
        <v>0</v>
      </c>
      <c r="I232" s="15">
        <v>0</v>
      </c>
      <c r="J232" s="11" t="s">
        <v>334</v>
      </c>
      <c r="K232" s="11" t="s">
        <v>38</v>
      </c>
      <c r="L232" s="11" t="s">
        <v>38</v>
      </c>
      <c r="M232" s="12" t="s">
        <v>38</v>
      </c>
      <c r="N232" s="12" t="s">
        <v>38</v>
      </c>
      <c r="O232" s="12" t="s">
        <v>38</v>
      </c>
      <c r="P232" s="12" t="s">
        <v>38</v>
      </c>
      <c r="Q232" s="17">
        <f t="shared" si="26"/>
        <v>4.5000000000000003E-5</v>
      </c>
      <c r="R232" s="13" t="s">
        <v>38</v>
      </c>
      <c r="S232" s="15" t="s">
        <v>38</v>
      </c>
      <c r="T232" s="15" t="s">
        <v>38</v>
      </c>
      <c r="U232" s="36" t="s">
        <v>38</v>
      </c>
      <c r="V232" s="36" t="s">
        <v>38</v>
      </c>
      <c r="W232" s="13"/>
      <c r="X232" s="15">
        <f t="shared" si="22"/>
        <v>98.58</v>
      </c>
      <c r="Z232" s="11"/>
      <c r="AA232" s="11"/>
      <c r="AB232" s="11"/>
      <c r="AC232" s="11"/>
    </row>
    <row r="233" spans="1:29" s="15" customFormat="1" x14ac:dyDescent="0.25">
      <c r="A233" s="11" t="s">
        <v>41</v>
      </c>
      <c r="B233" s="12" t="str">
        <f t="shared" si="27"/>
        <v>PIPE_233</v>
      </c>
      <c r="C233" s="13">
        <v>0.2</v>
      </c>
      <c r="D233" s="13">
        <f t="shared" si="24"/>
        <v>0.2</v>
      </c>
      <c r="E233" s="14">
        <f t="shared" si="25"/>
        <v>6.4609999999999997E-3</v>
      </c>
      <c r="F233" s="15">
        <v>90</v>
      </c>
      <c r="G233" s="15">
        <v>0</v>
      </c>
      <c r="H233" s="15">
        <f>Cv2K(28.63,E233)</f>
        <v>178.01983059426348</v>
      </c>
      <c r="I233" s="15">
        <f>H233</f>
        <v>178.01983059426348</v>
      </c>
      <c r="J233" s="11" t="s">
        <v>336</v>
      </c>
      <c r="K233" s="11" t="s">
        <v>38</v>
      </c>
      <c r="L233" s="11" t="s">
        <v>38</v>
      </c>
      <c r="M233" s="12" t="s">
        <v>38</v>
      </c>
      <c r="N233" s="12" t="s">
        <v>38</v>
      </c>
      <c r="O233" s="12" t="s">
        <v>38</v>
      </c>
      <c r="P233" s="12" t="s">
        <v>38</v>
      </c>
      <c r="Q233" s="17">
        <f t="shared" si="26"/>
        <v>4.5000000000000003E-5</v>
      </c>
      <c r="R233" s="13" t="s">
        <v>38</v>
      </c>
      <c r="S233" s="15" t="s">
        <v>38</v>
      </c>
      <c r="T233" s="15" t="s">
        <v>38</v>
      </c>
      <c r="U233" s="36" t="s">
        <v>38</v>
      </c>
      <c r="V233" s="36" t="s">
        <v>38</v>
      </c>
      <c r="W233" s="13"/>
      <c r="X233" s="15">
        <f t="shared" si="22"/>
        <v>98.78</v>
      </c>
      <c r="Z233" s="11"/>
      <c r="AA233" s="11"/>
      <c r="AB233" s="11"/>
      <c r="AC233" s="11"/>
    </row>
    <row r="234" spans="1:29" s="15" customFormat="1" x14ac:dyDescent="0.25">
      <c r="A234" s="11" t="s">
        <v>41</v>
      </c>
      <c r="B234" s="12" t="str">
        <f t="shared" si="27"/>
        <v>PIPE_234</v>
      </c>
      <c r="C234" s="13">
        <v>3.5</v>
      </c>
      <c r="D234" s="13">
        <f t="shared" si="24"/>
        <v>0.2</v>
      </c>
      <c r="E234" s="14">
        <f t="shared" si="25"/>
        <v>6.4609999999999997E-3</v>
      </c>
      <c r="F234" s="15">
        <v>0</v>
      </c>
      <c r="G234" s="15">
        <v>0</v>
      </c>
      <c r="H234" s="15">
        <v>0</v>
      </c>
      <c r="I234" s="15">
        <v>0</v>
      </c>
      <c r="J234" s="11" t="s">
        <v>335</v>
      </c>
      <c r="K234" s="11" t="s">
        <v>38</v>
      </c>
      <c r="L234" s="11" t="s">
        <v>38</v>
      </c>
      <c r="M234" s="12" t="s">
        <v>38</v>
      </c>
      <c r="N234" s="12" t="s">
        <v>38</v>
      </c>
      <c r="O234" s="12" t="s">
        <v>38</v>
      </c>
      <c r="P234" s="12" t="s">
        <v>38</v>
      </c>
      <c r="Q234" s="17">
        <f t="shared" si="26"/>
        <v>4.5000000000000003E-5</v>
      </c>
      <c r="R234" s="13" t="s">
        <v>38</v>
      </c>
      <c r="S234" s="15" t="s">
        <v>38</v>
      </c>
      <c r="T234" s="15" t="s">
        <v>38</v>
      </c>
      <c r="U234" s="36" t="s">
        <v>38</v>
      </c>
      <c r="V234" s="36" t="s">
        <v>38</v>
      </c>
      <c r="W234" s="13"/>
      <c r="X234" s="15">
        <f t="shared" si="22"/>
        <v>98.78</v>
      </c>
      <c r="Z234" s="11"/>
      <c r="AA234" s="11"/>
      <c r="AB234" s="11"/>
      <c r="AC234" s="11"/>
    </row>
    <row r="235" spans="1:29" s="15" customFormat="1" x14ac:dyDescent="0.25">
      <c r="A235" s="11"/>
      <c r="B235" s="12"/>
      <c r="C235" s="13"/>
      <c r="D235" s="13"/>
      <c r="E235" s="14"/>
      <c r="J235" s="11"/>
      <c r="K235" s="11"/>
      <c r="L235" s="11"/>
      <c r="M235" s="12"/>
      <c r="N235" s="12"/>
      <c r="O235" s="12"/>
      <c r="P235" s="12"/>
      <c r="Q235" s="17"/>
      <c r="R235" s="13"/>
      <c r="U235" s="36"/>
      <c r="V235" s="36"/>
      <c r="W235" s="13"/>
      <c r="X235" s="15">
        <f t="shared" si="22"/>
        <v>98.78</v>
      </c>
      <c r="Z235" s="11"/>
      <c r="AA235" s="11"/>
      <c r="AB235" s="11"/>
      <c r="AC235" s="11"/>
    </row>
    <row r="236" spans="1:29" s="15" customFormat="1" x14ac:dyDescent="0.25">
      <c r="A236" s="11" t="s">
        <v>39</v>
      </c>
      <c r="B236" s="12" t="str">
        <f>CONCATENATE("JUNC_",ROW())</f>
        <v>JUNC_236</v>
      </c>
      <c r="C236" s="13" t="s">
        <v>38</v>
      </c>
      <c r="D236" s="13" t="s">
        <v>38</v>
      </c>
      <c r="E236" s="14">
        <f>6461*0.001^2</f>
        <v>6.4609999999999997E-3</v>
      </c>
      <c r="F236" s="15" t="s">
        <v>38</v>
      </c>
      <c r="G236" s="15" t="s">
        <v>38</v>
      </c>
      <c r="H236" s="15">
        <v>0</v>
      </c>
      <c r="I236" s="15">
        <v>0</v>
      </c>
      <c r="J236" s="11" t="s">
        <v>269</v>
      </c>
      <c r="K236" s="11" t="s">
        <v>38</v>
      </c>
      <c r="L236" s="11" t="s">
        <v>38</v>
      </c>
      <c r="M236" s="12" t="str">
        <f ca="1">OFFSET($A$1,ROW()-3,1)</f>
        <v>PIPE_234</v>
      </c>
      <c r="N236" s="12" t="str">
        <f ca="1">OFFSET($A$1,ROW()+1,1)</f>
        <v>PIPE_238</v>
      </c>
      <c r="O236" s="12">
        <v>2</v>
      </c>
      <c r="P236" s="12">
        <v>1</v>
      </c>
      <c r="Q236" s="17" t="s">
        <v>38</v>
      </c>
      <c r="R236" s="13" t="s">
        <v>38</v>
      </c>
      <c r="S236" s="15" t="s">
        <v>38</v>
      </c>
      <c r="T236" s="15" t="s">
        <v>38</v>
      </c>
      <c r="U236" s="36" t="s">
        <v>38</v>
      </c>
      <c r="V236" s="36" t="s">
        <v>38</v>
      </c>
      <c r="W236" s="13"/>
      <c r="X236" s="15">
        <f t="shared" si="22"/>
        <v>98.78</v>
      </c>
      <c r="Z236" s="11"/>
      <c r="AA236" s="11"/>
      <c r="AB236" s="11"/>
      <c r="AC236" s="11"/>
    </row>
    <row r="237" spans="1:29" s="15" customFormat="1" x14ac:dyDescent="0.25">
      <c r="A237" s="11"/>
      <c r="B237" s="12"/>
      <c r="C237" s="13"/>
      <c r="D237" s="13"/>
      <c r="E237" s="14"/>
      <c r="J237" s="11"/>
      <c r="K237" s="11"/>
      <c r="L237" s="11"/>
      <c r="M237" s="12"/>
      <c r="N237" s="12"/>
      <c r="O237" s="12"/>
      <c r="P237" s="12"/>
      <c r="Q237" s="17"/>
      <c r="R237" s="13"/>
      <c r="U237" s="36"/>
      <c r="V237" s="36"/>
      <c r="W237" s="13"/>
      <c r="X237" s="15">
        <f t="shared" si="22"/>
        <v>98.78</v>
      </c>
      <c r="Z237" s="11"/>
      <c r="AA237" s="11"/>
      <c r="AB237" s="11"/>
      <c r="AC237" s="11"/>
    </row>
    <row r="238" spans="1:29" s="15" customFormat="1" x14ac:dyDescent="0.25">
      <c r="A238" s="11" t="s">
        <v>41</v>
      </c>
      <c r="B238" s="12" t="str">
        <f>CONCATENATE("PIPE_",ROW())</f>
        <v>PIPE_238</v>
      </c>
      <c r="C238" s="13">
        <v>0.2</v>
      </c>
      <c r="D238" s="13">
        <f>dx</f>
        <v>0.2</v>
      </c>
      <c r="E238" s="14">
        <f>6461*0.001^2</f>
        <v>6.4609999999999997E-3</v>
      </c>
      <c r="F238" s="15">
        <v>0</v>
      </c>
      <c r="G238" s="15">
        <v>0</v>
      </c>
      <c r="H238" s="15">
        <v>0</v>
      </c>
      <c r="I238" s="15">
        <v>0</v>
      </c>
      <c r="J238" s="11" t="s">
        <v>41</v>
      </c>
      <c r="K238" s="11" t="s">
        <v>38</v>
      </c>
      <c r="L238" s="11" t="s">
        <v>38</v>
      </c>
      <c r="M238" s="12" t="s">
        <v>38</v>
      </c>
      <c r="N238" s="12" t="s">
        <v>38</v>
      </c>
      <c r="O238" s="12" t="s">
        <v>38</v>
      </c>
      <c r="P238" s="12" t="s">
        <v>38</v>
      </c>
      <c r="Q238" s="17">
        <f>roughness</f>
        <v>4.5000000000000003E-5</v>
      </c>
      <c r="R238" s="13" t="s">
        <v>38</v>
      </c>
      <c r="S238" s="15" t="s">
        <v>38</v>
      </c>
      <c r="T238" s="15" t="s">
        <v>38</v>
      </c>
      <c r="U238" s="36" t="s">
        <v>38</v>
      </c>
      <c r="V238" s="36" t="s">
        <v>38</v>
      </c>
      <c r="W238" s="13"/>
      <c r="X238" s="15">
        <f t="shared" si="22"/>
        <v>98.78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Z239" s="11"/>
      <c r="AA239" s="11"/>
      <c r="AB239" s="11"/>
      <c r="AC239" s="11"/>
    </row>
    <row r="240" spans="1:29" s="15" customFormat="1" x14ac:dyDescent="0.25">
      <c r="A240" s="11"/>
      <c r="B240" s="12"/>
      <c r="C240" s="13"/>
      <c r="D240" s="13"/>
      <c r="E240" s="14"/>
      <c r="J240" s="11"/>
      <c r="K240" s="11"/>
      <c r="L240" s="11"/>
      <c r="M240" s="12"/>
      <c r="N240" s="12"/>
      <c r="O240" s="12"/>
      <c r="P240" s="12"/>
      <c r="Q240" s="17"/>
      <c r="R240" s="13"/>
      <c r="U240" s="36"/>
      <c r="V240" s="36"/>
      <c r="W240" s="13"/>
      <c r="Z240" s="11"/>
      <c r="AA240" s="11"/>
      <c r="AB240" s="11"/>
      <c r="AC240" s="11"/>
    </row>
    <row r="241" spans="1:29" x14ac:dyDescent="0.25">
      <c r="R241" s="13"/>
      <c r="U241" s="36"/>
      <c r="V241" s="36"/>
      <c r="W241" s="13"/>
    </row>
    <row r="242" spans="1:29" x14ac:dyDescent="0.25">
      <c r="R242" s="13"/>
      <c r="U242" s="36"/>
      <c r="V242" s="36"/>
      <c r="W242" s="13"/>
    </row>
    <row r="243" spans="1:29" x14ac:dyDescent="0.25">
      <c r="A243" s="11" t="s">
        <v>337</v>
      </c>
      <c r="R243" s="13"/>
      <c r="U243" s="36"/>
      <c r="V243" s="36"/>
      <c r="W243" s="13"/>
    </row>
    <row r="244" spans="1:29" x14ac:dyDescent="0.25">
      <c r="A244" s="11" t="s">
        <v>35</v>
      </c>
      <c r="B244" s="12">
        <v>320</v>
      </c>
      <c r="R244" s="13"/>
      <c r="U244" s="36"/>
      <c r="V244" s="36"/>
      <c r="W244" s="13"/>
    </row>
    <row r="245" spans="1:29" x14ac:dyDescent="0.25">
      <c r="A245" s="11" t="s">
        <v>36</v>
      </c>
      <c r="B245" s="12">
        <f>$B$33*100000</f>
        <v>300000</v>
      </c>
      <c r="C245" s="13">
        <v>293.14999999999998</v>
      </c>
      <c r="R245" s="13"/>
      <c r="U245" s="36"/>
      <c r="V245" s="36"/>
      <c r="W245" s="13"/>
    </row>
    <row r="246" spans="1:29" x14ac:dyDescent="0.25">
      <c r="A246" s="11" t="s">
        <v>41</v>
      </c>
      <c r="B246" s="12" t="str">
        <f>CONCATENATE("PIPE_",ROW())</f>
        <v>PIPE_246</v>
      </c>
      <c r="C246" s="13">
        <v>3.7</v>
      </c>
      <c r="D246" s="13">
        <f>dx</f>
        <v>0.2</v>
      </c>
      <c r="E246" s="14">
        <f>132069*0.001^2</f>
        <v>0.13206899999999999</v>
      </c>
      <c r="F246" s="15">
        <v>0</v>
      </c>
      <c r="G246" s="15">
        <v>0</v>
      </c>
      <c r="H246" s="15">
        <f>Cv2K(297.53,E246)</f>
        <v>688.73452162968476</v>
      </c>
      <c r="I246" s="15">
        <f>H246</f>
        <v>688.73452162968476</v>
      </c>
      <c r="J246" s="11" t="s">
        <v>364</v>
      </c>
      <c r="K246" s="11" t="s">
        <v>38</v>
      </c>
      <c r="L246" s="11" t="s">
        <v>38</v>
      </c>
      <c r="M246" s="12" t="s">
        <v>38</v>
      </c>
      <c r="N246" s="12" t="s">
        <v>38</v>
      </c>
      <c r="O246" s="12" t="s">
        <v>38</v>
      </c>
      <c r="P246" s="12" t="s">
        <v>38</v>
      </c>
      <c r="Q246" s="17">
        <f>roughness</f>
        <v>4.5000000000000003E-5</v>
      </c>
      <c r="R246" s="13" t="s">
        <v>38</v>
      </c>
      <c r="S246" s="15" t="s">
        <v>38</v>
      </c>
      <c r="T246" s="15" t="s">
        <v>38</v>
      </c>
      <c r="U246" s="36" t="s">
        <v>38</v>
      </c>
      <c r="V246" s="36" t="s">
        <v>38</v>
      </c>
      <c r="W246" s="13"/>
      <c r="X246" s="15">
        <v>97.95</v>
      </c>
    </row>
    <row r="247" spans="1:29" x14ac:dyDescent="0.25">
      <c r="R247" s="13"/>
      <c r="U247" s="36"/>
      <c r="V247" s="36"/>
      <c r="W247" s="13"/>
    </row>
    <row r="248" spans="1:29" x14ac:dyDescent="0.25">
      <c r="R248" s="13"/>
      <c r="U248" s="36"/>
      <c r="V248" s="36"/>
      <c r="W248" s="13"/>
    </row>
    <row r="249" spans="1:29" x14ac:dyDescent="0.25">
      <c r="R249" s="13"/>
      <c r="U249" s="36"/>
      <c r="V249" s="36"/>
      <c r="W249" s="13"/>
    </row>
    <row r="250" spans="1:29" x14ac:dyDescent="0.25">
      <c r="A250" s="11" t="s">
        <v>338</v>
      </c>
      <c r="R250" s="13"/>
      <c r="U250" s="36"/>
      <c r="V250" s="36"/>
    </row>
    <row r="251" spans="1:29" x14ac:dyDescent="0.25">
      <c r="A251" s="11" t="s">
        <v>35</v>
      </c>
      <c r="B251" s="12">
        <v>330</v>
      </c>
      <c r="R251" s="13"/>
      <c r="U251" s="36"/>
      <c r="V251" s="36"/>
    </row>
    <row r="252" spans="1:29" x14ac:dyDescent="0.25">
      <c r="A252" s="11" t="s">
        <v>36</v>
      </c>
      <c r="B252" s="12">
        <f>$B$26*100000</f>
        <v>8500000</v>
      </c>
      <c r="C252" s="13">
        <v>293.14999999999998</v>
      </c>
      <c r="R252" s="13"/>
      <c r="U252" s="36"/>
      <c r="V252" s="36"/>
      <c r="X252" s="15">
        <v>97.95</v>
      </c>
    </row>
    <row r="253" spans="1:29" x14ac:dyDescent="0.25">
      <c r="A253" s="11" t="s">
        <v>41</v>
      </c>
      <c r="B253" s="12" t="str">
        <f>CONCATENATE("PIPE_",ROW())</f>
        <v>PIPE_253</v>
      </c>
      <c r="C253" s="13">
        <v>0.2</v>
      </c>
      <c r="D253" s="13">
        <f>dx</f>
        <v>0.2</v>
      </c>
      <c r="E253" s="14">
        <f>5067*0.001^2</f>
        <v>5.0669999999999995E-3</v>
      </c>
      <c r="F253" s="15">
        <v>0</v>
      </c>
      <c r="G253" s="15">
        <v>0</v>
      </c>
      <c r="H253" s="15">
        <v>0</v>
      </c>
      <c r="I253" s="15">
        <v>0</v>
      </c>
      <c r="J253" s="11" t="s">
        <v>41</v>
      </c>
      <c r="K253" s="11" t="s">
        <v>38</v>
      </c>
      <c r="L253" s="11" t="s">
        <v>38</v>
      </c>
      <c r="M253" s="12" t="s">
        <v>38</v>
      </c>
      <c r="N253" s="12" t="s">
        <v>38</v>
      </c>
      <c r="O253" s="12" t="s">
        <v>38</v>
      </c>
      <c r="P253" s="12" t="s">
        <v>38</v>
      </c>
      <c r="Q253" s="17">
        <f>roughness</f>
        <v>4.5000000000000003E-5</v>
      </c>
      <c r="R253" s="13" t="s">
        <v>38</v>
      </c>
      <c r="S253" s="15" t="s">
        <v>38</v>
      </c>
      <c r="T253" s="15" t="s">
        <v>38</v>
      </c>
      <c r="U253" s="36" t="s">
        <v>38</v>
      </c>
      <c r="V253" s="36" t="s">
        <v>38</v>
      </c>
      <c r="X253" s="15">
        <f t="shared" ref="X253:X267" si="28">IF(OR(A253="Pipe", A253="Tmdpvol"), X252+C253*SIN(F253*PI()/180), X252)</f>
        <v>97.95</v>
      </c>
    </row>
    <row r="254" spans="1:29" x14ac:dyDescent="0.25">
      <c r="R254" s="13"/>
      <c r="U254" s="36"/>
      <c r="V254" s="36"/>
      <c r="X254" s="15">
        <f t="shared" si="28"/>
        <v>97.95</v>
      </c>
    </row>
    <row r="255" spans="1:29" s="15" customFormat="1" x14ac:dyDescent="0.25">
      <c r="A255" s="11" t="s">
        <v>39</v>
      </c>
      <c r="B255" s="12" t="str">
        <f>CONCATENATE("JUNC_",ROW())</f>
        <v>JUNC_255</v>
      </c>
      <c r="C255" s="13" t="s">
        <v>38</v>
      </c>
      <c r="D255" s="13" t="s">
        <v>38</v>
      </c>
      <c r="E255" s="14">
        <v>0</v>
      </c>
      <c r="F255" s="15" t="s">
        <v>38</v>
      </c>
      <c r="G255" s="15" t="s">
        <v>38</v>
      </c>
      <c r="H255" s="15">
        <v>0</v>
      </c>
      <c r="I255" s="15">
        <v>0</v>
      </c>
      <c r="J255" s="11" t="s">
        <v>269</v>
      </c>
      <c r="K255" s="11" t="s">
        <v>38</v>
      </c>
      <c r="L255" s="11" t="s">
        <v>38</v>
      </c>
      <c r="M255" s="12" t="str">
        <f ca="1">OFFSET($A$1,ROW()-3,1)</f>
        <v>PIPE_253</v>
      </c>
      <c r="N255" s="12" t="str">
        <f ca="1">OFFSET($A$1,ROW()+1,1)</f>
        <v>PIPE_257</v>
      </c>
      <c r="O255" s="12">
        <v>2</v>
      </c>
      <c r="P255" s="12">
        <v>1</v>
      </c>
      <c r="Q255" s="17" t="s">
        <v>38</v>
      </c>
      <c r="R255" s="13" t="s">
        <v>38</v>
      </c>
      <c r="S255" s="15" t="s">
        <v>38</v>
      </c>
      <c r="T255" s="15" t="s">
        <v>38</v>
      </c>
      <c r="U255" s="36" t="s">
        <v>38</v>
      </c>
      <c r="V255" s="36" t="s">
        <v>38</v>
      </c>
      <c r="W255" s="11"/>
      <c r="X255" s="15">
        <f t="shared" si="28"/>
        <v>97.95</v>
      </c>
      <c r="Z255" s="11"/>
      <c r="AA255" s="11"/>
      <c r="AB255" s="11"/>
      <c r="AC255" s="11"/>
    </row>
    <row r="256" spans="1:29" s="15" customFormat="1" x14ac:dyDescent="0.25">
      <c r="A256" s="11"/>
      <c r="B256" s="12"/>
      <c r="C256" s="13"/>
      <c r="D256" s="13"/>
      <c r="E256" s="14"/>
      <c r="J256" s="11"/>
      <c r="K256" s="11"/>
      <c r="L256" s="11"/>
      <c r="M256" s="12"/>
      <c r="N256" s="12"/>
      <c r="O256" s="12"/>
      <c r="P256" s="12"/>
      <c r="Q256" s="17"/>
      <c r="R256" s="13"/>
      <c r="U256" s="36"/>
      <c r="V256" s="36"/>
      <c r="W256" s="11"/>
      <c r="X256" s="15">
        <f t="shared" si="28"/>
        <v>97.95</v>
      </c>
      <c r="Z256" s="11"/>
      <c r="AA256" s="11"/>
      <c r="AB256" s="11"/>
      <c r="AC256" s="11"/>
    </row>
    <row r="257" spans="1:29" s="15" customFormat="1" x14ac:dyDescent="0.25">
      <c r="A257" s="11" t="s">
        <v>41</v>
      </c>
      <c r="B257" s="12" t="str">
        <f t="shared" ref="B257:B259" si="29">CONCATENATE("PIPE_",ROW())</f>
        <v>PIPE_257</v>
      </c>
      <c r="C257" s="13">
        <v>3.7</v>
      </c>
      <c r="D257" s="13">
        <f t="shared" ref="D257:D263" si="30">dx</f>
        <v>0.2</v>
      </c>
      <c r="E257" s="14">
        <f>5067*0.001^2</f>
        <v>5.0669999999999995E-3</v>
      </c>
      <c r="F257" s="15">
        <v>0</v>
      </c>
      <c r="G257" s="15">
        <v>0</v>
      </c>
      <c r="H257" s="15">
        <v>0</v>
      </c>
      <c r="I257" s="15">
        <v>0</v>
      </c>
      <c r="J257" s="11" t="s">
        <v>331</v>
      </c>
      <c r="K257" s="11" t="s">
        <v>38</v>
      </c>
      <c r="L257" s="11" t="s">
        <v>38</v>
      </c>
      <c r="M257" s="12" t="s">
        <v>38</v>
      </c>
      <c r="N257" s="12" t="s">
        <v>38</v>
      </c>
      <c r="O257" s="12" t="s">
        <v>38</v>
      </c>
      <c r="P257" s="12" t="s">
        <v>38</v>
      </c>
      <c r="Q257" s="17">
        <f t="shared" ref="Q257:Q263" si="31">roughness</f>
        <v>4.5000000000000003E-5</v>
      </c>
      <c r="R257" s="13" t="s">
        <v>38</v>
      </c>
      <c r="S257" s="15" t="s">
        <v>38</v>
      </c>
      <c r="T257" s="15" t="s">
        <v>38</v>
      </c>
      <c r="U257" s="36" t="s">
        <v>38</v>
      </c>
      <c r="V257" s="36" t="s">
        <v>38</v>
      </c>
      <c r="W257" s="11"/>
      <c r="X257" s="15">
        <f t="shared" si="28"/>
        <v>97.95</v>
      </c>
      <c r="Z257" s="11"/>
      <c r="AA257" s="11"/>
      <c r="AB257" s="11"/>
      <c r="AC257" s="11"/>
    </row>
    <row r="258" spans="1:29" s="15" customFormat="1" x14ac:dyDescent="0.25">
      <c r="A258" s="11" t="s">
        <v>41</v>
      </c>
      <c r="B258" s="12" t="str">
        <f t="shared" si="29"/>
        <v>PIPE_258</v>
      </c>
      <c r="C258" s="13">
        <v>0.2</v>
      </c>
      <c r="D258" s="13">
        <f t="shared" si="30"/>
        <v>0.2</v>
      </c>
      <c r="E258" s="14">
        <f>5067*0.001^2</f>
        <v>5.0669999999999995E-3</v>
      </c>
      <c r="F258" s="15">
        <v>-90</v>
      </c>
      <c r="G258" s="15">
        <v>0</v>
      </c>
      <c r="H258" s="15">
        <v>0</v>
      </c>
      <c r="I258" s="15">
        <v>0</v>
      </c>
      <c r="J258" s="11" t="s">
        <v>336</v>
      </c>
      <c r="K258" s="11" t="s">
        <v>38</v>
      </c>
      <c r="L258" s="11" t="s">
        <v>38</v>
      </c>
      <c r="M258" s="12" t="s">
        <v>38</v>
      </c>
      <c r="N258" s="12" t="s">
        <v>38</v>
      </c>
      <c r="O258" s="12" t="s">
        <v>38</v>
      </c>
      <c r="P258" s="12" t="s">
        <v>38</v>
      </c>
      <c r="Q258" s="17">
        <f t="shared" si="31"/>
        <v>4.5000000000000003E-5</v>
      </c>
      <c r="R258" s="13" t="s">
        <v>38</v>
      </c>
      <c r="S258" s="15" t="s">
        <v>38</v>
      </c>
      <c r="T258" s="15" t="s">
        <v>38</v>
      </c>
      <c r="U258" s="36" t="s">
        <v>38</v>
      </c>
      <c r="V258" s="36" t="s">
        <v>38</v>
      </c>
      <c r="W258" s="11"/>
      <c r="X258" s="15">
        <f t="shared" si="28"/>
        <v>97.75</v>
      </c>
      <c r="Z258" s="11"/>
      <c r="AA258" s="11"/>
      <c r="AB258" s="11"/>
      <c r="AC258" s="11"/>
    </row>
    <row r="259" spans="1:29" s="15" customFormat="1" x14ac:dyDescent="0.25">
      <c r="A259" s="11" t="s">
        <v>41</v>
      </c>
      <c r="B259" s="12" t="str">
        <f t="shared" si="29"/>
        <v>PIPE_259</v>
      </c>
      <c r="C259" s="13">
        <v>3.7</v>
      </c>
      <c r="D259" s="13">
        <f t="shared" si="30"/>
        <v>0.2</v>
      </c>
      <c r="E259" s="14">
        <f>5067*0.001^2</f>
        <v>5.0669999999999995E-3</v>
      </c>
      <c r="F259" s="15">
        <v>0</v>
      </c>
      <c r="G259" s="15">
        <v>0</v>
      </c>
      <c r="H259" s="15">
        <v>0</v>
      </c>
      <c r="I259" s="15">
        <v>0</v>
      </c>
      <c r="J259" s="11" t="s">
        <v>332</v>
      </c>
      <c r="K259" s="11" t="s">
        <v>38</v>
      </c>
      <c r="L259" s="11" t="s">
        <v>38</v>
      </c>
      <c r="M259" s="12" t="s">
        <v>38</v>
      </c>
      <c r="N259" s="12" t="s">
        <v>38</v>
      </c>
      <c r="O259" s="12" t="s">
        <v>38</v>
      </c>
      <c r="P259" s="12" t="s">
        <v>38</v>
      </c>
      <c r="Q259" s="17">
        <f t="shared" si="31"/>
        <v>4.5000000000000003E-5</v>
      </c>
      <c r="R259" s="13" t="s">
        <v>38</v>
      </c>
      <c r="S259" s="15" t="s">
        <v>38</v>
      </c>
      <c r="T259" s="15" t="s">
        <v>38</v>
      </c>
      <c r="U259" s="36" t="s">
        <v>38</v>
      </c>
      <c r="V259" s="36" t="s">
        <v>38</v>
      </c>
      <c r="W259" s="11"/>
      <c r="X259" s="15">
        <f t="shared" si="28"/>
        <v>97.75</v>
      </c>
      <c r="Z259" s="11"/>
      <c r="AA259" s="11"/>
      <c r="AB259" s="11"/>
      <c r="AC259" s="11"/>
    </row>
    <row r="260" spans="1:29" s="15" customFormat="1" x14ac:dyDescent="0.25">
      <c r="A260" s="11" t="s">
        <v>41</v>
      </c>
      <c r="B260" s="12" t="str">
        <f>CONCATENATE("PIPE_",ROW())</f>
        <v>PIPE_260</v>
      </c>
      <c r="C260" s="13">
        <v>0.2</v>
      </c>
      <c r="D260" s="13">
        <f t="shared" si="30"/>
        <v>0.2</v>
      </c>
      <c r="E260" s="14">
        <f>5067*0.001^2</f>
        <v>5.0669999999999995E-3</v>
      </c>
      <c r="F260" s="15">
        <v>-90</v>
      </c>
      <c r="G260" s="15">
        <v>0</v>
      </c>
      <c r="H260" s="15">
        <v>0</v>
      </c>
      <c r="I260" s="15">
        <v>0</v>
      </c>
      <c r="J260" s="11" t="s">
        <v>333</v>
      </c>
      <c r="K260" s="11" t="s">
        <v>38</v>
      </c>
      <c r="L260" s="11" t="s">
        <v>38</v>
      </c>
      <c r="M260" s="12" t="s">
        <v>38</v>
      </c>
      <c r="N260" s="12" t="s">
        <v>38</v>
      </c>
      <c r="O260" s="12" t="s">
        <v>38</v>
      </c>
      <c r="P260" s="12" t="s">
        <v>38</v>
      </c>
      <c r="Q260" s="17">
        <f t="shared" si="31"/>
        <v>4.5000000000000003E-5</v>
      </c>
      <c r="R260" s="13" t="s">
        <v>38</v>
      </c>
      <c r="S260" s="15" t="s">
        <v>38</v>
      </c>
      <c r="T260" s="15" t="s">
        <v>38</v>
      </c>
      <c r="U260" s="36" t="s">
        <v>38</v>
      </c>
      <c r="V260" s="36" t="s">
        <v>38</v>
      </c>
      <c r="W260" s="11"/>
      <c r="X260" s="15">
        <f t="shared" si="28"/>
        <v>97.55</v>
      </c>
      <c r="Z260" s="11"/>
      <c r="AA260" s="11"/>
      <c r="AB260" s="11"/>
      <c r="AC260" s="11"/>
    </row>
    <row r="261" spans="1:29" s="15" customFormat="1" x14ac:dyDescent="0.25">
      <c r="A261" s="11" t="s">
        <v>41</v>
      </c>
      <c r="B261" s="12" t="str">
        <f t="shared" ref="B261:B263" si="32">CONCATENATE("PIPE_",ROW())</f>
        <v>PIPE_261</v>
      </c>
      <c r="C261" s="13">
        <v>3.7</v>
      </c>
      <c r="D261" s="13">
        <f t="shared" si="30"/>
        <v>0.2</v>
      </c>
      <c r="E261" s="14">
        <f>4687*0.001^2</f>
        <v>4.6870000000000002E-3</v>
      </c>
      <c r="F261" s="15">
        <v>0</v>
      </c>
      <c r="G261" s="15">
        <v>0</v>
      </c>
      <c r="H261" s="15">
        <v>0</v>
      </c>
      <c r="I261" s="15">
        <v>0</v>
      </c>
      <c r="J261" s="11" t="s">
        <v>334</v>
      </c>
      <c r="K261" s="11" t="s">
        <v>38</v>
      </c>
      <c r="L261" s="11" t="s">
        <v>38</v>
      </c>
      <c r="M261" s="12" t="s">
        <v>38</v>
      </c>
      <c r="N261" s="12" t="s">
        <v>38</v>
      </c>
      <c r="O261" s="12" t="s">
        <v>38</v>
      </c>
      <c r="P261" s="12" t="s">
        <v>38</v>
      </c>
      <c r="Q261" s="17">
        <f t="shared" si="31"/>
        <v>4.5000000000000003E-5</v>
      </c>
      <c r="R261" s="13" t="s">
        <v>38</v>
      </c>
      <c r="S261" s="15" t="s">
        <v>38</v>
      </c>
      <c r="T261" s="15" t="s">
        <v>38</v>
      </c>
      <c r="U261" s="36" t="s">
        <v>38</v>
      </c>
      <c r="V261" s="36" t="s">
        <v>38</v>
      </c>
      <c r="W261" s="11"/>
      <c r="X261" s="15">
        <f t="shared" si="28"/>
        <v>97.55</v>
      </c>
      <c r="Z261" s="11"/>
      <c r="AA261" s="11"/>
      <c r="AB261" s="11"/>
      <c r="AC261" s="11"/>
    </row>
    <row r="262" spans="1:29" s="15" customFormat="1" x14ac:dyDescent="0.25">
      <c r="A262" s="11" t="s">
        <v>41</v>
      </c>
      <c r="B262" s="12" t="str">
        <f t="shared" si="32"/>
        <v>PIPE_262</v>
      </c>
      <c r="C262" s="13">
        <v>0.4</v>
      </c>
      <c r="D262" s="13">
        <f t="shared" si="30"/>
        <v>0.2</v>
      </c>
      <c r="E262" s="14">
        <f>4687*0.001^2</f>
        <v>4.6870000000000002E-3</v>
      </c>
      <c r="F262" s="15">
        <v>90</v>
      </c>
      <c r="G262" s="15">
        <v>0</v>
      </c>
      <c r="H262" s="15">
        <f>Cv2K(32.85,E262)</f>
        <v>71.159150796562869</v>
      </c>
      <c r="I262" s="15">
        <f>H262</f>
        <v>71.159150796562869</v>
      </c>
      <c r="J262" s="11" t="s">
        <v>336</v>
      </c>
      <c r="K262" s="11" t="s">
        <v>38</v>
      </c>
      <c r="L262" s="11" t="s">
        <v>38</v>
      </c>
      <c r="M262" s="12" t="s">
        <v>38</v>
      </c>
      <c r="N262" s="12" t="s">
        <v>38</v>
      </c>
      <c r="O262" s="12" t="s">
        <v>38</v>
      </c>
      <c r="P262" s="12" t="s">
        <v>38</v>
      </c>
      <c r="Q262" s="17">
        <f t="shared" si="31"/>
        <v>4.5000000000000003E-5</v>
      </c>
      <c r="R262" s="13" t="s">
        <v>38</v>
      </c>
      <c r="S262" s="15" t="s">
        <v>38</v>
      </c>
      <c r="T262" s="15" t="s">
        <v>38</v>
      </c>
      <c r="U262" s="36" t="s">
        <v>38</v>
      </c>
      <c r="V262" s="36" t="s">
        <v>38</v>
      </c>
      <c r="W262" s="11"/>
      <c r="X262" s="15">
        <f t="shared" si="28"/>
        <v>97.95</v>
      </c>
      <c r="Z262" s="11"/>
      <c r="AA262" s="11"/>
      <c r="AB262" s="11"/>
      <c r="AC262" s="11"/>
    </row>
    <row r="263" spans="1:29" s="15" customFormat="1" x14ac:dyDescent="0.25">
      <c r="A263" s="11" t="s">
        <v>41</v>
      </c>
      <c r="B263" s="12" t="str">
        <f t="shared" si="32"/>
        <v>PIPE_263</v>
      </c>
      <c r="C263" s="13">
        <v>3.7</v>
      </c>
      <c r="D263" s="13">
        <f t="shared" si="30"/>
        <v>0.2</v>
      </c>
      <c r="E263" s="14">
        <f>4687*0.001^2</f>
        <v>4.6870000000000002E-3</v>
      </c>
      <c r="F263" s="15">
        <v>0</v>
      </c>
      <c r="G263" s="15">
        <v>0</v>
      </c>
      <c r="H263" s="15">
        <v>0</v>
      </c>
      <c r="I263" s="15">
        <v>0</v>
      </c>
      <c r="J263" s="11" t="s">
        <v>335</v>
      </c>
      <c r="K263" s="11" t="s">
        <v>38</v>
      </c>
      <c r="L263" s="11" t="s">
        <v>38</v>
      </c>
      <c r="M263" s="12" t="s">
        <v>38</v>
      </c>
      <c r="N263" s="12" t="s">
        <v>38</v>
      </c>
      <c r="O263" s="12" t="s">
        <v>38</v>
      </c>
      <c r="P263" s="12" t="s">
        <v>38</v>
      </c>
      <c r="Q263" s="17">
        <f t="shared" si="31"/>
        <v>4.5000000000000003E-5</v>
      </c>
      <c r="R263" s="13" t="s">
        <v>38</v>
      </c>
      <c r="S263" s="15" t="s">
        <v>38</v>
      </c>
      <c r="T263" s="15" t="s">
        <v>38</v>
      </c>
      <c r="U263" s="36" t="s">
        <v>38</v>
      </c>
      <c r="V263" s="36" t="s">
        <v>38</v>
      </c>
      <c r="W263" s="11"/>
      <c r="X263" s="15">
        <f t="shared" si="28"/>
        <v>97.95</v>
      </c>
      <c r="Z263" s="11"/>
      <c r="AA263" s="11"/>
      <c r="AB263" s="11"/>
      <c r="AC263" s="11"/>
    </row>
    <row r="264" spans="1:29" s="15" customFormat="1" x14ac:dyDescent="0.25">
      <c r="A264" s="11"/>
      <c r="B264" s="12"/>
      <c r="C264" s="13"/>
      <c r="D264" s="13"/>
      <c r="E264" s="14"/>
      <c r="J264" s="11"/>
      <c r="K264" s="11"/>
      <c r="L264" s="11"/>
      <c r="M264" s="12"/>
      <c r="N264" s="12"/>
      <c r="O264" s="12"/>
      <c r="P264" s="12"/>
      <c r="Q264" s="17"/>
      <c r="R264" s="13"/>
      <c r="U264" s="36"/>
      <c r="V264" s="36"/>
      <c r="W264" s="11"/>
      <c r="X264" s="15">
        <f t="shared" si="28"/>
        <v>97.95</v>
      </c>
      <c r="Z264" s="11"/>
      <c r="AA264" s="11"/>
      <c r="AB264" s="11"/>
      <c r="AC264" s="11"/>
    </row>
    <row r="265" spans="1:29" s="15" customFormat="1" x14ac:dyDescent="0.25">
      <c r="A265" s="11" t="s">
        <v>39</v>
      </c>
      <c r="B265" s="12" t="str">
        <f>CONCATENATE("JUNC_",ROW())</f>
        <v>JUNC_265</v>
      </c>
      <c r="C265" s="13" t="s">
        <v>38</v>
      </c>
      <c r="D265" s="13" t="s">
        <v>38</v>
      </c>
      <c r="E265" s="14">
        <v>0</v>
      </c>
      <c r="F265" s="15" t="s">
        <v>38</v>
      </c>
      <c r="G265" s="15" t="s">
        <v>38</v>
      </c>
      <c r="H265" s="15">
        <v>0</v>
      </c>
      <c r="I265" s="15">
        <v>0</v>
      </c>
      <c r="J265" s="11" t="s">
        <v>269</v>
      </c>
      <c r="K265" s="11" t="s">
        <v>38</v>
      </c>
      <c r="L265" s="11" t="s">
        <v>38</v>
      </c>
      <c r="M265" s="12" t="str">
        <f ca="1">OFFSET($A$1,ROW()-3,1)</f>
        <v>PIPE_263</v>
      </c>
      <c r="N265" s="12" t="str">
        <f ca="1">OFFSET($A$1,ROW()+1,1)</f>
        <v>PIPE_267</v>
      </c>
      <c r="O265" s="12">
        <v>2</v>
      </c>
      <c r="P265" s="12">
        <v>1</v>
      </c>
      <c r="Q265" s="17" t="s">
        <v>38</v>
      </c>
      <c r="R265" s="13" t="s">
        <v>38</v>
      </c>
      <c r="S265" s="15" t="s">
        <v>38</v>
      </c>
      <c r="T265" s="15" t="s">
        <v>38</v>
      </c>
      <c r="U265" s="36" t="s">
        <v>38</v>
      </c>
      <c r="V265" s="36" t="s">
        <v>38</v>
      </c>
      <c r="X265" s="15">
        <f t="shared" si="28"/>
        <v>97.95</v>
      </c>
      <c r="Z265" s="11"/>
      <c r="AA265" s="11"/>
      <c r="AB265" s="11"/>
      <c r="AC265" s="11"/>
    </row>
    <row r="266" spans="1:29" s="15" customFormat="1" x14ac:dyDescent="0.25">
      <c r="A266" s="11"/>
      <c r="B266" s="12"/>
      <c r="C266" s="13"/>
      <c r="D266" s="13"/>
      <c r="E266" s="14"/>
      <c r="J266" s="11"/>
      <c r="K266" s="11"/>
      <c r="L266" s="11"/>
      <c r="M266" s="12"/>
      <c r="N266" s="12"/>
      <c r="O266" s="12"/>
      <c r="P266" s="12"/>
      <c r="Q266" s="17"/>
      <c r="R266" s="13"/>
      <c r="U266" s="36"/>
      <c r="V266" s="36"/>
      <c r="W266" s="11"/>
      <c r="X266" s="15">
        <f t="shared" si="28"/>
        <v>97.95</v>
      </c>
      <c r="Z266" s="11"/>
      <c r="AA266" s="11"/>
      <c r="AB266" s="11"/>
      <c r="AC266" s="11"/>
    </row>
    <row r="267" spans="1:29" s="15" customFormat="1" x14ac:dyDescent="0.25">
      <c r="A267" s="11" t="s">
        <v>41</v>
      </c>
      <c r="B267" s="12" t="str">
        <f>CONCATENATE("PIPE_",ROW())</f>
        <v>PIPE_267</v>
      </c>
      <c r="C267" s="13">
        <v>0.2</v>
      </c>
      <c r="D267" s="13">
        <f>dx</f>
        <v>0.2</v>
      </c>
      <c r="E267" s="14">
        <f>4687*0.001^2</f>
        <v>4.6870000000000002E-3</v>
      </c>
      <c r="F267" s="15">
        <v>0</v>
      </c>
      <c r="G267" s="15">
        <v>0</v>
      </c>
      <c r="H267" s="15">
        <v>0</v>
      </c>
      <c r="I267" s="15">
        <v>0</v>
      </c>
      <c r="J267" s="11" t="s">
        <v>41</v>
      </c>
      <c r="K267" s="11" t="s">
        <v>38</v>
      </c>
      <c r="L267" s="11" t="s">
        <v>38</v>
      </c>
      <c r="M267" s="12" t="s">
        <v>38</v>
      </c>
      <c r="N267" s="12" t="s">
        <v>38</v>
      </c>
      <c r="O267" s="12" t="s">
        <v>38</v>
      </c>
      <c r="P267" s="12" t="s">
        <v>38</v>
      </c>
      <c r="Q267" s="17">
        <f>roughness</f>
        <v>4.5000000000000003E-5</v>
      </c>
      <c r="R267" s="13" t="s">
        <v>38</v>
      </c>
      <c r="S267" s="15" t="s">
        <v>38</v>
      </c>
      <c r="T267" s="15" t="s">
        <v>38</v>
      </c>
      <c r="U267" s="36" t="s">
        <v>38</v>
      </c>
      <c r="V267" s="36" t="s">
        <v>38</v>
      </c>
      <c r="W267" s="11"/>
      <c r="X267" s="15">
        <f t="shared" si="28"/>
        <v>97.95</v>
      </c>
      <c r="Z267" s="11"/>
      <c r="AA267" s="11"/>
      <c r="AB267" s="11"/>
      <c r="AC267" s="11"/>
    </row>
    <row r="268" spans="1:29" s="15" customFormat="1" x14ac:dyDescent="0.25">
      <c r="A268" s="11"/>
      <c r="B268" s="12"/>
      <c r="C268" s="13"/>
      <c r="D268" s="13"/>
      <c r="E268" s="14"/>
      <c r="J268" s="11"/>
      <c r="K268" s="11"/>
      <c r="L268" s="11"/>
      <c r="M268" s="12"/>
      <c r="N268" s="12"/>
      <c r="O268" s="12"/>
      <c r="P268" s="12"/>
      <c r="Q268" s="17"/>
      <c r="R268" s="13"/>
      <c r="U268" s="36"/>
      <c r="V268" s="36"/>
      <c r="W268" s="11"/>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Z269" s="11"/>
      <c r="AA269" s="11"/>
      <c r="AB269" s="11"/>
      <c r="AC269" s="11"/>
    </row>
    <row r="270" spans="1:29" s="15" customFormat="1" x14ac:dyDescent="0.25">
      <c r="A270" s="11"/>
      <c r="B270" s="12"/>
      <c r="C270" s="13"/>
      <c r="D270" s="13"/>
      <c r="E270" s="14"/>
      <c r="J270" s="11"/>
      <c r="K270" s="11"/>
      <c r="L270" s="11"/>
      <c r="M270" s="12"/>
      <c r="N270" s="12"/>
      <c r="O270" s="12"/>
      <c r="P270" s="12"/>
      <c r="Q270" s="17"/>
      <c r="R270" s="13"/>
      <c r="U270" s="36"/>
      <c r="V270" s="36"/>
      <c r="W270" s="11"/>
      <c r="Z270" s="11"/>
      <c r="AA270" s="11"/>
      <c r="AB270" s="11"/>
      <c r="AC270" s="11"/>
    </row>
    <row r="271" spans="1:29" x14ac:dyDescent="0.25">
      <c r="A271" s="11" t="s">
        <v>339</v>
      </c>
      <c r="R271" s="13"/>
      <c r="U271" s="36"/>
      <c r="V271" s="36"/>
    </row>
    <row r="272" spans="1:29" x14ac:dyDescent="0.25">
      <c r="A272" s="11" t="s">
        <v>35</v>
      </c>
      <c r="B272" s="12">
        <v>340</v>
      </c>
      <c r="R272" s="13"/>
      <c r="U272" s="36"/>
      <c r="V272" s="36"/>
    </row>
    <row r="273" spans="1:29" s="15" customFormat="1" x14ac:dyDescent="0.25">
      <c r="A273" s="11" t="s">
        <v>36</v>
      </c>
      <c r="B273" s="12">
        <f>$B$26*100000</f>
        <v>8500000</v>
      </c>
      <c r="C273" s="13">
        <v>293.14999999999998</v>
      </c>
      <c r="D273" s="13"/>
      <c r="E273" s="14"/>
      <c r="J273" s="11"/>
      <c r="K273" s="11"/>
      <c r="L273" s="11"/>
      <c r="M273" s="12"/>
      <c r="N273" s="12"/>
      <c r="O273" s="12"/>
      <c r="P273" s="12"/>
      <c r="Q273" s="17"/>
      <c r="R273" s="13"/>
      <c r="U273" s="36"/>
      <c r="V273" s="36"/>
      <c r="W273" s="11"/>
      <c r="X273" s="15">
        <v>97.95</v>
      </c>
      <c r="Z273" s="11"/>
      <c r="AA273" s="11"/>
      <c r="AB273" s="11"/>
      <c r="AC273" s="11"/>
    </row>
    <row r="274" spans="1:29" s="15" customFormat="1" x14ac:dyDescent="0.25">
      <c r="A274" s="11" t="s">
        <v>41</v>
      </c>
      <c r="B274" s="12" t="str">
        <f>CONCATENATE("PIPE_",ROW())</f>
        <v>PIPE_274</v>
      </c>
      <c r="C274" s="13">
        <v>0.2</v>
      </c>
      <c r="D274" s="13">
        <f>dx</f>
        <v>0.2</v>
      </c>
      <c r="E274" s="14">
        <f>5067*0.001^2</f>
        <v>5.0669999999999995E-3</v>
      </c>
      <c r="F274" s="15">
        <v>0</v>
      </c>
      <c r="G274" s="15">
        <v>0</v>
      </c>
      <c r="H274" s="15">
        <v>0</v>
      </c>
      <c r="I274" s="15">
        <v>0</v>
      </c>
      <c r="J274" s="11" t="s">
        <v>41</v>
      </c>
      <c r="K274" s="11" t="s">
        <v>38</v>
      </c>
      <c r="L274" s="11" t="s">
        <v>38</v>
      </c>
      <c r="M274" s="12" t="s">
        <v>38</v>
      </c>
      <c r="N274" s="12" t="s">
        <v>38</v>
      </c>
      <c r="O274" s="12" t="s">
        <v>38</v>
      </c>
      <c r="P274" s="12" t="s">
        <v>38</v>
      </c>
      <c r="Q274" s="17">
        <f>roughness</f>
        <v>4.5000000000000003E-5</v>
      </c>
      <c r="R274" s="13" t="s">
        <v>38</v>
      </c>
      <c r="S274" s="15" t="s">
        <v>38</v>
      </c>
      <c r="T274" s="15" t="s">
        <v>38</v>
      </c>
      <c r="U274" s="36" t="s">
        <v>38</v>
      </c>
      <c r="V274" s="36" t="s">
        <v>38</v>
      </c>
      <c r="W274" s="11"/>
      <c r="X274" s="15">
        <f t="shared" ref="X274:X288" si="33">IF(OR(A274="Pipe", A274="Tmdpvol"), X273+C274*SIN(F274*PI()/180), X273)</f>
        <v>97.95</v>
      </c>
      <c r="Z274" s="11"/>
      <c r="AA274" s="11"/>
      <c r="AB274" s="11"/>
      <c r="AC274" s="11"/>
    </row>
    <row r="275" spans="1:29" s="15" customFormat="1" x14ac:dyDescent="0.25">
      <c r="A275" s="11"/>
      <c r="B275" s="12"/>
      <c r="C275" s="13"/>
      <c r="D275" s="13"/>
      <c r="E275" s="14"/>
      <c r="J275" s="11"/>
      <c r="K275" s="11"/>
      <c r="L275" s="11"/>
      <c r="M275" s="12"/>
      <c r="N275" s="12"/>
      <c r="O275" s="12"/>
      <c r="P275" s="12"/>
      <c r="Q275" s="17"/>
      <c r="R275" s="13"/>
      <c r="U275" s="36"/>
      <c r="V275" s="36"/>
      <c r="W275" s="11"/>
      <c r="X275" s="15">
        <f t="shared" si="33"/>
        <v>97.95</v>
      </c>
      <c r="Z275" s="11"/>
      <c r="AA275" s="11"/>
      <c r="AB275" s="11"/>
      <c r="AC275" s="11"/>
    </row>
    <row r="276" spans="1:29" s="15" customFormat="1" x14ac:dyDescent="0.25">
      <c r="A276" s="11" t="s">
        <v>39</v>
      </c>
      <c r="B276" s="12" t="str">
        <f>CONCATENATE("JUNC_",ROW())</f>
        <v>JUNC_276</v>
      </c>
      <c r="C276" s="13" t="s">
        <v>38</v>
      </c>
      <c r="D276" s="13" t="s">
        <v>38</v>
      </c>
      <c r="E276" s="14">
        <v>0</v>
      </c>
      <c r="F276" s="15" t="s">
        <v>38</v>
      </c>
      <c r="G276" s="15" t="s">
        <v>38</v>
      </c>
      <c r="H276" s="15">
        <v>0</v>
      </c>
      <c r="I276" s="15">
        <v>0</v>
      </c>
      <c r="J276" s="11" t="s">
        <v>269</v>
      </c>
      <c r="K276" s="11" t="s">
        <v>38</v>
      </c>
      <c r="L276" s="11" t="s">
        <v>38</v>
      </c>
      <c r="M276" s="12" t="str">
        <f ca="1">OFFSET($A$1,ROW()-3,1)</f>
        <v>PIPE_274</v>
      </c>
      <c r="N276" s="12" t="str">
        <f ca="1">OFFSET($A$1,ROW()+1,1)</f>
        <v>PIPE_278</v>
      </c>
      <c r="O276" s="12">
        <v>2</v>
      </c>
      <c r="P276" s="12">
        <v>1</v>
      </c>
      <c r="Q276" s="17" t="s">
        <v>38</v>
      </c>
      <c r="R276" s="13" t="s">
        <v>38</v>
      </c>
      <c r="S276" s="15" t="s">
        <v>38</v>
      </c>
      <c r="T276" s="15" t="s">
        <v>38</v>
      </c>
      <c r="U276" s="36" t="s">
        <v>38</v>
      </c>
      <c r="V276" s="36" t="s">
        <v>38</v>
      </c>
      <c r="W276" s="11"/>
      <c r="X276" s="15">
        <f t="shared" si="33"/>
        <v>97.95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33"/>
        <v>97.95</v>
      </c>
      <c r="Z277" s="11"/>
      <c r="AA277" s="11"/>
      <c r="AB277" s="11"/>
      <c r="AC277" s="11"/>
    </row>
    <row r="278" spans="1:29" s="15" customFormat="1" x14ac:dyDescent="0.25">
      <c r="A278" s="11" t="s">
        <v>41</v>
      </c>
      <c r="B278" s="12" t="str">
        <f t="shared" ref="B278:B280" si="34">CONCATENATE("PIPE_",ROW())</f>
        <v>PIPE_278</v>
      </c>
      <c r="C278" s="13">
        <v>3.7</v>
      </c>
      <c r="D278" s="13">
        <f t="shared" ref="D278:D284" si="35">dx</f>
        <v>0.2</v>
      </c>
      <c r="E278" s="14">
        <f>5067*0.001^2</f>
        <v>5.0669999999999995E-3</v>
      </c>
      <c r="F278" s="15">
        <v>0</v>
      </c>
      <c r="G278" s="15">
        <v>0</v>
      </c>
      <c r="H278" s="15">
        <v>0</v>
      </c>
      <c r="I278" s="15">
        <v>0</v>
      </c>
      <c r="J278" s="11" t="s">
        <v>331</v>
      </c>
      <c r="K278" s="11" t="s">
        <v>38</v>
      </c>
      <c r="L278" s="11" t="s">
        <v>38</v>
      </c>
      <c r="M278" s="12" t="s">
        <v>38</v>
      </c>
      <c r="N278" s="12" t="s">
        <v>38</v>
      </c>
      <c r="O278" s="12" t="s">
        <v>38</v>
      </c>
      <c r="P278" s="12" t="s">
        <v>38</v>
      </c>
      <c r="Q278" s="17">
        <f t="shared" ref="Q278:Q284" si="36">roughness</f>
        <v>4.5000000000000003E-5</v>
      </c>
      <c r="R278" s="13" t="s">
        <v>38</v>
      </c>
      <c r="S278" s="15" t="s">
        <v>38</v>
      </c>
      <c r="T278" s="15" t="s">
        <v>38</v>
      </c>
      <c r="U278" s="36" t="s">
        <v>38</v>
      </c>
      <c r="V278" s="36" t="s">
        <v>38</v>
      </c>
      <c r="W278" s="11"/>
      <c r="X278" s="15">
        <f t="shared" si="33"/>
        <v>97.95</v>
      </c>
      <c r="Z278" s="11"/>
      <c r="AA278" s="11"/>
      <c r="AB278" s="11"/>
      <c r="AC278" s="11"/>
    </row>
    <row r="279" spans="1:29" s="15" customFormat="1" x14ac:dyDescent="0.25">
      <c r="A279" s="11" t="s">
        <v>41</v>
      </c>
      <c r="B279" s="12" t="str">
        <f t="shared" si="34"/>
        <v>PIPE_279</v>
      </c>
      <c r="C279" s="13">
        <v>0.2</v>
      </c>
      <c r="D279" s="13">
        <f t="shared" si="35"/>
        <v>0.2</v>
      </c>
      <c r="E279" s="14">
        <f>5067*0.001^2</f>
        <v>5.0669999999999995E-3</v>
      </c>
      <c r="F279" s="15">
        <v>90</v>
      </c>
      <c r="G279" s="15">
        <v>0</v>
      </c>
      <c r="H279" s="15">
        <v>0</v>
      </c>
      <c r="I279" s="15">
        <v>0</v>
      </c>
      <c r="J279" s="11" t="s">
        <v>336</v>
      </c>
      <c r="K279" s="11" t="s">
        <v>38</v>
      </c>
      <c r="L279" s="11" t="s">
        <v>38</v>
      </c>
      <c r="M279" s="12" t="s">
        <v>38</v>
      </c>
      <c r="N279" s="12" t="s">
        <v>38</v>
      </c>
      <c r="O279" s="12" t="s">
        <v>38</v>
      </c>
      <c r="P279" s="12" t="s">
        <v>38</v>
      </c>
      <c r="Q279" s="17">
        <f t="shared" si="36"/>
        <v>4.5000000000000003E-5</v>
      </c>
      <c r="R279" s="13" t="s">
        <v>38</v>
      </c>
      <c r="S279" s="15" t="s">
        <v>38</v>
      </c>
      <c r="T279" s="15" t="s">
        <v>38</v>
      </c>
      <c r="U279" s="36" t="s">
        <v>38</v>
      </c>
      <c r="V279" s="36" t="s">
        <v>38</v>
      </c>
      <c r="W279" s="11"/>
      <c r="X279" s="15">
        <f t="shared" si="33"/>
        <v>98.15</v>
      </c>
      <c r="Z279" s="11"/>
      <c r="AA279" s="11"/>
      <c r="AB279" s="11"/>
      <c r="AC279" s="11"/>
    </row>
    <row r="280" spans="1:29" s="15" customFormat="1" x14ac:dyDescent="0.25">
      <c r="A280" s="11" t="s">
        <v>41</v>
      </c>
      <c r="B280" s="12" t="str">
        <f t="shared" si="34"/>
        <v>PIPE_280</v>
      </c>
      <c r="C280" s="13">
        <v>3.7</v>
      </c>
      <c r="D280" s="13">
        <f t="shared" si="35"/>
        <v>0.2</v>
      </c>
      <c r="E280" s="14">
        <f>5067*0.001^2</f>
        <v>5.0669999999999995E-3</v>
      </c>
      <c r="F280" s="15">
        <v>0</v>
      </c>
      <c r="G280" s="15">
        <v>0</v>
      </c>
      <c r="H280" s="15">
        <v>0</v>
      </c>
      <c r="I280" s="15">
        <v>0</v>
      </c>
      <c r="J280" s="11" t="s">
        <v>332</v>
      </c>
      <c r="K280" s="11" t="s">
        <v>38</v>
      </c>
      <c r="L280" s="11" t="s">
        <v>38</v>
      </c>
      <c r="M280" s="12" t="s">
        <v>38</v>
      </c>
      <c r="N280" s="12" t="s">
        <v>38</v>
      </c>
      <c r="O280" s="12" t="s">
        <v>38</v>
      </c>
      <c r="P280" s="12" t="s">
        <v>38</v>
      </c>
      <c r="Q280" s="17">
        <f t="shared" si="36"/>
        <v>4.5000000000000003E-5</v>
      </c>
      <c r="R280" s="13" t="s">
        <v>38</v>
      </c>
      <c r="S280" s="15" t="s">
        <v>38</v>
      </c>
      <c r="T280" s="15" t="s">
        <v>38</v>
      </c>
      <c r="U280" s="36" t="s">
        <v>38</v>
      </c>
      <c r="V280" s="36" t="s">
        <v>38</v>
      </c>
      <c r="W280" s="11"/>
      <c r="X280" s="15">
        <f t="shared" si="33"/>
        <v>98.15</v>
      </c>
      <c r="Z280" s="11"/>
      <c r="AA280" s="11"/>
      <c r="AB280" s="11"/>
      <c r="AC280" s="11"/>
    </row>
    <row r="281" spans="1:29" s="15" customFormat="1" x14ac:dyDescent="0.25">
      <c r="A281" s="11" t="s">
        <v>41</v>
      </c>
      <c r="B281" s="12" t="str">
        <f>CONCATENATE("PIPE_",ROW())</f>
        <v>PIPE_281</v>
      </c>
      <c r="C281" s="13">
        <v>0.2</v>
      </c>
      <c r="D281" s="13">
        <f t="shared" si="35"/>
        <v>0.2</v>
      </c>
      <c r="E281" s="14">
        <f>5067*0.001^2</f>
        <v>5.0669999999999995E-3</v>
      </c>
      <c r="F281" s="15">
        <v>90</v>
      </c>
      <c r="G281" s="15">
        <v>0</v>
      </c>
      <c r="H281" s="15">
        <v>0</v>
      </c>
      <c r="I281" s="15">
        <v>0</v>
      </c>
      <c r="J281" s="11" t="s">
        <v>333</v>
      </c>
      <c r="K281" s="11" t="s">
        <v>38</v>
      </c>
      <c r="L281" s="11" t="s">
        <v>38</v>
      </c>
      <c r="M281" s="12" t="s">
        <v>38</v>
      </c>
      <c r="N281" s="12" t="s">
        <v>38</v>
      </c>
      <c r="O281" s="12" t="s">
        <v>38</v>
      </c>
      <c r="P281" s="12" t="s">
        <v>38</v>
      </c>
      <c r="Q281" s="17">
        <f t="shared" si="36"/>
        <v>4.5000000000000003E-5</v>
      </c>
      <c r="R281" s="13" t="s">
        <v>38</v>
      </c>
      <c r="S281" s="15" t="s">
        <v>38</v>
      </c>
      <c r="T281" s="15" t="s">
        <v>38</v>
      </c>
      <c r="U281" s="36" t="s">
        <v>38</v>
      </c>
      <c r="V281" s="36" t="s">
        <v>38</v>
      </c>
      <c r="W281" s="11"/>
      <c r="X281" s="15">
        <f t="shared" si="33"/>
        <v>98.350000000000009</v>
      </c>
      <c r="Z281" s="11"/>
      <c r="AA281" s="11"/>
      <c r="AB281" s="11"/>
      <c r="AC281" s="11"/>
    </row>
    <row r="282" spans="1:29" s="15" customFormat="1" x14ac:dyDescent="0.25">
      <c r="A282" s="11" t="s">
        <v>41</v>
      </c>
      <c r="B282" s="12" t="str">
        <f t="shared" ref="B282:B284" si="37">CONCATENATE("PIPE_",ROW())</f>
        <v>PIPE_282</v>
      </c>
      <c r="C282" s="13">
        <v>3.7</v>
      </c>
      <c r="D282" s="13">
        <f t="shared" si="35"/>
        <v>0.2</v>
      </c>
      <c r="E282" s="14">
        <f>4687*0.001^2</f>
        <v>4.6870000000000002E-3</v>
      </c>
      <c r="F282" s="15">
        <v>0</v>
      </c>
      <c r="G282" s="15">
        <v>0</v>
      </c>
      <c r="H282" s="15">
        <v>0</v>
      </c>
      <c r="I282" s="15">
        <v>0</v>
      </c>
      <c r="J282" s="11" t="s">
        <v>334</v>
      </c>
      <c r="K282" s="11" t="s">
        <v>38</v>
      </c>
      <c r="L282" s="11" t="s">
        <v>38</v>
      </c>
      <c r="M282" s="12" t="s">
        <v>38</v>
      </c>
      <c r="N282" s="12" t="s">
        <v>38</v>
      </c>
      <c r="O282" s="12" t="s">
        <v>38</v>
      </c>
      <c r="P282" s="12" t="s">
        <v>38</v>
      </c>
      <c r="Q282" s="17">
        <f t="shared" si="36"/>
        <v>4.5000000000000003E-5</v>
      </c>
      <c r="R282" s="13" t="s">
        <v>38</v>
      </c>
      <c r="S282" s="15" t="s">
        <v>38</v>
      </c>
      <c r="T282" s="15" t="s">
        <v>38</v>
      </c>
      <c r="U282" s="36" t="s">
        <v>38</v>
      </c>
      <c r="V282" s="36" t="s">
        <v>38</v>
      </c>
      <c r="W282" s="11"/>
      <c r="X282" s="15">
        <f t="shared" si="33"/>
        <v>98.350000000000009</v>
      </c>
      <c r="Z282" s="11"/>
      <c r="AA282" s="11"/>
      <c r="AB282" s="11"/>
      <c r="AC282" s="11"/>
    </row>
    <row r="283" spans="1:29" s="15" customFormat="1" x14ac:dyDescent="0.25">
      <c r="A283" s="11" t="s">
        <v>41</v>
      </c>
      <c r="B283" s="12" t="str">
        <f t="shared" si="37"/>
        <v>PIPE_283</v>
      </c>
      <c r="C283" s="13">
        <v>0.4</v>
      </c>
      <c r="D283" s="13">
        <f t="shared" si="35"/>
        <v>0.2</v>
      </c>
      <c r="E283" s="14">
        <f>4687*0.001^2</f>
        <v>4.6870000000000002E-3</v>
      </c>
      <c r="F283" s="15">
        <v>-90</v>
      </c>
      <c r="G283" s="15">
        <v>0</v>
      </c>
      <c r="H283" s="15">
        <f>Cv2K(32.83,E283)</f>
        <v>71.24587735865228</v>
      </c>
      <c r="I283" s="15">
        <f>H283</f>
        <v>71.24587735865228</v>
      </c>
      <c r="J283" s="11" t="s">
        <v>336</v>
      </c>
      <c r="K283" s="11" t="s">
        <v>38</v>
      </c>
      <c r="L283" s="11" t="s">
        <v>38</v>
      </c>
      <c r="M283" s="12" t="s">
        <v>38</v>
      </c>
      <c r="N283" s="12" t="s">
        <v>38</v>
      </c>
      <c r="O283" s="12" t="s">
        <v>38</v>
      </c>
      <c r="P283" s="12" t="s">
        <v>38</v>
      </c>
      <c r="Q283" s="17">
        <f t="shared" si="36"/>
        <v>4.5000000000000003E-5</v>
      </c>
      <c r="R283" s="13" t="s">
        <v>38</v>
      </c>
      <c r="S283" s="15" t="s">
        <v>38</v>
      </c>
      <c r="T283" s="15" t="s">
        <v>38</v>
      </c>
      <c r="U283" s="36" t="s">
        <v>38</v>
      </c>
      <c r="V283" s="36" t="s">
        <v>38</v>
      </c>
      <c r="W283" s="11"/>
      <c r="X283" s="15">
        <f t="shared" si="33"/>
        <v>97.95</v>
      </c>
      <c r="Z283" s="11"/>
      <c r="AA283" s="11"/>
      <c r="AB283" s="11"/>
      <c r="AC283" s="11"/>
    </row>
    <row r="284" spans="1:29" s="15" customFormat="1" x14ac:dyDescent="0.25">
      <c r="A284" s="11" t="s">
        <v>41</v>
      </c>
      <c r="B284" s="12" t="str">
        <f t="shared" si="37"/>
        <v>PIPE_284</v>
      </c>
      <c r="C284" s="13">
        <v>3.7</v>
      </c>
      <c r="D284" s="13">
        <f t="shared" si="35"/>
        <v>0.2</v>
      </c>
      <c r="E284" s="14">
        <f>4687*0.001^2</f>
        <v>4.6870000000000002E-3</v>
      </c>
      <c r="F284" s="15">
        <v>0</v>
      </c>
      <c r="G284" s="15">
        <v>0</v>
      </c>
      <c r="H284" s="15">
        <v>0</v>
      </c>
      <c r="I284" s="15">
        <v>0</v>
      </c>
      <c r="J284" s="11" t="s">
        <v>335</v>
      </c>
      <c r="K284" s="11" t="s">
        <v>38</v>
      </c>
      <c r="L284" s="11" t="s">
        <v>38</v>
      </c>
      <c r="M284" s="12" t="s">
        <v>38</v>
      </c>
      <c r="N284" s="12" t="s">
        <v>38</v>
      </c>
      <c r="O284" s="12" t="s">
        <v>38</v>
      </c>
      <c r="P284" s="12" t="s">
        <v>38</v>
      </c>
      <c r="Q284" s="17">
        <f t="shared" si="36"/>
        <v>4.5000000000000003E-5</v>
      </c>
      <c r="R284" s="13" t="s">
        <v>38</v>
      </c>
      <c r="S284" s="15" t="s">
        <v>38</v>
      </c>
      <c r="T284" s="15" t="s">
        <v>38</v>
      </c>
      <c r="U284" s="36" t="s">
        <v>38</v>
      </c>
      <c r="V284" s="36" t="s">
        <v>38</v>
      </c>
      <c r="W284" s="11"/>
      <c r="X284" s="15">
        <f t="shared" si="33"/>
        <v>97.95</v>
      </c>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X285" s="15">
        <f t="shared" si="33"/>
        <v>97.95</v>
      </c>
      <c r="Z285" s="11"/>
      <c r="AA285" s="11"/>
      <c r="AB285" s="11"/>
      <c r="AC285" s="11"/>
    </row>
    <row r="286" spans="1:29" s="15" customFormat="1" x14ac:dyDescent="0.25">
      <c r="A286" s="11" t="s">
        <v>39</v>
      </c>
      <c r="B286" s="12" t="str">
        <f>CONCATENATE("JUNC_",ROW())</f>
        <v>JUNC_286</v>
      </c>
      <c r="C286" s="13" t="s">
        <v>38</v>
      </c>
      <c r="D286" s="13" t="s">
        <v>38</v>
      </c>
      <c r="E286" s="14">
        <v>0</v>
      </c>
      <c r="F286" s="15" t="s">
        <v>38</v>
      </c>
      <c r="G286" s="15" t="s">
        <v>38</v>
      </c>
      <c r="H286" s="15">
        <v>0</v>
      </c>
      <c r="I286" s="15">
        <v>0</v>
      </c>
      <c r="J286" s="11" t="s">
        <v>269</v>
      </c>
      <c r="K286" s="11" t="s">
        <v>38</v>
      </c>
      <c r="L286" s="11" t="s">
        <v>38</v>
      </c>
      <c r="M286" s="12" t="str">
        <f ca="1">OFFSET($A$1,ROW()-3,1)</f>
        <v>PIPE_284</v>
      </c>
      <c r="N286" s="12" t="str">
        <f ca="1">OFFSET($A$1,ROW()+1,1)</f>
        <v>PIPE_288</v>
      </c>
      <c r="O286" s="12">
        <v>2</v>
      </c>
      <c r="P286" s="12">
        <v>1</v>
      </c>
      <c r="Q286" s="17" t="s">
        <v>38</v>
      </c>
      <c r="R286" s="13" t="s">
        <v>38</v>
      </c>
      <c r="S286" s="15" t="s">
        <v>38</v>
      </c>
      <c r="T286" s="15" t="s">
        <v>38</v>
      </c>
      <c r="U286" s="36" t="s">
        <v>38</v>
      </c>
      <c r="V286" s="36" t="s">
        <v>38</v>
      </c>
      <c r="W286" s="11"/>
      <c r="X286" s="15">
        <f t="shared" si="33"/>
        <v>97.95</v>
      </c>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X287" s="15">
        <f t="shared" si="33"/>
        <v>97.95</v>
      </c>
      <c r="Z287" s="11"/>
      <c r="AA287" s="11"/>
      <c r="AB287" s="11"/>
      <c r="AC287" s="11"/>
    </row>
    <row r="288" spans="1:29" s="15" customFormat="1" x14ac:dyDescent="0.25">
      <c r="A288" s="11" t="s">
        <v>41</v>
      </c>
      <c r="B288" s="12" t="str">
        <f>CONCATENATE("PIPE_",ROW())</f>
        <v>PIPE_288</v>
      </c>
      <c r="C288" s="13">
        <v>0.2</v>
      </c>
      <c r="D288" s="13">
        <f>dx</f>
        <v>0.2</v>
      </c>
      <c r="E288" s="14">
        <f>4687*0.001^2</f>
        <v>4.6870000000000002E-3</v>
      </c>
      <c r="F288" s="15">
        <v>0</v>
      </c>
      <c r="G288" s="15">
        <v>0</v>
      </c>
      <c r="H288" s="15">
        <v>0</v>
      </c>
      <c r="I288" s="15">
        <v>0</v>
      </c>
      <c r="J288" s="11" t="s">
        <v>41</v>
      </c>
      <c r="K288" s="11" t="s">
        <v>38</v>
      </c>
      <c r="L288" s="11" t="s">
        <v>38</v>
      </c>
      <c r="M288" s="12" t="s">
        <v>38</v>
      </c>
      <c r="N288" s="12" t="s">
        <v>38</v>
      </c>
      <c r="O288" s="12" t="s">
        <v>38</v>
      </c>
      <c r="P288" s="12" t="s">
        <v>38</v>
      </c>
      <c r="Q288" s="17">
        <f>roughness</f>
        <v>4.5000000000000003E-5</v>
      </c>
      <c r="R288" s="13" t="s">
        <v>38</v>
      </c>
      <c r="S288" s="15" t="s">
        <v>38</v>
      </c>
      <c r="T288" s="15" t="s">
        <v>38</v>
      </c>
      <c r="U288" s="36" t="s">
        <v>38</v>
      </c>
      <c r="V288" s="36" t="s">
        <v>38</v>
      </c>
      <c r="W288" s="11"/>
      <c r="X288" s="15">
        <f t="shared" si="33"/>
        <v>97.95</v>
      </c>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854" priority="7578" stopIfTrue="1">
      <formula>$A6="Pipe"</formula>
    </cfRule>
    <cfRule type="expression" dxfId="853" priority="7579" stopIfTrue="1">
      <formula>OR($A6="Junction",$A6="Mtrvlv",$A6="Pump",$A6="Chkvlv",$A6="Trpvlv",$A6="Srvvlv",$A6="Rlfvlv")</formula>
    </cfRule>
    <cfRule type="expression" dxfId="852" priority="7580" stopIfTrue="1">
      <formula>OR($A6="Tmdpvol",$A6="Snglvol",$A6="Relapnr",$A6="Init")</formula>
    </cfRule>
  </conditionalFormatting>
  <conditionalFormatting sqref="W7">
    <cfRule type="expression" priority="7581" stopIfTrue="1">
      <formula>2</formula>
    </cfRule>
  </conditionalFormatting>
  <conditionalFormatting sqref="Q1357:Q1358 U1357:V1358 F572:L1201 A572:D1201 Q572:Q1201 U572:V1201">
    <cfRule type="expression" dxfId="851" priority="7582" stopIfTrue="1">
      <formula>$A572="Pipe"</formula>
    </cfRule>
  </conditionalFormatting>
  <conditionalFormatting sqref="R1357:T1358">
    <cfRule type="expression" dxfId="850" priority="7583" stopIfTrue="1">
      <formula>$A1357="Pipe"</formula>
    </cfRule>
  </conditionalFormatting>
  <conditionalFormatting sqref="P1357:P1358 U1357:V1358 H572:K1201 A572:B1201 U572:V1201 M572:P1201">
    <cfRule type="expression" dxfId="849" priority="7584" stopIfTrue="1">
      <formula>$A572="Junction"</formula>
    </cfRule>
  </conditionalFormatting>
  <conditionalFormatting sqref="Q1357:T1358">
    <cfRule type="expression" dxfId="848" priority="7585" stopIfTrue="1">
      <formula>$A1357="Junction"</formula>
    </cfRule>
  </conditionalFormatting>
  <conditionalFormatting sqref="T1357:V1358 H572:K1201 A572:B1201 T572:V1201 M572:P1201">
    <cfRule type="expression" dxfId="847" priority="7586" stopIfTrue="1">
      <formula>$A572="Mtrvlv"</formula>
    </cfRule>
  </conditionalFormatting>
  <conditionalFormatting sqref="Q1357:S1358">
    <cfRule type="expression" dxfId="846" priority="7587" stopIfTrue="1">
      <formula>$A1357="Mtrvlv"</formula>
    </cfRule>
  </conditionalFormatting>
  <conditionalFormatting sqref="T1357:V1358 H572:K1201 B572:B1201 T572:V1201 M572:P1201">
    <cfRule type="expression" dxfId="845" priority="7588" stopIfTrue="1">
      <formula>$A572="Srvvlv"</formula>
    </cfRule>
  </conditionalFormatting>
  <conditionalFormatting sqref="Q1357:S1358">
    <cfRule type="expression" dxfId="844" priority="7589" stopIfTrue="1">
      <formula>$A1357="Srvvlv"</formula>
    </cfRule>
  </conditionalFormatting>
  <conditionalFormatting sqref="T1357:V1358 H572:J1201 A572:A1201 N572:P1201 T572:T1201 V572:V1201">
    <cfRule type="expression" dxfId="843" priority="7590" stopIfTrue="1">
      <formula>$A572="Chkvlv"</formula>
    </cfRule>
  </conditionalFormatting>
  <conditionalFormatting sqref="Q1357:S1358">
    <cfRule type="expression" dxfId="842" priority="7591" stopIfTrue="1">
      <formula>$A1357="Chkvlv"</formula>
    </cfRule>
  </conditionalFormatting>
  <conditionalFormatting sqref="T1357:V1358 H572:K1201 A572:B1201 T572:V1201 M572:P1201">
    <cfRule type="expression" dxfId="841" priority="7592" stopIfTrue="1">
      <formula>$A572="Inrvlv"</formula>
    </cfRule>
  </conditionalFormatting>
  <conditionalFormatting sqref="Q1357:S1358">
    <cfRule type="expression" dxfId="840" priority="7593" stopIfTrue="1">
      <formula>$A1357="Inrvlv"</formula>
    </cfRule>
  </conditionalFormatting>
  <conditionalFormatting sqref="T1357:V1358 H572:K1201 B572:B1201 T572:V1201 M572:P1201">
    <cfRule type="expression" dxfId="839" priority="7594" stopIfTrue="1">
      <formula>$A572="Tmdpjun"</formula>
    </cfRule>
  </conditionalFormatting>
  <conditionalFormatting sqref="Q1357:S1358">
    <cfRule type="expression" dxfId="838" priority="7595" stopIfTrue="1">
      <formula>$A1357="Tmdpjun"</formula>
    </cfRule>
  </conditionalFormatting>
  <conditionalFormatting sqref="R1357:V1358 F572:K1201 A572:C1201 T572:V1201 M572:P1201">
    <cfRule type="expression" dxfId="837" priority="7596" stopIfTrue="1">
      <formula>$A572="Pump"</formula>
    </cfRule>
  </conditionalFormatting>
  <conditionalFormatting sqref="Q1357:Q1358">
    <cfRule type="expression" dxfId="836" priority="7597" stopIfTrue="1">
      <formula>$A1357="Pump"</formula>
    </cfRule>
  </conditionalFormatting>
  <conditionalFormatting sqref="Q1357:R1358 U1357:V1358 A572:C1201 F572:G1201 J572:K1201 Q572:Q1201 U572:V1201">
    <cfRule type="expression" dxfId="835" priority="7598" stopIfTrue="1">
      <formula>$A572="Tmdpvol"</formula>
    </cfRule>
  </conditionalFormatting>
  <conditionalFormatting sqref="S1357:T1358">
    <cfRule type="expression" dxfId="834" priority="7599" stopIfTrue="1">
      <formula>$A1357="Tmdpvol"</formula>
    </cfRule>
  </conditionalFormatting>
  <conditionalFormatting sqref="U1357:V1358 A572:A1201 F572:G1201 J572:J1201 V572:V1201">
    <cfRule type="expression" dxfId="833" priority="7600" stopIfTrue="1">
      <formula>$A572="Snglvol"</formula>
    </cfRule>
  </conditionalFormatting>
  <conditionalFormatting sqref="Q1357:T1358">
    <cfRule type="expression" dxfId="832" priority="7601" stopIfTrue="1">
      <formula>$A1357="Snglvol"</formula>
    </cfRule>
  </conditionalFormatting>
  <conditionalFormatting sqref="W5">
    <cfRule type="expression" dxfId="831" priority="7602" stopIfTrue="1">
      <formula>$A4="Pipe"</formula>
    </cfRule>
    <cfRule type="expression" dxfId="830" priority="7603" stopIfTrue="1">
      <formula>OR($A4="Junction",$A4="Mtrvlv",$A4="Pump",$A4="Chkvlv",$A4="Trpvlv",$A4="Srvvlv",$A4="Rlfvlv")</formula>
    </cfRule>
    <cfRule type="expression" dxfId="829" priority="7604" stopIfTrue="1">
      <formula>OR($A4="Tmdpvol",$A4="Snglvol",$A4="Relapnr",$A4="Init")</formula>
    </cfRule>
  </conditionalFormatting>
  <conditionalFormatting sqref="A1357:A1358">
    <cfRule type="expression" dxfId="828" priority="7605" stopIfTrue="1">
      <formula>$A1357="Pipe"</formula>
    </cfRule>
    <cfRule type="expression" dxfId="827" priority="7617" stopIfTrue="1">
      <formula>$A1357="Junction"</formula>
    </cfRule>
    <cfRule type="expression" dxfId="826" priority="7628" stopIfTrue="1">
      <formula>$A1357="Sngljun"</formula>
    </cfRule>
    <cfRule type="expression" dxfId="825" priority="7642" stopIfTrue="1">
      <formula>$A1357="Mtrvlv"</formula>
    </cfRule>
    <cfRule type="expression" dxfId="824" priority="7654" stopIfTrue="1">
      <formula>$A1357="Srvvlv"</formula>
    </cfRule>
    <cfRule type="expression" dxfId="823" priority="7666" stopIfTrue="1">
      <formula>$A1357="Chkvlv"</formula>
    </cfRule>
    <cfRule type="expression" dxfId="822" priority="7678" stopIfTrue="1">
      <formula>$A1357="Inrvlv"</formula>
    </cfRule>
    <cfRule type="expression" dxfId="821" priority="7690" stopIfTrue="1">
      <formula>$A1357="Tmdpjun"</formula>
    </cfRule>
    <cfRule type="expression" dxfId="820" priority="7702" stopIfTrue="1">
      <formula>$A1357="Pump"</formula>
    </cfRule>
    <cfRule type="expression" dxfId="819" priority="7714" stopIfTrue="1">
      <formula>$A1357="Tmdpvol"</formula>
    </cfRule>
    <cfRule type="expression" dxfId="818" priority="7726" stopIfTrue="1">
      <formula>$A1357="Snglvol"</formula>
    </cfRule>
    <cfRule type="expression" dxfId="817" priority="7738" stopIfTrue="1">
      <formula>$A1357="Relapnr"</formula>
    </cfRule>
    <cfRule type="expression" dxfId="816" priority="7740" stopIfTrue="1">
      <formula>$A1357="Init"</formula>
    </cfRule>
    <cfRule type="expression" dxfId="815" priority="7743" stopIfTrue="1">
      <formula>$A1357="InitGas"</formula>
    </cfRule>
    <cfRule type="expression" dxfId="814" priority="7746" stopIfTrue="1">
      <formula>$A1357="Timestep"</formula>
    </cfRule>
    <cfRule type="expression" dxfId="813" priority="7751" stopIfTrue="1">
      <formula>$A1357="Replacements"</formula>
    </cfRule>
    <cfRule type="expression" dxfId="812" priority="7753" stopIfTrue="1">
      <formula>$A1357="Triggerwords"</formula>
    </cfRule>
    <cfRule type="expression" dxfId="811" priority="7755" stopIfTrue="1">
      <formula>$A1357="Custom"</formula>
    </cfRule>
  </conditionalFormatting>
  <conditionalFormatting sqref="B1357:B1358">
    <cfRule type="expression" dxfId="810" priority="7606" stopIfTrue="1">
      <formula>$A1357="Pipe"</formula>
    </cfRule>
    <cfRule type="expression" dxfId="809" priority="7618" stopIfTrue="1">
      <formula>$A1357="Junction"</formula>
    </cfRule>
    <cfRule type="expression" dxfId="808" priority="7629" stopIfTrue="1">
      <formula>$A1357="Sngljun"</formula>
    </cfRule>
    <cfRule type="expression" dxfId="807" priority="7643" stopIfTrue="1">
      <formula>$A1357="Mtrvlv"</formula>
    </cfRule>
    <cfRule type="expression" dxfId="806" priority="7655" stopIfTrue="1">
      <formula>$A1357="Srvvlv"</formula>
    </cfRule>
    <cfRule type="expression" dxfId="805" priority="7667" stopIfTrue="1">
      <formula>$A1357="Chkvlv"</formula>
    </cfRule>
    <cfRule type="expression" dxfId="804" priority="7679" stopIfTrue="1">
      <formula>$A1357="Inrvlv"</formula>
    </cfRule>
    <cfRule type="expression" dxfId="803" priority="7691" stopIfTrue="1">
      <formula>$A1357="Tmdpjun"</formula>
    </cfRule>
    <cfRule type="expression" dxfId="802" priority="7703" stopIfTrue="1">
      <formula>$A1357="Pump"</formula>
    </cfRule>
    <cfRule type="expression" dxfId="801" priority="7715" stopIfTrue="1">
      <formula>$A1357="Tmdpvol"</formula>
    </cfRule>
    <cfRule type="expression" dxfId="800" priority="7727" stopIfTrue="1">
      <formula>$A1357="Snglvol"</formula>
    </cfRule>
    <cfRule type="expression" dxfId="799" priority="7739" stopIfTrue="1">
      <formula>$A1357="Relapnr"</formula>
    </cfRule>
    <cfRule type="expression" dxfId="798" priority="7741" stopIfTrue="1">
      <formula>$A1357="Init"</formula>
    </cfRule>
    <cfRule type="expression" dxfId="797" priority="7744" stopIfTrue="1">
      <formula>$A1357="InitGas"</formula>
    </cfRule>
    <cfRule type="expression" dxfId="796" priority="7747" stopIfTrue="1">
      <formula>$A1357="Timestep"</formula>
    </cfRule>
    <cfRule type="expression" dxfId="795" priority="7752" stopIfTrue="1">
      <formula>$A1357="Replacements"</formula>
    </cfRule>
    <cfRule type="expression" dxfId="794" priority="7754" stopIfTrue="1">
      <formula>$A1357="Triggerwords"</formula>
    </cfRule>
    <cfRule type="expression" dxfId="793" priority="7756" stopIfTrue="1">
      <formula>$A1357="Custom"</formula>
    </cfRule>
  </conditionalFormatting>
  <conditionalFormatting sqref="C1357:C1358">
    <cfRule type="expression" dxfId="792" priority="7607" stopIfTrue="1">
      <formula>$A1357="Pipe"</formula>
    </cfRule>
    <cfRule type="expression" dxfId="791" priority="7619" stopIfTrue="1">
      <formula>$A1357="Junction"</formula>
    </cfRule>
    <cfRule type="expression" dxfId="790" priority="7630" stopIfTrue="1">
      <formula>$A1357="Sngljun"</formula>
    </cfRule>
    <cfRule type="expression" dxfId="789" priority="7644" stopIfTrue="1">
      <formula>$A1357="Mtrvlv"</formula>
    </cfRule>
    <cfRule type="expression" dxfId="788" priority="7656" stopIfTrue="1">
      <formula>$A1357="Srvvlv"</formula>
    </cfRule>
    <cfRule type="expression" dxfId="787" priority="7668" stopIfTrue="1">
      <formula>$A1357="Chkvlv"</formula>
    </cfRule>
    <cfRule type="expression" dxfId="786" priority="7680" stopIfTrue="1">
      <formula>$A1357="Inrvlv"</formula>
    </cfRule>
    <cfRule type="expression" dxfId="785" priority="7692" stopIfTrue="1">
      <formula>$A1357="Tmdpjun"</formula>
    </cfRule>
    <cfRule type="expression" dxfId="784" priority="7704" stopIfTrue="1">
      <formula>$A1357="Pump"</formula>
    </cfRule>
    <cfRule type="expression" dxfId="783" priority="7716" stopIfTrue="1">
      <formula>$A1357="Tmdpvol"</formula>
    </cfRule>
    <cfRule type="expression" dxfId="782" priority="7728" stopIfTrue="1">
      <formula>$A1357="Snglvol"</formula>
    </cfRule>
    <cfRule type="expression" dxfId="781" priority="7742" stopIfTrue="1">
      <formula>$A1357="Init"</formula>
    </cfRule>
    <cfRule type="expression" dxfId="780" priority="7745" stopIfTrue="1">
      <formula>$A1357="InitGas"</formula>
    </cfRule>
    <cfRule type="expression" dxfId="779" priority="7748" stopIfTrue="1">
      <formula>$A1357="Timestep"</formula>
    </cfRule>
  </conditionalFormatting>
  <conditionalFormatting sqref="D1357:D1358">
    <cfRule type="expression" dxfId="778" priority="7608" stopIfTrue="1">
      <formula>$A1357="Pipe"</formula>
    </cfRule>
    <cfRule type="expression" dxfId="777" priority="7620" stopIfTrue="1">
      <formula>$A1357="Junction"</formula>
    </cfRule>
    <cfRule type="expression" dxfId="776" priority="7631" stopIfTrue="1">
      <formula>$A1357="Sngljun"</formula>
    </cfRule>
    <cfRule type="expression" dxfId="775" priority="7645" stopIfTrue="1">
      <formula>$A1357="Mtrvlv"</formula>
    </cfRule>
    <cfRule type="expression" dxfId="774" priority="7657" stopIfTrue="1">
      <formula>$A1357="Srvvlv"</formula>
    </cfRule>
    <cfRule type="expression" dxfId="773" priority="7669" stopIfTrue="1">
      <formula>$A1357="Chkvlv"</formula>
    </cfRule>
    <cfRule type="expression" dxfId="772" priority="7681" stopIfTrue="1">
      <formula>$A1357="Inrvlv"</formula>
    </cfRule>
    <cfRule type="expression" dxfId="771" priority="7693" stopIfTrue="1">
      <formula>$A1357="Tmdpjun"</formula>
    </cfRule>
    <cfRule type="expression" dxfId="770" priority="7705" stopIfTrue="1">
      <formula>$A1357="Pump"</formula>
    </cfRule>
    <cfRule type="expression" dxfId="769" priority="7717" stopIfTrue="1">
      <formula>$A1357="Tmdpvol"</formula>
    </cfRule>
    <cfRule type="expression" dxfId="768" priority="7729" stopIfTrue="1">
      <formula>$A1357="Snglvol"</formula>
    </cfRule>
    <cfRule type="expression" dxfId="767" priority="7749" stopIfTrue="1">
      <formula>$A1357="Timestep"</formula>
    </cfRule>
  </conditionalFormatting>
  <conditionalFormatting sqref="E1357:E1358">
    <cfRule type="expression" dxfId="766" priority="7609" stopIfTrue="1">
      <formula>$A1357="Pipe"</formula>
    </cfRule>
    <cfRule type="expression" dxfId="765" priority="7621" stopIfTrue="1">
      <formula>$A1357="Junction"</formula>
    </cfRule>
    <cfRule type="expression" dxfId="764" priority="7632" stopIfTrue="1">
      <formula>$A1357="Sngljun"</formula>
    </cfRule>
    <cfRule type="expression" dxfId="763" priority="7646" stopIfTrue="1">
      <formula>$A1357="Mtrvlv"</formula>
    </cfRule>
    <cfRule type="expression" dxfId="762" priority="7658" stopIfTrue="1">
      <formula>$A1357="Srvvlv"</formula>
    </cfRule>
    <cfRule type="expression" dxfId="761" priority="7670" stopIfTrue="1">
      <formula>$A1357="Chkvlv"</formula>
    </cfRule>
    <cfRule type="expression" dxfId="760" priority="7682" stopIfTrue="1">
      <formula>$A1357="Inrvlv"</formula>
    </cfRule>
    <cfRule type="expression" dxfId="759" priority="7694" stopIfTrue="1">
      <formula>$A1357="Tmdpjun"</formula>
    </cfRule>
    <cfRule type="expression" dxfId="758" priority="7706" stopIfTrue="1">
      <formula>$A1357="Pump"</formula>
    </cfRule>
    <cfRule type="expression" dxfId="757" priority="7718" stopIfTrue="1">
      <formula>$A1357="Tmdpvol"</formula>
    </cfRule>
    <cfRule type="expression" dxfId="756" priority="7730" stopIfTrue="1">
      <formula>$A1357="Snglvol"</formula>
    </cfRule>
    <cfRule type="expression" dxfId="755" priority="7750" stopIfTrue="1">
      <formula>$A1357="Timestep"</formula>
    </cfRule>
  </conditionalFormatting>
  <conditionalFormatting sqref="F1357:G1358">
    <cfRule type="expression" dxfId="754" priority="7610" stopIfTrue="1">
      <formula>$A1357="Pipe"</formula>
    </cfRule>
    <cfRule type="expression" dxfId="753" priority="7622" stopIfTrue="1">
      <formula>$A1357="Junction"</formula>
    </cfRule>
    <cfRule type="expression" dxfId="752" priority="7633" stopIfTrue="1">
      <formula>$A1357="Sngljun"</formula>
    </cfRule>
    <cfRule type="expression" dxfId="751" priority="7647" stopIfTrue="1">
      <formula>$A1357="Mtrvlv"</formula>
    </cfRule>
    <cfRule type="expression" dxfId="750" priority="7659" stopIfTrue="1">
      <formula>$A1357="Srvvlv"</formula>
    </cfRule>
    <cfRule type="expression" dxfId="749" priority="7671" stopIfTrue="1">
      <formula>$A1357="Chkvlv"</formula>
    </cfRule>
    <cfRule type="expression" dxfId="748" priority="7683" stopIfTrue="1">
      <formula>$A1357="Inrvlv"</formula>
    </cfRule>
    <cfRule type="expression" dxfId="747" priority="7695" stopIfTrue="1">
      <formula>$A1357="Tmdpjun"</formula>
    </cfRule>
    <cfRule type="expression" dxfId="746" priority="7707" stopIfTrue="1">
      <formula>$A1357="Pump"</formula>
    </cfRule>
    <cfRule type="expression" dxfId="745" priority="7719" stopIfTrue="1">
      <formula>$A1357="Tmdpvol"</formula>
    </cfRule>
    <cfRule type="expression" dxfId="744" priority="7731" stopIfTrue="1">
      <formula>$A1357="Snglvol"</formula>
    </cfRule>
  </conditionalFormatting>
  <conditionalFormatting sqref="H1357:I1358">
    <cfRule type="expression" dxfId="743" priority="7611" stopIfTrue="1">
      <formula>$A1357="Pipe"</formula>
    </cfRule>
    <cfRule type="expression" dxfId="742" priority="7623" stopIfTrue="1">
      <formula>$A1357="Junction"</formula>
    </cfRule>
    <cfRule type="expression" dxfId="741" priority="7634" stopIfTrue="1">
      <formula>$A1357="Sngljun"</formula>
    </cfRule>
    <cfRule type="expression" dxfId="740" priority="7648" stopIfTrue="1">
      <formula>$A1357="Mtrvlv"</formula>
    </cfRule>
    <cfRule type="expression" dxfId="739" priority="7660" stopIfTrue="1">
      <formula>$A1357="Srvvlv"</formula>
    </cfRule>
    <cfRule type="expression" dxfId="738" priority="7672" stopIfTrue="1">
      <formula>$A1357="Chkvlv"</formula>
    </cfRule>
    <cfRule type="expression" dxfId="737" priority="7684" stopIfTrue="1">
      <formula>$A1357="Inrvlv"</formula>
    </cfRule>
    <cfRule type="expression" dxfId="736" priority="7696" stopIfTrue="1">
      <formula>$A1357="Tmdpjun"</formula>
    </cfRule>
    <cfRule type="expression" dxfId="735" priority="7708" stopIfTrue="1">
      <formula>$A1357="Pump"</formula>
    </cfRule>
    <cfRule type="expression" dxfId="734" priority="7720" stopIfTrue="1">
      <formula>$A1357="Tmdpvol"</formula>
    </cfRule>
    <cfRule type="expression" dxfId="733" priority="7732" stopIfTrue="1">
      <formula>$A1357="Snglvol"</formula>
    </cfRule>
  </conditionalFormatting>
  <conditionalFormatting sqref="J1357:K1358">
    <cfRule type="expression" dxfId="732" priority="7612" stopIfTrue="1">
      <formula>$A1357="Pipe"</formula>
    </cfRule>
    <cfRule type="expression" dxfId="731" priority="7624" stopIfTrue="1">
      <formula>$A1357="Junction"</formula>
    </cfRule>
    <cfRule type="expression" dxfId="730" priority="7635" stopIfTrue="1">
      <formula>$A1357="Sngljun"</formula>
    </cfRule>
    <cfRule type="expression" dxfId="729" priority="7649" stopIfTrue="1">
      <formula>$A1357="Mtrvlv"</formula>
    </cfRule>
    <cfRule type="expression" dxfId="728" priority="7661" stopIfTrue="1">
      <formula>$A1357="Srvvlv"</formula>
    </cfRule>
    <cfRule type="expression" dxfId="727" priority="7673" stopIfTrue="1">
      <formula>$A1357="Chkvlv"</formula>
    </cfRule>
    <cfRule type="expression" dxfId="726" priority="7685" stopIfTrue="1">
      <formula>$A1357="Inrvlv"</formula>
    </cfRule>
    <cfRule type="expression" dxfId="725" priority="7697" stopIfTrue="1">
      <formula>$A1357="Tmdpjun"</formula>
    </cfRule>
    <cfRule type="expression" dxfId="724" priority="7709" stopIfTrue="1">
      <formula>$A1357="Pump"</formula>
    </cfRule>
    <cfRule type="expression" dxfId="723" priority="7721" stopIfTrue="1">
      <formula>$A1357="Tmdpvol"</formula>
    </cfRule>
    <cfRule type="expression" dxfId="722" priority="7733" stopIfTrue="1">
      <formula>$A1357="Snglvol"</formula>
    </cfRule>
  </conditionalFormatting>
  <conditionalFormatting sqref="L1357:L1358">
    <cfRule type="expression" dxfId="721" priority="7613" stopIfTrue="1">
      <formula>$A1357="Pipe"</formula>
    </cfRule>
    <cfRule type="expression" dxfId="720" priority="7625" stopIfTrue="1">
      <formula>$A1357="Junction"</formula>
    </cfRule>
    <cfRule type="expression" dxfId="719" priority="7636" stopIfTrue="1">
      <formula>$A1357="Sngljun"</formula>
    </cfRule>
    <cfRule type="expression" dxfId="718" priority="7650" stopIfTrue="1">
      <formula>$A1357="Mtrvlv"</formula>
    </cfRule>
    <cfRule type="expression" dxfId="717" priority="7662" stopIfTrue="1">
      <formula>$A1357="Srvvlv"</formula>
    </cfRule>
    <cfRule type="expression" dxfId="716" priority="7674" stopIfTrue="1">
      <formula>$A1357="Chkvlv"</formula>
    </cfRule>
    <cfRule type="expression" dxfId="715" priority="7686" stopIfTrue="1">
      <formula>$A1357="Inrvlv"</formula>
    </cfRule>
    <cfRule type="expression" dxfId="714" priority="7698" stopIfTrue="1">
      <formula>$A1357="Tmdpjun"</formula>
    </cfRule>
    <cfRule type="expression" dxfId="713" priority="7710" stopIfTrue="1">
      <formula>$A1357="Pump"</formula>
    </cfRule>
    <cfRule type="expression" dxfId="712" priority="7722" stopIfTrue="1">
      <formula>$A1357="Tmdpvol"</formula>
    </cfRule>
    <cfRule type="expression" dxfId="711" priority="7734" stopIfTrue="1">
      <formula>$A1357="Snglvol"</formula>
    </cfRule>
  </conditionalFormatting>
  <conditionalFormatting sqref="M1357:N1358">
    <cfRule type="expression" dxfId="710" priority="7614" stopIfTrue="1">
      <formula>$A1357="Pipe"</formula>
    </cfRule>
    <cfRule type="expression" dxfId="709" priority="7626" stopIfTrue="1">
      <formula>$A1357="Junction"</formula>
    </cfRule>
    <cfRule type="expression" dxfId="708" priority="7637" stopIfTrue="1">
      <formula>$A1357="Sngljun"</formula>
    </cfRule>
    <cfRule type="expression" dxfId="707" priority="7651" stopIfTrue="1">
      <formula>$A1357="Mtrvlv"</formula>
    </cfRule>
    <cfRule type="expression" dxfId="706" priority="7663" stopIfTrue="1">
      <formula>$A1357="Srvvlv"</formula>
    </cfRule>
    <cfRule type="expression" dxfId="705" priority="7675" stopIfTrue="1">
      <formula>$A1357="Chkvlv"</formula>
    </cfRule>
    <cfRule type="expression" dxfId="704" priority="7687" stopIfTrue="1">
      <formula>$A1357="Inrvlv"</formula>
    </cfRule>
    <cfRule type="expression" dxfId="703" priority="7699" stopIfTrue="1">
      <formula>$A1357="Tmdpjun"</formula>
    </cfRule>
    <cfRule type="expression" dxfId="702" priority="7711" stopIfTrue="1">
      <formula>$A1357="Pump"</formula>
    </cfRule>
    <cfRule type="expression" dxfId="701" priority="7723" stopIfTrue="1">
      <formula>$A1357="Tmdpvol"</formula>
    </cfRule>
    <cfRule type="expression" dxfId="700" priority="7735" stopIfTrue="1">
      <formula>$A1357="Snglvol"</formula>
    </cfRule>
  </conditionalFormatting>
  <conditionalFormatting sqref="O1357:O1358">
    <cfRule type="expression" dxfId="699" priority="7615" stopIfTrue="1">
      <formula>$A1357="Pipe"</formula>
    </cfRule>
    <cfRule type="expression" dxfId="698" priority="7652" stopIfTrue="1">
      <formula>$A1357="Mtrvlv"</formula>
    </cfRule>
    <cfRule type="expression" dxfId="697" priority="7664" stopIfTrue="1">
      <formula>$A1357="Srvvlv"</formula>
    </cfRule>
    <cfRule type="expression" dxfId="696" priority="7676" stopIfTrue="1">
      <formula>$A1357="Chkvlv"</formula>
    </cfRule>
    <cfRule type="expression" dxfId="695" priority="7688" stopIfTrue="1">
      <formula>$A1357="Inrvlv"</formula>
    </cfRule>
    <cfRule type="expression" dxfId="694" priority="7700" stopIfTrue="1">
      <formula>$A1357="Tmdpjun"</formula>
    </cfRule>
    <cfRule type="expression" dxfId="693" priority="7712" stopIfTrue="1">
      <formula>$A1357="Pump"</formula>
    </cfRule>
    <cfRule type="expression" dxfId="692" priority="7724" stopIfTrue="1">
      <formula>$A1357="Tmdpvol"</formula>
    </cfRule>
    <cfRule type="expression" dxfId="691" priority="7736" stopIfTrue="1">
      <formula>$A1357="Snglvol"</formula>
    </cfRule>
  </conditionalFormatting>
  <conditionalFormatting sqref="P1357:P1358">
    <cfRule type="expression" dxfId="690" priority="7616" stopIfTrue="1">
      <formula>$A1357="Pipe"</formula>
    </cfRule>
    <cfRule type="expression" dxfId="689" priority="7639" stopIfTrue="1">
      <formula>$A1357="Sngljun"</formula>
    </cfRule>
    <cfRule type="expression" dxfId="688" priority="7653" stopIfTrue="1">
      <formula>$A1357="Mtrvlv"</formula>
    </cfRule>
    <cfRule type="expression" dxfId="687" priority="7665" stopIfTrue="1">
      <formula>$A1357="Srvvlv"</formula>
    </cfRule>
    <cfRule type="expression" dxfId="686" priority="7677" stopIfTrue="1">
      <formula>$A1357="Chkvlv"</formula>
    </cfRule>
    <cfRule type="expression" dxfId="685" priority="7689" stopIfTrue="1">
      <formula>$A1357="Inrvlv"</formula>
    </cfRule>
    <cfRule type="expression" dxfId="684" priority="7701" stopIfTrue="1">
      <formula>$A1357="Tmdpjun"</formula>
    </cfRule>
    <cfRule type="expression" dxfId="683" priority="7713" stopIfTrue="1">
      <formula>$A1357="Pump"</formula>
    </cfRule>
    <cfRule type="expression" dxfId="682" priority="7725" stopIfTrue="1">
      <formula>$A1357="Tmdpvol"</formula>
    </cfRule>
    <cfRule type="expression" dxfId="681" priority="7737" stopIfTrue="1">
      <formula>$A1357="Snglvol"</formula>
    </cfRule>
  </conditionalFormatting>
  <conditionalFormatting sqref="O1357:O1358">
    <cfRule type="expression" dxfId="680" priority="7627" stopIfTrue="1">
      <formula>$A1357="Junction"</formula>
    </cfRule>
    <cfRule type="expression" dxfId="679" priority="7638" stopIfTrue="1">
      <formula>$A1357="Sngljun"</formula>
    </cfRule>
  </conditionalFormatting>
  <conditionalFormatting sqref="Q1357:T1358">
    <cfRule type="expression" dxfId="678" priority="7640" stopIfTrue="1">
      <formula>$A1357="Sngljun"</formula>
    </cfRule>
  </conditionalFormatting>
  <conditionalFormatting sqref="U1357:V1358 H572:K1201 A572:B1201 U572:V1201 M572:P1201">
    <cfRule type="expression" dxfId="677" priority="7641" stopIfTrue="1">
      <formula>$A572="Sngljun"</formula>
    </cfRule>
  </conditionalFormatting>
  <conditionalFormatting sqref="A1202:A1356">
    <cfRule type="expression" dxfId="676" priority="7757" stopIfTrue="1">
      <formula>$A1202="Pipe"</formula>
    </cfRule>
    <cfRule type="expression" dxfId="675" priority="7779" stopIfTrue="1">
      <formula>$A1202="Junction"</formula>
    </cfRule>
    <cfRule type="expression" dxfId="674" priority="7801" stopIfTrue="1">
      <formula>$A1202="Sngljun"</formula>
    </cfRule>
    <cfRule type="expression" dxfId="673" priority="7823" stopIfTrue="1">
      <formula>$A1202="Mtrvlv"</formula>
    </cfRule>
    <cfRule type="expression" dxfId="672" priority="7845" stopIfTrue="1">
      <formula>$A1202="Srvvlv"</formula>
    </cfRule>
    <cfRule type="expression" dxfId="671" priority="7867" stopIfTrue="1">
      <formula>$A1202="Chkvlv"</formula>
    </cfRule>
    <cfRule type="expression" dxfId="670" priority="7889" stopIfTrue="1">
      <formula>$A1202="Inrvlv"</formula>
    </cfRule>
    <cfRule type="expression" dxfId="669" priority="7911" stopIfTrue="1">
      <formula>$A1202="Tmdpjun"</formula>
    </cfRule>
    <cfRule type="expression" dxfId="668" priority="7933" stopIfTrue="1">
      <formula>$A1202="Pump"</formula>
    </cfRule>
    <cfRule type="expression" dxfId="667" priority="7955" stopIfTrue="1">
      <formula>$A1202="Tmdpvol"</formula>
    </cfRule>
    <cfRule type="expression" dxfId="666" priority="7977" stopIfTrue="1">
      <formula>$A1202="Snglvol"</formula>
    </cfRule>
    <cfRule type="expression" dxfId="665" priority="7999" stopIfTrue="1">
      <formula>$A1202="Relapnr"</formula>
    </cfRule>
    <cfRule type="expression" dxfId="664" priority="8001" stopIfTrue="1">
      <formula>$A1202="Init"</formula>
    </cfRule>
    <cfRule type="expression" dxfId="663" priority="8004" stopIfTrue="1">
      <formula>$A1202="InitGas"</formula>
    </cfRule>
    <cfRule type="expression" dxfId="662" priority="8007" stopIfTrue="1">
      <formula>$A1202="Timestep"</formula>
    </cfRule>
    <cfRule type="expression" dxfId="661" priority="8012" stopIfTrue="1">
      <formula>$A1202="Replacements"</formula>
    </cfRule>
    <cfRule type="expression" dxfId="660" priority="8014" stopIfTrue="1">
      <formula>$A1202="Triggerwords"</formula>
    </cfRule>
    <cfRule type="expression" dxfId="659" priority="8016" stopIfTrue="1">
      <formula>$A1202="Custom"</formula>
    </cfRule>
  </conditionalFormatting>
  <conditionalFormatting sqref="B1202:B1356">
    <cfRule type="expression" dxfId="658" priority="7758" stopIfTrue="1">
      <formula>$A1202="Pipe"</formula>
    </cfRule>
    <cfRule type="expression" dxfId="657" priority="7780" stopIfTrue="1">
      <formula>$A1202="Junction"</formula>
    </cfRule>
    <cfRule type="expression" dxfId="656" priority="7802" stopIfTrue="1">
      <formula>$A1202="Sngljun"</formula>
    </cfRule>
    <cfRule type="expression" dxfId="655" priority="7824" stopIfTrue="1">
      <formula>$A1202="Mtrvlv"</formula>
    </cfRule>
    <cfRule type="expression" dxfId="654" priority="7846" stopIfTrue="1">
      <formula>$A1202="Srvvlv"</formula>
    </cfRule>
    <cfRule type="expression" dxfId="653" priority="7868" stopIfTrue="1">
      <formula>$A1202="Chkvlv"</formula>
    </cfRule>
    <cfRule type="expression" dxfId="652" priority="7890" stopIfTrue="1">
      <formula>$A1202="Inrvlv"</formula>
    </cfRule>
    <cfRule type="expression" dxfId="651" priority="7912" stopIfTrue="1">
      <formula>$A1202="Tmdpjun"</formula>
    </cfRule>
    <cfRule type="expression" dxfId="650" priority="7934" stopIfTrue="1">
      <formula>$A1202="Pump"</formula>
    </cfRule>
    <cfRule type="expression" dxfId="649" priority="7956" stopIfTrue="1">
      <formula>$A1202="Tmdpvol"</formula>
    </cfRule>
    <cfRule type="expression" dxfId="648" priority="7978" stopIfTrue="1">
      <formula>$A1202="Snglvol"</formula>
    </cfRule>
    <cfRule type="expression" dxfId="647" priority="8000" stopIfTrue="1">
      <formula>$A1202="Relapnr"</formula>
    </cfRule>
    <cfRule type="expression" dxfId="646" priority="8002" stopIfTrue="1">
      <formula>$A1202="Init"</formula>
    </cfRule>
    <cfRule type="expression" dxfId="645" priority="8005" stopIfTrue="1">
      <formula>$A1202="InitGas"</formula>
    </cfRule>
    <cfRule type="expression" dxfId="644" priority="8008" stopIfTrue="1">
      <formula>$A1202="Timestep"</formula>
    </cfRule>
    <cfRule type="expression" dxfId="643" priority="8013" stopIfTrue="1">
      <formula>$A1202="Replacements"</formula>
    </cfRule>
    <cfRule type="expression" dxfId="642" priority="8015" stopIfTrue="1">
      <formula>$A1202="Triggerwords"</formula>
    </cfRule>
    <cfRule type="expression" dxfId="641" priority="8017" stopIfTrue="1">
      <formula>$A1202="Custom"</formula>
    </cfRule>
  </conditionalFormatting>
  <conditionalFormatting sqref="C1202:C1356">
    <cfRule type="expression" dxfId="640" priority="7759" stopIfTrue="1">
      <formula>$A1202="Pipe"</formula>
    </cfRule>
    <cfRule type="expression" dxfId="639" priority="7781" stopIfTrue="1">
      <formula>$A1202="Junction"</formula>
    </cfRule>
    <cfRule type="expression" dxfId="638" priority="7803" stopIfTrue="1">
      <formula>$A1202="Sngljun"</formula>
    </cfRule>
    <cfRule type="expression" dxfId="637" priority="7825" stopIfTrue="1">
      <formula>$A1202="Mtrvlv"</formula>
    </cfRule>
    <cfRule type="expression" dxfId="636" priority="7847" stopIfTrue="1">
      <formula>$A1202="Srvvlv"</formula>
    </cfRule>
    <cfRule type="expression" dxfId="635" priority="7869" stopIfTrue="1">
      <formula>$A1202="Chkvlv"</formula>
    </cfRule>
    <cfRule type="expression" dxfId="634" priority="7891" stopIfTrue="1">
      <formula>$A1202="Inrvlv"</formula>
    </cfRule>
    <cfRule type="expression" dxfId="633" priority="7913" stopIfTrue="1">
      <formula>$A1202="Tmdpjun"</formula>
    </cfRule>
    <cfRule type="expression" dxfId="632" priority="7935" stopIfTrue="1">
      <formula>$A1202="Pump"</formula>
    </cfRule>
    <cfRule type="expression" dxfId="631" priority="7957" stopIfTrue="1">
      <formula>$A1202="Tmdpvol"</formula>
    </cfRule>
    <cfRule type="expression" dxfId="630" priority="7979" stopIfTrue="1">
      <formula>$A1202="Snglvol"</formula>
    </cfRule>
    <cfRule type="expression" dxfId="629" priority="8003" stopIfTrue="1">
      <formula>$A1202="Init"</formula>
    </cfRule>
    <cfRule type="expression" dxfId="628" priority="8006" stopIfTrue="1">
      <formula>$A1202="InitGas"</formula>
    </cfRule>
    <cfRule type="expression" dxfId="627" priority="8009" stopIfTrue="1">
      <formula>$A1202="Timestep"</formula>
    </cfRule>
  </conditionalFormatting>
  <conditionalFormatting sqref="D1202:D1356">
    <cfRule type="expression" dxfId="626" priority="7760" stopIfTrue="1">
      <formula>$A1202="Pipe"</formula>
    </cfRule>
    <cfRule type="expression" dxfId="625" priority="7782" stopIfTrue="1">
      <formula>$A1202="Junction"</formula>
    </cfRule>
    <cfRule type="expression" dxfId="624" priority="7804" stopIfTrue="1">
      <formula>$A1202="Sngljun"</formula>
    </cfRule>
    <cfRule type="expression" dxfId="623" priority="7826" stopIfTrue="1">
      <formula>$A1202="Mtrvlv"</formula>
    </cfRule>
    <cfRule type="expression" dxfId="622" priority="7848" stopIfTrue="1">
      <formula>$A1202="Srvvlv"</formula>
    </cfRule>
    <cfRule type="expression" dxfId="621" priority="7870" stopIfTrue="1">
      <formula>$A1202="Chkvlv"</formula>
    </cfRule>
    <cfRule type="expression" dxfId="620" priority="7892" stopIfTrue="1">
      <formula>$A1202="Inrvlv"</formula>
    </cfRule>
    <cfRule type="expression" dxfId="619" priority="7914" stopIfTrue="1">
      <formula>$A1202="Tmdpjun"</formula>
    </cfRule>
    <cfRule type="expression" dxfId="618" priority="7936" stopIfTrue="1">
      <formula>$A1202="Pump"</formula>
    </cfRule>
    <cfRule type="expression" dxfId="617" priority="7958" stopIfTrue="1">
      <formula>$A1202="Tmdpvol"</formula>
    </cfRule>
    <cfRule type="expression" dxfId="616" priority="7980" stopIfTrue="1">
      <formula>$A1202="Snglvol"</formula>
    </cfRule>
    <cfRule type="expression" dxfId="615" priority="8010" stopIfTrue="1">
      <formula>$A1202="Timestep"</formula>
    </cfRule>
  </conditionalFormatting>
  <conditionalFormatting sqref="E1202:E1356">
    <cfRule type="expression" dxfId="614" priority="7761" stopIfTrue="1">
      <formula>$A1202="Pipe"</formula>
    </cfRule>
    <cfRule type="expression" dxfId="613" priority="7783" stopIfTrue="1">
      <formula>$A1202="Junction"</formula>
    </cfRule>
    <cfRule type="expression" dxfId="612" priority="7805" stopIfTrue="1">
      <formula>$A1202="Sngljun"</formula>
    </cfRule>
    <cfRule type="expression" dxfId="611" priority="7827" stopIfTrue="1">
      <formula>$A1202="Mtrvlv"</formula>
    </cfRule>
    <cfRule type="expression" dxfId="610" priority="7849" stopIfTrue="1">
      <formula>$A1202="Srvvlv"</formula>
    </cfRule>
    <cfRule type="expression" dxfId="609" priority="7871" stopIfTrue="1">
      <formula>$A1202="Chkvlv"</formula>
    </cfRule>
    <cfRule type="expression" dxfId="608" priority="7893" stopIfTrue="1">
      <formula>$A1202="Inrvlv"</formula>
    </cfRule>
    <cfRule type="expression" dxfId="607" priority="7915" stopIfTrue="1">
      <formula>$A1202="Tmdpjun"</formula>
    </cfRule>
    <cfRule type="expression" dxfId="606" priority="7937" stopIfTrue="1">
      <formula>$A1202="Pump"</formula>
    </cfRule>
    <cfRule type="expression" dxfId="605" priority="7959" stopIfTrue="1">
      <formula>$A1202="Tmdpvol"</formula>
    </cfRule>
    <cfRule type="expression" dxfId="604" priority="7981" stopIfTrue="1">
      <formula>$A1202="Snglvol"</formula>
    </cfRule>
    <cfRule type="expression" dxfId="603" priority="8011" stopIfTrue="1">
      <formula>$A1202="Timestep"</formula>
    </cfRule>
  </conditionalFormatting>
  <conditionalFormatting sqref="F1202:F1356">
    <cfRule type="expression" dxfId="602" priority="7762" stopIfTrue="1">
      <formula>$A1202="Pipe"</formula>
    </cfRule>
    <cfRule type="expression" dxfId="601" priority="7784" stopIfTrue="1">
      <formula>$A1202="Junction"</formula>
    </cfRule>
    <cfRule type="expression" dxfId="600" priority="7806" stopIfTrue="1">
      <formula>$A1202="Sngljun"</formula>
    </cfRule>
    <cfRule type="expression" dxfId="599" priority="7828" stopIfTrue="1">
      <formula>$A1202="Mtrvlv"</formula>
    </cfRule>
    <cfRule type="expression" dxfId="598" priority="7850" stopIfTrue="1">
      <formula>$A1202="Srvvlv"</formula>
    </cfRule>
    <cfRule type="expression" dxfId="597" priority="7872" stopIfTrue="1">
      <formula>$A1202="Chkvlv"</formula>
    </cfRule>
    <cfRule type="expression" dxfId="596" priority="7894" stopIfTrue="1">
      <formula>$A1202="Inrvlv"</formula>
    </cfRule>
    <cfRule type="expression" dxfId="595" priority="7916" stopIfTrue="1">
      <formula>$A1202="Tmdpjun"</formula>
    </cfRule>
    <cfRule type="expression" dxfId="594" priority="7938" stopIfTrue="1">
      <formula>$A1202="Pump"</formula>
    </cfRule>
    <cfRule type="expression" dxfId="593" priority="7960" stopIfTrue="1">
      <formula>$A1202="Tmdpvol"</formula>
    </cfRule>
    <cfRule type="expression" dxfId="592" priority="7982" stopIfTrue="1">
      <formula>$A1202="Snglvol"</formula>
    </cfRule>
  </conditionalFormatting>
  <conditionalFormatting sqref="G1202:G1356">
    <cfRule type="expression" dxfId="591" priority="7763" stopIfTrue="1">
      <formula>$A1202="Pipe"</formula>
    </cfRule>
    <cfRule type="expression" dxfId="590" priority="7785" stopIfTrue="1">
      <formula>$A1202="Junction"</formula>
    </cfRule>
    <cfRule type="expression" dxfId="589" priority="7807" stopIfTrue="1">
      <formula>$A1202="Sngljun"</formula>
    </cfRule>
    <cfRule type="expression" dxfId="588" priority="7829" stopIfTrue="1">
      <formula>$A1202="Mtrvlv"</formula>
    </cfRule>
    <cfRule type="expression" dxfId="587" priority="7851" stopIfTrue="1">
      <formula>$A1202="Srvvlv"</formula>
    </cfRule>
    <cfRule type="expression" dxfId="586" priority="7873" stopIfTrue="1">
      <formula>$A1202="Chkvlv"</formula>
    </cfRule>
    <cfRule type="expression" dxfId="585" priority="7895" stopIfTrue="1">
      <formula>$A1202="Inrvlv"</formula>
    </cfRule>
    <cfRule type="expression" dxfId="584" priority="7917" stopIfTrue="1">
      <formula>$A1202="Tmdpjun"</formula>
    </cfRule>
    <cfRule type="expression" dxfId="583" priority="7939" stopIfTrue="1">
      <formula>$A1202="Pump"</formula>
    </cfRule>
    <cfRule type="expression" dxfId="582" priority="7961" stopIfTrue="1">
      <formula>$A1202="Tmdpvol"</formula>
    </cfRule>
    <cfRule type="expression" dxfId="581" priority="7983" stopIfTrue="1">
      <formula>$A1202="Snglvol"</formula>
    </cfRule>
  </conditionalFormatting>
  <conditionalFormatting sqref="H1202:H1356">
    <cfRule type="expression" dxfId="580" priority="7764" stopIfTrue="1">
      <formula>$A1202="Pipe"</formula>
    </cfRule>
    <cfRule type="expression" dxfId="579" priority="7786" stopIfTrue="1">
      <formula>$A1202="Junction"</formula>
    </cfRule>
    <cfRule type="expression" dxfId="578" priority="7808" stopIfTrue="1">
      <formula>$A1202="Sngljun"</formula>
    </cfRule>
    <cfRule type="expression" dxfId="577" priority="7830" stopIfTrue="1">
      <formula>$A1202="Mtrvlv"</formula>
    </cfRule>
    <cfRule type="expression" dxfId="576" priority="7852" stopIfTrue="1">
      <formula>$A1202="Srvvlv"</formula>
    </cfRule>
    <cfRule type="expression" dxfId="575" priority="7874" stopIfTrue="1">
      <formula>$A1202="Chkvlv"</formula>
    </cfRule>
    <cfRule type="expression" dxfId="574" priority="7896" stopIfTrue="1">
      <formula>$A1202="Inrvlv"</formula>
    </cfRule>
    <cfRule type="expression" dxfId="573" priority="7918" stopIfTrue="1">
      <formula>$A1202="Tmdpjun"</formula>
    </cfRule>
    <cfRule type="expression" dxfId="572" priority="7940" stopIfTrue="1">
      <formula>$A1202="Pump"</formula>
    </cfRule>
    <cfRule type="expression" dxfId="571" priority="7962" stopIfTrue="1">
      <formula>$A1202="Tmdpvol"</formula>
    </cfRule>
    <cfRule type="expression" dxfId="570" priority="7984" stopIfTrue="1">
      <formula>$A1202="Snglvol"</formula>
    </cfRule>
  </conditionalFormatting>
  <conditionalFormatting sqref="I1202:I1356">
    <cfRule type="expression" dxfId="569" priority="7765" stopIfTrue="1">
      <formula>$A1202="Pipe"</formula>
    </cfRule>
    <cfRule type="expression" dxfId="568" priority="7787" stopIfTrue="1">
      <formula>$A1202="Junction"</formula>
    </cfRule>
    <cfRule type="expression" dxfId="567" priority="7809" stopIfTrue="1">
      <formula>$A1202="Sngljun"</formula>
    </cfRule>
    <cfRule type="expression" dxfId="566" priority="7831" stopIfTrue="1">
      <formula>$A1202="Mtrvlv"</formula>
    </cfRule>
    <cfRule type="expression" dxfId="565" priority="7853" stopIfTrue="1">
      <formula>$A1202="Srvvlv"</formula>
    </cfRule>
    <cfRule type="expression" dxfId="564" priority="7875" stopIfTrue="1">
      <formula>$A1202="Chkvlv"</formula>
    </cfRule>
    <cfRule type="expression" dxfId="563" priority="7897" stopIfTrue="1">
      <formula>$A1202="Inrvlv"</formula>
    </cfRule>
    <cfRule type="expression" dxfId="562" priority="7919" stopIfTrue="1">
      <formula>$A1202="Tmdpjun"</formula>
    </cfRule>
    <cfRule type="expression" dxfId="561" priority="7941" stopIfTrue="1">
      <formula>$A1202="Pump"</formula>
    </cfRule>
    <cfRule type="expression" dxfId="560" priority="7963" stopIfTrue="1">
      <formula>$A1202="Tmdpvol"</formula>
    </cfRule>
    <cfRule type="expression" dxfId="559" priority="7985" stopIfTrue="1">
      <formula>$A1202="Snglvol"</formula>
    </cfRule>
  </conditionalFormatting>
  <conditionalFormatting sqref="J1202:J1356">
    <cfRule type="expression" dxfId="558" priority="7766" stopIfTrue="1">
      <formula>$A1202="Pipe"</formula>
    </cfRule>
    <cfRule type="expression" dxfId="557" priority="7788" stopIfTrue="1">
      <formula>$A1202="Junction"</formula>
    </cfRule>
    <cfRule type="expression" dxfId="556" priority="7810" stopIfTrue="1">
      <formula>$A1202="Sngljun"</formula>
    </cfRule>
    <cfRule type="expression" dxfId="555" priority="7832" stopIfTrue="1">
      <formula>$A1202="Mtrvlv"</formula>
    </cfRule>
    <cfRule type="expression" dxfId="554" priority="7854" stopIfTrue="1">
      <formula>$A1202="Srvvlv"</formula>
    </cfRule>
    <cfRule type="expression" dxfId="553" priority="7876" stopIfTrue="1">
      <formula>$A1202="Chkvlv"</formula>
    </cfRule>
    <cfRule type="expression" dxfId="552" priority="7898" stopIfTrue="1">
      <formula>$A1202="Inrvlv"</formula>
    </cfRule>
    <cfRule type="expression" dxfId="551" priority="7920" stopIfTrue="1">
      <formula>$A1202="Tmdpjun"</formula>
    </cfRule>
    <cfRule type="expression" dxfId="550" priority="7942" stopIfTrue="1">
      <formula>$A1202="Pump"</formula>
    </cfRule>
    <cfRule type="expression" dxfId="549" priority="7964" stopIfTrue="1">
      <formula>$A1202="Tmdpvol"</formula>
    </cfRule>
    <cfRule type="expression" dxfId="548" priority="7986" stopIfTrue="1">
      <formula>$A1202="Snglvol"</formula>
    </cfRule>
  </conditionalFormatting>
  <conditionalFormatting sqref="K1202:K1356">
    <cfRule type="expression" dxfId="547" priority="7767" stopIfTrue="1">
      <formula>$A1202="Pipe"</formula>
    </cfRule>
    <cfRule type="expression" dxfId="546" priority="7789" stopIfTrue="1">
      <formula>$A1202="Junction"</formula>
    </cfRule>
    <cfRule type="expression" dxfId="545" priority="7811" stopIfTrue="1">
      <formula>$A1202="Sngljun"</formula>
    </cfRule>
    <cfRule type="expression" dxfId="544" priority="7833" stopIfTrue="1">
      <formula>$A1202="Mtrvlv"</formula>
    </cfRule>
    <cfRule type="expression" dxfId="543" priority="7855" stopIfTrue="1">
      <formula>$A1202="Srvvlv"</formula>
    </cfRule>
    <cfRule type="expression" dxfId="542" priority="7877" stopIfTrue="1">
      <formula>$A1202="Chkvlv"</formula>
    </cfRule>
    <cfRule type="expression" dxfId="541" priority="7899" stopIfTrue="1">
      <formula>$A1202="Inrvlv"</formula>
    </cfRule>
    <cfRule type="expression" dxfId="540" priority="7921" stopIfTrue="1">
      <formula>$A1202="Tmdpjun"</formula>
    </cfRule>
    <cfRule type="expression" dxfId="539" priority="7943" stopIfTrue="1">
      <formula>$A1202="Pump"</formula>
    </cfRule>
    <cfRule type="expression" dxfId="538" priority="7965" stopIfTrue="1">
      <formula>$A1202="Tmdpvol"</formula>
    </cfRule>
    <cfRule type="expression" dxfId="537" priority="7987" stopIfTrue="1">
      <formula>$A1202="Snglvol"</formula>
    </cfRule>
  </conditionalFormatting>
  <conditionalFormatting sqref="L1202:L1356">
    <cfRule type="expression" dxfId="536" priority="7768" stopIfTrue="1">
      <formula>$A1202="Pipe"</formula>
    </cfRule>
    <cfRule type="expression" dxfId="535" priority="7790" stopIfTrue="1">
      <formula>$A1202="Junction"</formula>
    </cfRule>
    <cfRule type="expression" dxfId="534" priority="7812" stopIfTrue="1">
      <formula>$A1202="Sngljun"</formula>
    </cfRule>
    <cfRule type="expression" dxfId="533" priority="7834" stopIfTrue="1">
      <formula>$A1202="Mtrvlv"</formula>
    </cfRule>
    <cfRule type="expression" dxfId="532" priority="7856" stopIfTrue="1">
      <formula>$A1202="Srvvlv"</formula>
    </cfRule>
    <cfRule type="expression" dxfId="531" priority="7878" stopIfTrue="1">
      <formula>$A1202="Chkvlv"</formula>
    </cfRule>
    <cfRule type="expression" dxfId="530" priority="7900" stopIfTrue="1">
      <formula>$A1202="Inrvlv"</formula>
    </cfRule>
    <cfRule type="expression" dxfId="529" priority="7966" stopIfTrue="1">
      <formula>$A1202="Tmdpvol"</formula>
    </cfRule>
  </conditionalFormatting>
  <conditionalFormatting sqref="M1202:M1356">
    <cfRule type="expression" dxfId="528" priority="7769" stopIfTrue="1">
      <formula>$A1202="Pipe"</formula>
    </cfRule>
    <cfRule type="expression" dxfId="527" priority="7791" stopIfTrue="1">
      <formula>$A1202="Junction"</formula>
    </cfRule>
    <cfRule type="expression" dxfId="526" priority="7813" stopIfTrue="1">
      <formula>$A1202="Sngljun"</formula>
    </cfRule>
    <cfRule type="expression" dxfId="525" priority="7835" stopIfTrue="1">
      <formula>$A1202="Mtrvlv"</formula>
    </cfRule>
    <cfRule type="expression" dxfId="524" priority="7857" stopIfTrue="1">
      <formula>$A1202="Srvvlv"</formula>
    </cfRule>
    <cfRule type="expression" dxfId="523" priority="7879" stopIfTrue="1">
      <formula>$A1202="Chkvlv"</formula>
    </cfRule>
  </conditionalFormatting>
  <conditionalFormatting sqref="N1202:N1356">
    <cfRule type="expression" dxfId="522" priority="7770" stopIfTrue="1">
      <formula>$A1202="Pipe"</formula>
    </cfRule>
    <cfRule type="expression" dxfId="521" priority="7792" stopIfTrue="1">
      <formula>$A1202="Junction"</formula>
    </cfRule>
    <cfRule type="expression" dxfId="520" priority="7814" stopIfTrue="1">
      <formula>$A1202="Sngljun"</formula>
    </cfRule>
    <cfRule type="expression" dxfId="519" priority="7836" stopIfTrue="1">
      <formula>$A1202="Mtrvlv"</formula>
    </cfRule>
    <cfRule type="expression" dxfId="518" priority="7858" stopIfTrue="1">
      <formula>$A1202="Srvvlv"</formula>
    </cfRule>
  </conditionalFormatting>
  <conditionalFormatting sqref="O1202:O1356">
    <cfRule type="expression" dxfId="517" priority="7771" stopIfTrue="1">
      <formula>$A1202="Pipe"</formula>
    </cfRule>
    <cfRule type="expression" dxfId="516" priority="7793" stopIfTrue="1">
      <formula>$A1202="Junction"</formula>
    </cfRule>
    <cfRule type="expression" dxfId="515" priority="7815" stopIfTrue="1">
      <formula>$A1202="Sngljun"</formula>
    </cfRule>
    <cfRule type="expression" dxfId="514" priority="7837" stopIfTrue="1">
      <formula>$A1202="Mtrvlv"</formula>
    </cfRule>
  </conditionalFormatting>
  <conditionalFormatting sqref="P1202:P1356">
    <cfRule type="expression" dxfId="513" priority="7772" stopIfTrue="1">
      <formula>$A1202="Pipe"</formula>
    </cfRule>
    <cfRule type="expression" dxfId="512" priority="7794" stopIfTrue="1">
      <formula>$A1202="Junction"</formula>
    </cfRule>
    <cfRule type="expression" dxfId="511" priority="7816" stopIfTrue="1">
      <formula>$A1202="Sngljun"</formula>
    </cfRule>
  </conditionalFormatting>
  <conditionalFormatting sqref="Q1202:Q1356">
    <cfRule type="expression" dxfId="510" priority="7773" stopIfTrue="1">
      <formula>$A1202="Pipe"</formula>
    </cfRule>
    <cfRule type="expression" dxfId="509" priority="7795" stopIfTrue="1">
      <formula>$A1202="Junction"</formula>
    </cfRule>
  </conditionalFormatting>
  <conditionalFormatting sqref="R1202:R1356">
    <cfRule type="expression" dxfId="508" priority="7774" stopIfTrue="1">
      <formula>$A1202="Pipe"</formula>
    </cfRule>
  </conditionalFormatting>
  <conditionalFormatting sqref="S1202:S1356">
    <cfRule type="expression" dxfId="507" priority="7775" stopIfTrue="1">
      <formula>$A1202="Pipe"</formula>
    </cfRule>
  </conditionalFormatting>
  <conditionalFormatting sqref="T1202:T1356">
    <cfRule type="expression" dxfId="506" priority="7776" stopIfTrue="1">
      <formula>$A1202="Pipe"</formula>
    </cfRule>
  </conditionalFormatting>
  <conditionalFormatting sqref="U1202:U1356">
    <cfRule type="expression" dxfId="505" priority="7777" stopIfTrue="1">
      <formula>$A1202="Pipe"</formula>
    </cfRule>
  </conditionalFormatting>
  <conditionalFormatting sqref="V1202:V1356">
    <cfRule type="expression" dxfId="504" priority="7778" stopIfTrue="1">
      <formula>$A1202="Pipe"</formula>
    </cfRule>
  </conditionalFormatting>
  <conditionalFormatting sqref="R1202:R1356">
    <cfRule type="expression" dxfId="503" priority="7796" stopIfTrue="1">
      <formula>$A1202="Junction"</formula>
    </cfRule>
  </conditionalFormatting>
  <conditionalFormatting sqref="S1202:S1356">
    <cfRule type="expression" dxfId="502" priority="7797" stopIfTrue="1">
      <formula>$A1202="Junction"</formula>
    </cfRule>
  </conditionalFormatting>
  <conditionalFormatting sqref="T1202:T1356">
    <cfRule type="expression" dxfId="501" priority="7798" stopIfTrue="1">
      <formula>$A1202="Junction"</formula>
    </cfRule>
  </conditionalFormatting>
  <conditionalFormatting sqref="U1202:U1356">
    <cfRule type="expression" dxfId="500" priority="7799" stopIfTrue="1">
      <formula>$A1202="Junction"</formula>
    </cfRule>
  </conditionalFormatting>
  <conditionalFormatting sqref="V1202:V1356">
    <cfRule type="expression" dxfId="499" priority="7800" stopIfTrue="1">
      <formula>$A1202="Junction"</formula>
    </cfRule>
  </conditionalFormatting>
  <conditionalFormatting sqref="Q1202:Q1356">
    <cfRule type="expression" dxfId="498" priority="7817" stopIfTrue="1">
      <formula>$A1202="Sngljun"</formula>
    </cfRule>
  </conditionalFormatting>
  <conditionalFormatting sqref="R1202:R1356">
    <cfRule type="expression" dxfId="497" priority="7818" stopIfTrue="1">
      <formula>$A1202="Sngljun"</formula>
    </cfRule>
  </conditionalFormatting>
  <conditionalFormatting sqref="S1202:S1356">
    <cfRule type="expression" dxfId="496" priority="7819" stopIfTrue="1">
      <formula>$A1202="Sngljun"</formula>
    </cfRule>
  </conditionalFormatting>
  <conditionalFormatting sqref="T1202:T1356">
    <cfRule type="expression" dxfId="495" priority="7820" stopIfTrue="1">
      <formula>$A1202="Sngljun"</formula>
    </cfRule>
  </conditionalFormatting>
  <conditionalFormatting sqref="U1202:U1356">
    <cfRule type="expression" dxfId="494" priority="7821" stopIfTrue="1">
      <formula>$A1202="Sngljun"</formula>
    </cfRule>
  </conditionalFormatting>
  <conditionalFormatting sqref="V1202:V1356">
    <cfRule type="expression" dxfId="493" priority="7822" stopIfTrue="1">
      <formula>$A1202="Sngljun"</formula>
    </cfRule>
  </conditionalFormatting>
  <conditionalFormatting sqref="P1202:P1356">
    <cfRule type="expression" dxfId="492" priority="7838" stopIfTrue="1">
      <formula>$A1202="Mtrvlv"</formula>
    </cfRule>
  </conditionalFormatting>
  <conditionalFormatting sqref="Q1202:Q1356">
    <cfRule type="expression" dxfId="491" priority="7839" stopIfTrue="1">
      <formula>$A1202="Mtrvlv"</formula>
    </cfRule>
  </conditionalFormatting>
  <conditionalFormatting sqref="R1202:R1356">
    <cfRule type="expression" dxfId="490" priority="7840" stopIfTrue="1">
      <formula>$A1202="Mtrvlv"</formula>
    </cfRule>
  </conditionalFormatting>
  <conditionalFormatting sqref="S1202:S1356">
    <cfRule type="expression" dxfId="489" priority="7841" stopIfTrue="1">
      <formula>$A1202="Mtrvlv"</formula>
    </cfRule>
  </conditionalFormatting>
  <conditionalFormatting sqref="T1202:T1356">
    <cfRule type="expression" dxfId="488" priority="7842" stopIfTrue="1">
      <formula>$A1202="Mtrvlv"</formula>
    </cfRule>
  </conditionalFormatting>
  <conditionalFormatting sqref="U1202:U1356">
    <cfRule type="expression" dxfId="487" priority="7843" stopIfTrue="1">
      <formula>$A1202="Mtrvlv"</formula>
    </cfRule>
  </conditionalFormatting>
  <conditionalFormatting sqref="V1202:V1356">
    <cfRule type="expression" dxfId="486" priority="7844" stopIfTrue="1">
      <formula>$A1202="Mtrvlv"</formula>
    </cfRule>
  </conditionalFormatting>
  <conditionalFormatting sqref="O1202:O1356">
    <cfRule type="expression" dxfId="485" priority="7859" stopIfTrue="1">
      <formula>$A1202="Srvvlv"</formula>
    </cfRule>
  </conditionalFormatting>
  <conditionalFormatting sqref="P1202:P1356">
    <cfRule type="expression" dxfId="484" priority="7860" stopIfTrue="1">
      <formula>$A1202="Srvvlv"</formula>
    </cfRule>
  </conditionalFormatting>
  <conditionalFormatting sqref="Q1202:Q1356">
    <cfRule type="expression" dxfId="483" priority="7861" stopIfTrue="1">
      <formula>$A1202="Srvvlv"</formula>
    </cfRule>
  </conditionalFormatting>
  <conditionalFormatting sqref="R1202:R1356">
    <cfRule type="expression" dxfId="482" priority="7862" stopIfTrue="1">
      <formula>$A1202="Srvvlv"</formula>
    </cfRule>
  </conditionalFormatting>
  <conditionalFormatting sqref="S1202:S1356">
    <cfRule type="expression" dxfId="481" priority="7863" stopIfTrue="1">
      <formula>$A1202="Srvvlv"</formula>
    </cfRule>
  </conditionalFormatting>
  <conditionalFormatting sqref="T1202:T1356">
    <cfRule type="expression" dxfId="480" priority="7864" stopIfTrue="1">
      <formula>$A1202="Srvvlv"</formula>
    </cfRule>
  </conditionalFormatting>
  <conditionalFormatting sqref="U1202:U1356">
    <cfRule type="expression" dxfId="479" priority="7865" stopIfTrue="1">
      <formula>$A1202="Srvvlv"</formula>
    </cfRule>
  </conditionalFormatting>
  <conditionalFormatting sqref="V1202:V1356">
    <cfRule type="expression" dxfId="478" priority="7866" stopIfTrue="1">
      <formula>$A1202="Srvvlv"</formula>
    </cfRule>
  </conditionalFormatting>
  <conditionalFormatting sqref="N1202:N1356">
    <cfRule type="expression" dxfId="477" priority="7880" stopIfTrue="1">
      <formula>$A1202="Chkvlv"</formula>
    </cfRule>
  </conditionalFormatting>
  <conditionalFormatting sqref="O1202:O1356">
    <cfRule type="expression" dxfId="476" priority="7881" stopIfTrue="1">
      <formula>$A1202="Chkvlv"</formula>
    </cfRule>
  </conditionalFormatting>
  <conditionalFormatting sqref="P1202:P1356">
    <cfRule type="expression" dxfId="475" priority="7882" stopIfTrue="1">
      <formula>$A1202="Chkvlv"</formula>
    </cfRule>
  </conditionalFormatting>
  <conditionalFormatting sqref="Q1202:Q1356">
    <cfRule type="expression" dxfId="474" priority="7883" stopIfTrue="1">
      <formula>$A1202="Chkvlv"</formula>
    </cfRule>
  </conditionalFormatting>
  <conditionalFormatting sqref="R1202:R1356">
    <cfRule type="expression" dxfId="473" priority="7884" stopIfTrue="1">
      <formula>$A1202="Chkvlv"</formula>
    </cfRule>
  </conditionalFormatting>
  <conditionalFormatting sqref="S1202:S1356">
    <cfRule type="expression" dxfId="472" priority="7885" stopIfTrue="1">
      <formula>$A1202="Chkvlv"</formula>
    </cfRule>
  </conditionalFormatting>
  <conditionalFormatting sqref="T1202:T1356">
    <cfRule type="expression" dxfId="471" priority="7886" stopIfTrue="1">
      <formula>$A1202="Chkvlv"</formula>
    </cfRule>
  </conditionalFormatting>
  <conditionalFormatting sqref="U1202:U1356">
    <cfRule type="expression" dxfId="470" priority="7887" stopIfTrue="1">
      <formula>$A1202="Chkvlv"</formula>
    </cfRule>
  </conditionalFormatting>
  <conditionalFormatting sqref="V1202:V1356">
    <cfRule type="expression" dxfId="469" priority="7888" stopIfTrue="1">
      <formula>$A1202="Chkvlv"</formula>
    </cfRule>
  </conditionalFormatting>
  <conditionalFormatting sqref="M1202:M1356">
    <cfRule type="expression" dxfId="468" priority="7901" stopIfTrue="1">
      <formula>$A1202="Inrvlv"</formula>
    </cfRule>
    <cfRule type="expression" dxfId="467" priority="7967" stopIfTrue="1">
      <formula>$A1202="Tmdpvol"</formula>
    </cfRule>
    <cfRule type="expression" dxfId="466" priority="7989" stopIfTrue="1">
      <formula>$A1202="Snglvol"</formula>
    </cfRule>
  </conditionalFormatting>
  <conditionalFormatting sqref="N1202:N1356">
    <cfRule type="expression" dxfId="465" priority="7902" stopIfTrue="1">
      <formula>$A1202="Inrvlv"</formula>
    </cfRule>
  </conditionalFormatting>
  <conditionalFormatting sqref="O1202:O1356">
    <cfRule type="expression" dxfId="464" priority="7903" stopIfTrue="1">
      <formula>$A1202="Inrvlv"</formula>
    </cfRule>
  </conditionalFormatting>
  <conditionalFormatting sqref="P1202:P1356">
    <cfRule type="expression" dxfId="463" priority="7904" stopIfTrue="1">
      <formula>$A1202="Inrvlv"</formula>
    </cfRule>
  </conditionalFormatting>
  <conditionalFormatting sqref="Q1202:Q1356">
    <cfRule type="expression" dxfId="462" priority="7905" stopIfTrue="1">
      <formula>$A1202="Inrvlv"</formula>
    </cfRule>
  </conditionalFormatting>
  <conditionalFormatting sqref="R1202:R1356">
    <cfRule type="expression" dxfId="461" priority="7906" stopIfTrue="1">
      <formula>$A1202="Inrvlv"</formula>
    </cfRule>
  </conditionalFormatting>
  <conditionalFormatting sqref="S1202:S1356">
    <cfRule type="expression" dxfId="460" priority="7907" stopIfTrue="1">
      <formula>$A1202="Inrvlv"</formula>
    </cfRule>
  </conditionalFormatting>
  <conditionalFormatting sqref="T1202:T1356">
    <cfRule type="expression" dxfId="459" priority="7908" stopIfTrue="1">
      <formula>$A1202="Inrvlv"</formula>
    </cfRule>
  </conditionalFormatting>
  <conditionalFormatting sqref="U1202:U1356">
    <cfRule type="expression" dxfId="458" priority="7909" stopIfTrue="1">
      <formula>$A1202="Inrvlv"</formula>
    </cfRule>
  </conditionalFormatting>
  <conditionalFormatting sqref="V1202:V1356">
    <cfRule type="expression" dxfId="457" priority="7910" stopIfTrue="1">
      <formula>$A1202="Inrvlv"</formula>
    </cfRule>
  </conditionalFormatting>
  <conditionalFormatting sqref="L1202:L1356">
    <cfRule type="expression" dxfId="456" priority="7922" stopIfTrue="1">
      <formula>$A1202="Tmdpjun"</formula>
    </cfRule>
    <cfRule type="expression" dxfId="455" priority="7988" stopIfTrue="1">
      <formula>$A1202="Snglvol"</formula>
    </cfRule>
  </conditionalFormatting>
  <conditionalFormatting sqref="M1202:M1356">
    <cfRule type="expression" dxfId="454" priority="7923" stopIfTrue="1">
      <formula>$A1202="Tmdpjun"</formula>
    </cfRule>
  </conditionalFormatting>
  <conditionalFormatting sqref="N1202:N1356">
    <cfRule type="expression" dxfId="453" priority="7924" stopIfTrue="1">
      <formula>$A1202="Tmdpjun"</formula>
    </cfRule>
  </conditionalFormatting>
  <conditionalFormatting sqref="O1202:O1356">
    <cfRule type="expression" dxfId="452" priority="7925" stopIfTrue="1">
      <formula>$A1202="Tmdpjun"</formula>
    </cfRule>
  </conditionalFormatting>
  <conditionalFormatting sqref="P1202:P1356">
    <cfRule type="expression" dxfId="451" priority="7926" stopIfTrue="1">
      <formula>$A1202="Tmdpjun"</formula>
    </cfRule>
  </conditionalFormatting>
  <conditionalFormatting sqref="Q1202:Q1356">
    <cfRule type="expression" dxfId="450" priority="7927" stopIfTrue="1">
      <formula>$A1202="Tmdpjun"</formula>
    </cfRule>
  </conditionalFormatting>
  <conditionalFormatting sqref="R1202:R1356">
    <cfRule type="expression" dxfId="449" priority="7928" stopIfTrue="1">
      <formula>$A1202="Tmdpjun"</formula>
    </cfRule>
  </conditionalFormatting>
  <conditionalFormatting sqref="S1202:S1356">
    <cfRule type="expression" dxfId="448" priority="7929" stopIfTrue="1">
      <formula>$A1202="Tmdpjun"</formula>
    </cfRule>
  </conditionalFormatting>
  <conditionalFormatting sqref="T1202:T1356">
    <cfRule type="expression" dxfId="447" priority="7930" stopIfTrue="1">
      <formula>$A1202="Tmdpjun"</formula>
    </cfRule>
  </conditionalFormatting>
  <conditionalFormatting sqref="U1202:U1356">
    <cfRule type="expression" dxfId="446" priority="7931" stopIfTrue="1">
      <formula>$A1202="Tmdpjun"</formula>
    </cfRule>
  </conditionalFormatting>
  <conditionalFormatting sqref="V1202:V1356">
    <cfRule type="expression" dxfId="445" priority="7932" stopIfTrue="1">
      <formula>$A1202="Tmdpjun"</formula>
    </cfRule>
  </conditionalFormatting>
  <conditionalFormatting sqref="L1202:L1356">
    <cfRule type="expression" dxfId="444" priority="7944" stopIfTrue="1">
      <formula>$A1202="Pump"</formula>
    </cfRule>
  </conditionalFormatting>
  <conditionalFormatting sqref="M1202:M1356">
    <cfRule type="expression" dxfId="443" priority="7945" stopIfTrue="1">
      <formula>$A1202="Pump"</formula>
    </cfRule>
  </conditionalFormatting>
  <conditionalFormatting sqref="N1202:N1356">
    <cfRule type="expression" dxfId="442" priority="7946" stopIfTrue="1">
      <formula>$A1202="Pump"</formula>
    </cfRule>
  </conditionalFormatting>
  <conditionalFormatting sqref="O1202:O1356">
    <cfRule type="expression" dxfId="441" priority="7947" stopIfTrue="1">
      <formula>$A1202="Pump"</formula>
    </cfRule>
  </conditionalFormatting>
  <conditionalFormatting sqref="P1202:P1356">
    <cfRule type="expression" dxfId="440" priority="7948" stopIfTrue="1">
      <formula>$A1202="Pump"</formula>
    </cfRule>
  </conditionalFormatting>
  <conditionalFormatting sqref="Q1202:Q1356">
    <cfRule type="expression" dxfId="439" priority="7949" stopIfTrue="1">
      <formula>$A1202="Pump"</formula>
    </cfRule>
  </conditionalFormatting>
  <conditionalFormatting sqref="R1202:R1356">
    <cfRule type="expression" dxfId="438" priority="7950" stopIfTrue="1">
      <formula>$A1202="Pump"</formula>
    </cfRule>
  </conditionalFormatting>
  <conditionalFormatting sqref="S1202:S1356">
    <cfRule type="expression" dxfId="437" priority="7951" stopIfTrue="1">
      <formula>$A1202="Pump"</formula>
    </cfRule>
  </conditionalFormatting>
  <conditionalFormatting sqref="T1202:T1356">
    <cfRule type="expression" dxfId="436" priority="7952" stopIfTrue="1">
      <formula>$A1202="Pump"</formula>
    </cfRule>
  </conditionalFormatting>
  <conditionalFormatting sqref="U1202:U1356">
    <cfRule type="expression" dxfId="435" priority="7953" stopIfTrue="1">
      <formula>$A1202="Pump"</formula>
    </cfRule>
  </conditionalFormatting>
  <conditionalFormatting sqref="V1202:V1356">
    <cfRule type="expression" dxfId="434" priority="7954" stopIfTrue="1">
      <formula>$A1202="Pump"</formula>
    </cfRule>
  </conditionalFormatting>
  <conditionalFormatting sqref="N1202:N1356">
    <cfRule type="expression" dxfId="433" priority="7968" stopIfTrue="1">
      <formula>$A1202="Tmdpvol"</formula>
    </cfRule>
  </conditionalFormatting>
  <conditionalFormatting sqref="O1202:O1356">
    <cfRule type="expression" dxfId="432" priority="7969" stopIfTrue="1">
      <formula>$A1202="Tmdpvol"</formula>
    </cfRule>
  </conditionalFormatting>
  <conditionalFormatting sqref="P1202:P1356">
    <cfRule type="expression" dxfId="431" priority="7970" stopIfTrue="1">
      <formula>$A1202="Tmdpvol"</formula>
    </cfRule>
  </conditionalFormatting>
  <conditionalFormatting sqref="Q1202:Q1356">
    <cfRule type="expression" dxfId="430" priority="7971" stopIfTrue="1">
      <formula>$A1202="Tmdpvol"</formula>
    </cfRule>
  </conditionalFormatting>
  <conditionalFormatting sqref="R1202:R1356">
    <cfRule type="expression" dxfId="429" priority="7972" stopIfTrue="1">
      <formula>$A1202="Tmdpvol"</formula>
    </cfRule>
  </conditionalFormatting>
  <conditionalFormatting sqref="S1202:S1356">
    <cfRule type="expression" dxfId="428" priority="7973" stopIfTrue="1">
      <formula>$A1202="Tmdpvol"</formula>
    </cfRule>
  </conditionalFormatting>
  <conditionalFormatting sqref="T1202:T1356">
    <cfRule type="expression" dxfId="427" priority="7974" stopIfTrue="1">
      <formula>$A1202="Tmdpvol"</formula>
    </cfRule>
  </conditionalFormatting>
  <conditionalFormatting sqref="U1202:U1356">
    <cfRule type="expression" dxfId="426" priority="7975" stopIfTrue="1">
      <formula>$A1202="Tmdpvol"</formula>
    </cfRule>
  </conditionalFormatting>
  <conditionalFormatting sqref="V1202:V1356">
    <cfRule type="expression" dxfId="425" priority="7976" stopIfTrue="1">
      <formula>$A1202="Tmdpvol"</formula>
    </cfRule>
  </conditionalFormatting>
  <conditionalFormatting sqref="N1202:N1356">
    <cfRule type="expression" dxfId="424" priority="7990" stopIfTrue="1">
      <formula>$A1202="Snglvol"</formula>
    </cfRule>
  </conditionalFormatting>
  <conditionalFormatting sqref="O1202:O1356">
    <cfRule type="expression" dxfId="423" priority="7991" stopIfTrue="1">
      <formula>$A1202="Snglvol"</formula>
    </cfRule>
  </conditionalFormatting>
  <conditionalFormatting sqref="P1202:P1356">
    <cfRule type="expression" dxfId="422" priority="7992" stopIfTrue="1">
      <formula>$A1202="Snglvol"</formula>
    </cfRule>
  </conditionalFormatting>
  <conditionalFormatting sqref="Q1202:Q1356">
    <cfRule type="expression" dxfId="421" priority="7993" stopIfTrue="1">
      <formula>$A1202="Snglvol"</formula>
    </cfRule>
  </conditionalFormatting>
  <conditionalFormatting sqref="R1202:R1356">
    <cfRule type="expression" dxfId="420" priority="7994" stopIfTrue="1">
      <formula>$A1202="Snglvol"</formula>
    </cfRule>
  </conditionalFormatting>
  <conditionalFormatting sqref="S1202:S1356">
    <cfRule type="expression" dxfId="419" priority="7995" stopIfTrue="1">
      <formula>$A1202="Snglvol"</formula>
    </cfRule>
  </conditionalFormatting>
  <conditionalFormatting sqref="T1202:T1356">
    <cfRule type="expression" dxfId="418" priority="7996" stopIfTrue="1">
      <formula>$A1202="Snglvol"</formula>
    </cfRule>
  </conditionalFormatting>
  <conditionalFormatting sqref="U1202:U1356">
    <cfRule type="expression" dxfId="417" priority="7997" stopIfTrue="1">
      <formula>$A1202="Snglvol"</formula>
    </cfRule>
  </conditionalFormatting>
  <conditionalFormatting sqref="V1202:V1356">
    <cfRule type="expression" dxfId="416" priority="7998" stopIfTrue="1">
      <formula>$A1202="Snglvol"</formula>
    </cfRule>
  </conditionalFormatting>
  <conditionalFormatting sqref="E572:E1201">
    <cfRule type="expression" dxfId="415" priority="8022" stopIfTrue="1">
      <formula>$A572="Pipe"</formula>
    </cfRule>
  </conditionalFormatting>
  <conditionalFormatting sqref="R572:T1201 M572:P1201">
    <cfRule type="expression" dxfId="414" priority="8030" stopIfTrue="1">
      <formula>$A572="Pipe"</formula>
    </cfRule>
  </conditionalFormatting>
  <conditionalFormatting sqref="C572:C1201">
    <cfRule type="expression" dxfId="413" priority="8042" stopIfTrue="1">
      <formula>$A572="Junction"</formula>
    </cfRule>
    <cfRule type="expression" dxfId="412" priority="8240" stopIfTrue="1">
      <formula>$A572="Snglvol"</formula>
    </cfRule>
    <cfRule type="expression" dxfId="411" priority="8267" stopIfTrue="1">
      <formula>$A572="InitGas"</formula>
    </cfRule>
    <cfRule type="expression" dxfId="410" priority="8281" stopIfTrue="1">
      <formula>$A572="Tripvar"</formula>
    </cfRule>
  </conditionalFormatting>
  <conditionalFormatting sqref="D572:D1201 F572:G1201 L572:L1201 Q572:T1201">
    <cfRule type="expression" dxfId="409" priority="8043" stopIfTrue="1">
      <formula>$A572="Junction"</formula>
    </cfRule>
  </conditionalFormatting>
  <conditionalFormatting sqref="E572:E1201">
    <cfRule type="expression" dxfId="408" priority="8044" stopIfTrue="1">
      <formula>$A572="Junction"</formula>
    </cfRule>
  </conditionalFormatting>
  <conditionalFormatting sqref="C572:D1201 F572:G1201 L572:L1201 Q572:T1201">
    <cfRule type="expression" dxfId="407" priority="8064" stopIfTrue="1">
      <formula>$A572="Sngljun"</formula>
    </cfRule>
  </conditionalFormatting>
  <conditionalFormatting sqref="E572:E1201">
    <cfRule type="expression" dxfId="406" priority="8066" stopIfTrue="1">
      <formula>$A572="Sngljun"</formula>
    </cfRule>
  </conditionalFormatting>
  <conditionalFormatting sqref="C572:D1201 F572:G1201 L572:L1201 Q572:S1201">
    <cfRule type="expression" dxfId="405" priority="8086" stopIfTrue="1">
      <formula>$A572="Mtrvlv"</formula>
    </cfRule>
  </conditionalFormatting>
  <conditionalFormatting sqref="E572:E1201">
    <cfRule type="expression" dxfId="404" priority="8088" stopIfTrue="1">
      <formula>$A572="Mtrvlv"</formula>
    </cfRule>
  </conditionalFormatting>
  <conditionalFormatting sqref="A572:A1201">
    <cfRule type="expression" dxfId="403" priority="8106" stopIfTrue="1">
      <formula>$A572="Srvvlv"</formula>
    </cfRule>
    <cfRule type="expression" dxfId="402" priority="8172" stopIfTrue="1">
      <formula>$A572="Tmdpjun"</formula>
    </cfRule>
  </conditionalFormatting>
  <conditionalFormatting sqref="C572:D1201 F572:G1201 L572:L1201 Q572:Q1201 S572:S1201">
    <cfRule type="expression" dxfId="401" priority="8108" stopIfTrue="1">
      <formula>$A572="Srvvlv"</formula>
    </cfRule>
  </conditionalFormatting>
  <conditionalFormatting sqref="E572:E1201">
    <cfRule type="expression" dxfId="400" priority="8110" stopIfTrue="1">
      <formula>$A572="Srvvlv"</formula>
    </cfRule>
  </conditionalFormatting>
  <conditionalFormatting sqref="R572:R1201">
    <cfRule type="expression" dxfId="399" priority="8123" stopIfTrue="1">
      <formula>$A572="Srvvlv"</formula>
    </cfRule>
    <cfRule type="expression" dxfId="398" priority="8189" stopIfTrue="1">
      <formula>$A572="Tmdpjun"</formula>
    </cfRule>
    <cfRule type="expression" dxfId="397" priority="8211" stopIfTrue="1">
      <formula>$A572="Pump"</formula>
    </cfRule>
    <cfRule type="expression" dxfId="396" priority="8233" stopIfTrue="1">
      <formula>$A572="Tmdpvol"</formula>
    </cfRule>
    <cfRule type="expression" dxfId="395" priority="8255" stopIfTrue="1">
      <formula>$A572="Snglvol"</formula>
    </cfRule>
  </conditionalFormatting>
  <conditionalFormatting sqref="B572:B1201">
    <cfRule type="expression" dxfId="394" priority="8129" stopIfTrue="1">
      <formula>$A572="Chkvlv"</formula>
    </cfRule>
    <cfRule type="expression" dxfId="393" priority="8261" stopIfTrue="1">
      <formula>$A572="Relapnr"</formula>
    </cfRule>
    <cfRule type="expression" dxfId="392" priority="8266" stopIfTrue="1">
      <formula>$A572="InitGas"</formula>
    </cfRule>
    <cfRule type="expression" dxfId="391" priority="8274" stopIfTrue="1">
      <formula>$A572="Replacements"</formula>
    </cfRule>
    <cfRule type="expression" dxfId="390" priority="8278" stopIfTrue="1">
      <formula>$A572="Custom"</formula>
    </cfRule>
    <cfRule type="expression" dxfId="389" priority="8289" stopIfTrue="1">
      <formula>$A572="Triplog"</formula>
    </cfRule>
  </conditionalFormatting>
  <conditionalFormatting sqref="F572:G1201 L572:L1201 Q572:S1201 C572:C1201">
    <cfRule type="expression" dxfId="388" priority="8130" stopIfTrue="1">
      <formula>$A572="Chkvlv"</formula>
    </cfRule>
  </conditionalFormatting>
  <conditionalFormatting sqref="D572:D1201">
    <cfRule type="expression" dxfId="387" priority="8131" stopIfTrue="1">
      <formula>$A572="Chkvlv"</formula>
    </cfRule>
    <cfRule type="expression" dxfId="386" priority="8291" stopIfTrue="1">
      <formula>$A572="Triplog"</formula>
    </cfRule>
  </conditionalFormatting>
  <conditionalFormatting sqref="E572:E1201">
    <cfRule type="expression" dxfId="385" priority="8132" stopIfTrue="1">
      <formula>$A572="Chkvlv"</formula>
    </cfRule>
  </conditionalFormatting>
  <conditionalFormatting sqref="K572:K1201 U572:U1201">
    <cfRule type="expression" dxfId="384" priority="8138" stopIfTrue="1">
      <formula>$A572="Chkvlv"</formula>
    </cfRule>
    <cfRule type="expression" dxfId="383" priority="8248" stopIfTrue="1">
      <formula>$A572="Snglvol"</formula>
    </cfRule>
  </conditionalFormatting>
  <conditionalFormatting sqref="M572:M1201">
    <cfRule type="expression" dxfId="382" priority="8140" stopIfTrue="1">
      <formula>$A572="Chkvlv"</formula>
    </cfRule>
    <cfRule type="expression" dxfId="381" priority="8250" stopIfTrue="1">
      <formula>$A572="Snglvol"</formula>
    </cfRule>
  </conditionalFormatting>
  <conditionalFormatting sqref="C572:C1201">
    <cfRule type="expression" dxfId="380" priority="8152" stopIfTrue="1">
      <formula>$A572="Inrvlv"</formula>
    </cfRule>
    <cfRule type="expression" dxfId="379" priority="8264" stopIfTrue="1">
      <formula>$A572="Init"</formula>
    </cfRule>
    <cfRule type="expression" dxfId="378" priority="8270" stopIfTrue="1">
      <formula>$A572="Timestep"</formula>
    </cfRule>
    <cfRule type="expression" dxfId="377" priority="8290" stopIfTrue="1">
      <formula>$A572="Triplog"</formula>
    </cfRule>
  </conditionalFormatting>
  <conditionalFormatting sqref="D572:D1201 F572:G1201 L572:L1201 Q572:R1201">
    <cfRule type="expression" dxfId="376" priority="8153" stopIfTrue="1">
      <formula>$A572="Inrvlv"</formula>
    </cfRule>
  </conditionalFormatting>
  <conditionalFormatting sqref="E572:E1201">
    <cfRule type="expression" dxfId="375" priority="8154" stopIfTrue="1">
      <formula>$A572="Inrvlv"</formula>
    </cfRule>
  </conditionalFormatting>
  <conditionalFormatting sqref="S572:S1201">
    <cfRule type="expression" dxfId="374" priority="8168" stopIfTrue="1">
      <formula>$A572="Inrvlv"</formula>
    </cfRule>
    <cfRule type="expression" dxfId="373" priority="8190" stopIfTrue="1">
      <formula>$A572="Tmdpjun"</formula>
    </cfRule>
    <cfRule type="expression" dxfId="372" priority="8212" stopIfTrue="1">
      <formula>$A572="Pump"</formula>
    </cfRule>
    <cfRule type="expression" dxfId="371" priority="8234" stopIfTrue="1">
      <formula>$A572="Tmdpvol"</formula>
    </cfRule>
    <cfRule type="expression" dxfId="370" priority="8256" stopIfTrue="1">
      <formula>$A572="Snglvol"</formula>
    </cfRule>
  </conditionalFormatting>
  <conditionalFormatting sqref="C572:D1201 F572:G1201 L572:L1201 Q572:Q1201">
    <cfRule type="expression" dxfId="369" priority="8174" stopIfTrue="1">
      <formula>$A572="Tmdpjun"</formula>
    </cfRule>
  </conditionalFormatting>
  <conditionalFormatting sqref="E572:E1201">
    <cfRule type="expression" dxfId="368" priority="8176" stopIfTrue="1">
      <formula>$A572="Tmdpjun"</formula>
    </cfRule>
  </conditionalFormatting>
  <conditionalFormatting sqref="D572:D1201 L572:L1201 Q572:Q1201">
    <cfRule type="expression" dxfId="367" priority="8197" stopIfTrue="1">
      <formula>$A572="Pump"</formula>
    </cfRule>
  </conditionalFormatting>
  <conditionalFormatting sqref="E572:E1201">
    <cfRule type="expression" dxfId="366" priority="8198" stopIfTrue="1">
      <formula>$A572="Pump"</formula>
    </cfRule>
  </conditionalFormatting>
  <conditionalFormatting sqref="D572:D1201 H572:I1201 T572:T1201 L572:P1201">
    <cfRule type="expression" dxfId="365" priority="8219" stopIfTrue="1">
      <formula>$A572="Tmdpvol"</formula>
    </cfRule>
  </conditionalFormatting>
  <conditionalFormatting sqref="E572:E1201">
    <cfRule type="expression" dxfId="364" priority="8220" stopIfTrue="1">
      <formula>$A572="Tmdpvol"</formula>
    </cfRule>
  </conditionalFormatting>
  <conditionalFormatting sqref="B572:B1201">
    <cfRule type="expression" dxfId="363" priority="8239" stopIfTrue="1">
      <formula>$A572="Snglvol"</formula>
    </cfRule>
    <cfRule type="expression" dxfId="362" priority="8263" stopIfTrue="1">
      <formula>$A572="Init"</formula>
    </cfRule>
    <cfRule type="expression" dxfId="361" priority="8269" stopIfTrue="1">
      <formula>$A572="Timestep"</formula>
    </cfRule>
    <cfRule type="expression" dxfId="360" priority="8276" stopIfTrue="1">
      <formula>$A572="Triggerwords"</formula>
    </cfRule>
    <cfRule type="expression" dxfId="359" priority="8280" stopIfTrue="1">
      <formula>$A572="Tripvar"</formula>
    </cfRule>
  </conditionalFormatting>
  <conditionalFormatting sqref="D572:D1201 H572:I1201 L572:L1201 N572:Q1201 T572:T1201">
    <cfRule type="expression" dxfId="358" priority="8241" stopIfTrue="1">
      <formula>$A572="Snglvol"</formula>
    </cfRule>
  </conditionalFormatting>
  <conditionalFormatting sqref="E572:E1201">
    <cfRule type="expression" dxfId="357" priority="8242" stopIfTrue="1">
      <formula>$A572="Snglvol"</formula>
    </cfRule>
  </conditionalFormatting>
  <conditionalFormatting sqref="A572:A1201">
    <cfRule type="expression" dxfId="356" priority="8260" stopIfTrue="1">
      <formula>$A572="Relapnr"</formula>
    </cfRule>
  </conditionalFormatting>
  <conditionalFormatting sqref="A572:A1201">
    <cfRule type="expression" dxfId="355" priority="8262" stopIfTrue="1">
      <formula>$A572="Init"</formula>
    </cfRule>
  </conditionalFormatting>
  <conditionalFormatting sqref="A572:A1201">
    <cfRule type="expression" dxfId="354" priority="8265" stopIfTrue="1">
      <formula>$A572="InitGas"</formula>
    </cfRule>
  </conditionalFormatting>
  <conditionalFormatting sqref="D572:D1201 A572:A1201">
    <cfRule type="expression" dxfId="353" priority="8268" stopIfTrue="1">
      <formula>$A572="Timestep"</formula>
    </cfRule>
  </conditionalFormatting>
  <conditionalFormatting sqref="E572:E1201">
    <cfRule type="expression" dxfId="352" priority="8272" stopIfTrue="1">
      <formula>$A572="Timestep"</formula>
    </cfRule>
  </conditionalFormatting>
  <conditionalFormatting sqref="A572:A1201">
    <cfRule type="expression" dxfId="351" priority="8273" stopIfTrue="1">
      <formula>$A572="Replacements"</formula>
    </cfRule>
  </conditionalFormatting>
  <conditionalFormatting sqref="A572:A1201">
    <cfRule type="expression" dxfId="350" priority="8275" stopIfTrue="1">
      <formula>$A572="Triggerwords"</formula>
    </cfRule>
  </conditionalFormatting>
  <conditionalFormatting sqref="A572:A1201">
    <cfRule type="expression" dxfId="349" priority="8277" stopIfTrue="1">
      <formula>$A572="Custom"</formula>
    </cfRule>
  </conditionalFormatting>
  <conditionalFormatting sqref="D572:D1201 F572:I1201 A572:A1201">
    <cfRule type="expression" dxfId="348" priority="8279" stopIfTrue="1">
      <formula>$A572="Tripvar"</formula>
    </cfRule>
  </conditionalFormatting>
  <conditionalFormatting sqref="E572:E1201">
    <cfRule type="expression" dxfId="347" priority="8283" stopIfTrue="1">
      <formula>$A572="Tripvar"</formula>
    </cfRule>
  </conditionalFormatting>
  <conditionalFormatting sqref="F572:F1201 A572:A1201">
    <cfRule type="expression" dxfId="346" priority="8288" stopIfTrue="1">
      <formula>$A572="Triplog"</formula>
    </cfRule>
  </conditionalFormatting>
  <conditionalFormatting sqref="E572:E1201">
    <cfRule type="expression" dxfId="345" priority="8292" stopIfTrue="1">
      <formula>$A572="Triplog"</formula>
    </cfRule>
  </conditionalFormatting>
  <conditionalFormatting sqref="A1:L47">
    <cfRule type="expression" dxfId="262" priority="230">
      <formula>$A1="Pipe"</formula>
    </cfRule>
  </conditionalFormatting>
  <conditionalFormatting sqref="Q1:Q47">
    <cfRule type="expression" dxfId="261" priority="229">
      <formula>$A1="Pipe"</formula>
    </cfRule>
  </conditionalFormatting>
  <conditionalFormatting sqref="U1:V47">
    <cfRule type="expression" dxfId="260" priority="228">
      <formula>$A1="Pipe"</formula>
    </cfRule>
  </conditionalFormatting>
  <conditionalFormatting sqref="M1:P47">
    <cfRule type="expression" dxfId="259" priority="227">
      <formula>$A1="Pipe"</formula>
    </cfRule>
  </conditionalFormatting>
  <conditionalFormatting sqref="R1:T47">
    <cfRule type="expression" dxfId="258" priority="226">
      <formula>$A1="Pipe"</formula>
    </cfRule>
  </conditionalFormatting>
  <conditionalFormatting sqref="A1:C47">
    <cfRule type="expression" dxfId="257" priority="225">
      <formula>$A1="Tmdpvol"</formula>
    </cfRule>
  </conditionalFormatting>
  <conditionalFormatting sqref="E1:G47">
    <cfRule type="expression" dxfId="256" priority="224">
      <formula>$A1="Tmdpvol"</formula>
    </cfRule>
  </conditionalFormatting>
  <conditionalFormatting sqref="J1:K47">
    <cfRule type="expression" dxfId="255" priority="223">
      <formula>$A1="Tmdpvol"</formula>
    </cfRule>
  </conditionalFormatting>
  <conditionalFormatting sqref="Q1:R47">
    <cfRule type="expression" dxfId="254" priority="222">
      <formula>$A1="Tmdpvol"</formula>
    </cfRule>
  </conditionalFormatting>
  <conditionalFormatting sqref="U1:V47">
    <cfRule type="expression" dxfId="253" priority="221">
      <formula>$A1="Tmdpvol"</formula>
    </cfRule>
  </conditionalFormatting>
  <conditionalFormatting sqref="D1:D47">
    <cfRule type="expression" dxfId="252" priority="220">
      <formula>$A1="Tmdpvol"</formula>
    </cfRule>
  </conditionalFormatting>
  <conditionalFormatting sqref="H1:I47">
    <cfRule type="expression" dxfId="251" priority="219">
      <formula>$A1="Tmdpvol"</formula>
    </cfRule>
  </conditionalFormatting>
  <conditionalFormatting sqref="L1:P47">
    <cfRule type="expression" dxfId="250" priority="218">
      <formula>$A1="Tmdpvol"</formula>
    </cfRule>
  </conditionalFormatting>
  <conditionalFormatting sqref="S1:T47">
    <cfRule type="expression" dxfId="249" priority="217">
      <formula>$A1="Tmdpvol"</formula>
    </cfRule>
  </conditionalFormatting>
  <conditionalFormatting sqref="A1:C47">
    <cfRule type="expression" dxfId="248" priority="216">
      <formula>$A1="Snglvol"</formula>
    </cfRule>
  </conditionalFormatting>
  <conditionalFormatting sqref="E1:G47">
    <cfRule type="expression" dxfId="247" priority="215">
      <formula>$A1="Snglvol"</formula>
    </cfRule>
  </conditionalFormatting>
  <conditionalFormatting sqref="J1:K47">
    <cfRule type="expression" dxfId="246" priority="214">
      <formula>$A1="Snglvol"</formula>
    </cfRule>
  </conditionalFormatting>
  <conditionalFormatting sqref="Q1:R47">
    <cfRule type="expression" dxfId="245" priority="213">
      <formula>$A1="Snglvol"</formula>
    </cfRule>
  </conditionalFormatting>
  <conditionalFormatting sqref="U1:V47">
    <cfRule type="expression" dxfId="244" priority="212">
      <formula>$A1="Snglvol"</formula>
    </cfRule>
  </conditionalFormatting>
  <conditionalFormatting sqref="D1:D47">
    <cfRule type="expression" dxfId="243" priority="211">
      <formula>$A1="Snglvol"</formula>
    </cfRule>
  </conditionalFormatting>
  <conditionalFormatting sqref="H1:I47">
    <cfRule type="expression" dxfId="242" priority="210">
      <formula>$A1="Snglvol"</formula>
    </cfRule>
  </conditionalFormatting>
  <conditionalFormatting sqref="L1:T47">
    <cfRule type="expression" dxfId="241" priority="209">
      <formula>$A1="Snglvol"</formula>
    </cfRule>
  </conditionalFormatting>
  <conditionalFormatting sqref="A1:B47">
    <cfRule type="expression" dxfId="240" priority="208">
      <formula>OR($A1="Sngljun",$A1="Junction")</formula>
    </cfRule>
  </conditionalFormatting>
  <conditionalFormatting sqref="E1:E47">
    <cfRule type="expression" dxfId="239" priority="207">
      <formula>OR($A1="Sngljun",$A1="Junction")</formula>
    </cfRule>
  </conditionalFormatting>
  <conditionalFormatting sqref="H1:K47">
    <cfRule type="expression" dxfId="238" priority="206">
      <formula>OR($A1="Sngljun",$A1="Junction")</formula>
    </cfRule>
  </conditionalFormatting>
  <conditionalFormatting sqref="M1:P47">
    <cfRule type="expression" dxfId="237" priority="205">
      <formula>OR($A1="Sngljun",$A1="Junction")</formula>
    </cfRule>
  </conditionalFormatting>
  <conditionalFormatting sqref="U1:V47">
    <cfRule type="expression" dxfId="236" priority="204">
      <formula>OR($A1="Sngljun",$A1="Junction")</formula>
    </cfRule>
  </conditionalFormatting>
  <conditionalFormatting sqref="C1:D47">
    <cfRule type="expression" dxfId="235" priority="203">
      <formula>OR($A1="Sngljun",$A1="Junction")</formula>
    </cfRule>
  </conditionalFormatting>
  <conditionalFormatting sqref="F1:G47">
    <cfRule type="expression" dxfId="234" priority="202">
      <formula>OR($A1="Sngljun",$A1="Junction")</formula>
    </cfRule>
  </conditionalFormatting>
  <conditionalFormatting sqref="L1:L47">
    <cfRule type="expression" dxfId="233" priority="201">
      <formula>OR($A1="Sngljun",$A1="Junction")</formula>
    </cfRule>
  </conditionalFormatting>
  <conditionalFormatting sqref="Q1:T47">
    <cfRule type="expression" dxfId="232" priority="200">
      <formula>OR($A1="Sngljun",$A1="Junction")</formula>
    </cfRule>
  </conditionalFormatting>
  <conditionalFormatting sqref="A1:B47">
    <cfRule type="expression" dxfId="231" priority="199">
      <formula>OR($A1="Mtrvlv",$A1="Srvvlv",$A1="Trpvlv",$A1="Chkvlv",$A1="Inrvlv",$A1="Tmdpjun")</formula>
    </cfRule>
  </conditionalFormatting>
  <conditionalFormatting sqref="E1:E47">
    <cfRule type="expression" dxfId="230" priority="198">
      <formula>OR($A1="Mtrvlv",$A1="Srvvlv",$A1="Trpvlv",$A1="Chkvlv",$A1="Inrvlv",$A1="Tmdpjun")</formula>
    </cfRule>
  </conditionalFormatting>
  <conditionalFormatting sqref="H1:K47">
    <cfRule type="expression" dxfId="229" priority="197">
      <formula>OR($A1="Mtrvlv",$A1="Srvvlv",$A1="Trpvlv",$A1="Chkvlv",$A1="Inrvlv",$A1="Tmdpjun")</formula>
    </cfRule>
  </conditionalFormatting>
  <conditionalFormatting sqref="M1:P47">
    <cfRule type="expression" dxfId="228" priority="196">
      <formula>OR($A1="Mtrvlv",$A1="Srvvlv",$A1="Trpvlv",$A1="Chkvlv",$A1="Inrvlv",$A1="Tmdpjun")</formula>
    </cfRule>
  </conditionalFormatting>
  <conditionalFormatting sqref="T1:V47">
    <cfRule type="expression" dxfId="227" priority="195">
      <formula>OR($A1="Mtrvlv",$A1="Srvvlv",$A1="Trpvlv",$A1="Chkvlv",$A1="Inrvlv",$A1="Tmdpjun")</formula>
    </cfRule>
  </conditionalFormatting>
  <conditionalFormatting sqref="C1:D47">
    <cfRule type="expression" dxfId="226" priority="194">
      <formula>OR($A1="Mtrvlv",$A1="Srvvlv",$A1="Trpvlv",$A1="Chkvlv",$A1="Inrvlv",$A1="Tmdpjun")</formula>
    </cfRule>
  </conditionalFormatting>
  <conditionalFormatting sqref="F1:G47">
    <cfRule type="expression" dxfId="225" priority="193">
      <formula>OR($A1="Mtrvlv",$A1="Srvvlv",$A1="Trpvlv",$A1="Chkvlv",$A1="Inrvlv",$A1="Tmdpjun")</formula>
    </cfRule>
  </conditionalFormatting>
  <conditionalFormatting sqref="L1:L47">
    <cfRule type="expression" dxfId="224" priority="192">
      <formula>OR($A1="Mtrvlv",$A1="Srvvlv",$A1="Trpvlv",$A1="Chkvlv",$A1="Inrvlv",$A1="Tmdpjun")</formula>
    </cfRule>
  </conditionalFormatting>
  <conditionalFormatting sqref="Q1:S47">
    <cfRule type="expression" dxfId="223" priority="191">
      <formula>OR($A1="Mtrvlv",$A1="Srvvlv",$A1="Trpvlv",$A1="Chkvlv",$A1="Inrvlv",$A1="Tmdpjun")</formula>
    </cfRule>
  </conditionalFormatting>
  <conditionalFormatting sqref="A1:B47">
    <cfRule type="expression" dxfId="222" priority="190">
      <formula>$A1="Pump"</formula>
    </cfRule>
  </conditionalFormatting>
  <conditionalFormatting sqref="E1:E47">
    <cfRule type="expression" dxfId="221" priority="189">
      <formula>$A1="Pump"</formula>
    </cfRule>
  </conditionalFormatting>
  <conditionalFormatting sqref="H1:K47">
    <cfRule type="expression" dxfId="220" priority="188">
      <formula>$A1="Pump"</formula>
    </cfRule>
  </conditionalFormatting>
  <conditionalFormatting sqref="M1:P47">
    <cfRule type="expression" dxfId="219" priority="187">
      <formula>$A1="Pump"</formula>
    </cfRule>
  </conditionalFormatting>
  <conditionalFormatting sqref="R1:V47">
    <cfRule type="expression" dxfId="218" priority="186">
      <formula>$A1="Pump"</formula>
    </cfRule>
  </conditionalFormatting>
  <conditionalFormatting sqref="C1:D47">
    <cfRule type="expression" dxfId="217" priority="185">
      <formula>$A1="Pump"</formula>
    </cfRule>
  </conditionalFormatting>
  <conditionalFormatting sqref="F1:G47">
    <cfRule type="expression" dxfId="216" priority="184">
      <formula>$A1="Pump"</formula>
    </cfRule>
  </conditionalFormatting>
  <conditionalFormatting sqref="L1:L47">
    <cfRule type="expression" dxfId="215" priority="183">
      <formula>$A1="Pump"</formula>
    </cfRule>
  </conditionalFormatting>
  <conditionalFormatting sqref="Q1:Q47">
    <cfRule type="expression" dxfId="214" priority="182">
      <formula>$A1="Pump"</formula>
    </cfRule>
  </conditionalFormatting>
  <conditionalFormatting sqref="A1:B47">
    <cfRule type="expression" dxfId="213" priority="181">
      <formula>$A1="Relapnr"</formula>
    </cfRule>
  </conditionalFormatting>
  <conditionalFormatting sqref="A1:C47">
    <cfRule type="expression" dxfId="212" priority="180">
      <formula>OR($A1="Init",$A1="InitGas")</formula>
    </cfRule>
  </conditionalFormatting>
  <conditionalFormatting sqref="A1:E47">
    <cfRule type="expression" dxfId="211" priority="179">
      <formula>$A1="Timestep"</formula>
    </cfRule>
  </conditionalFormatting>
  <conditionalFormatting sqref="A1:B47">
    <cfRule type="expression" dxfId="210" priority="178">
      <formula>OR($A1="Replacements",$A1="Triggerwords")</formula>
    </cfRule>
  </conditionalFormatting>
  <conditionalFormatting sqref="A1:B47">
    <cfRule type="expression" dxfId="209" priority="177">
      <formula>$A1="Custom"</formula>
    </cfRule>
  </conditionalFormatting>
  <conditionalFormatting sqref="A1:I47">
    <cfRule type="expression" dxfId="208" priority="176">
      <formula>$A1="Tripvar"</formula>
    </cfRule>
  </conditionalFormatting>
  <conditionalFormatting sqref="A1:F47">
    <cfRule type="expression" dxfId="207" priority="175">
      <formula>$A1="Triplog"</formula>
    </cfRule>
  </conditionalFormatting>
  <conditionalFormatting sqref="A48:L571">
    <cfRule type="expression" dxfId="57" priority="58">
      <formula>$A48="Pipe"</formula>
    </cfRule>
  </conditionalFormatting>
  <conditionalFormatting sqref="Q48:Q571">
    <cfRule type="expression" dxfId="56" priority="57">
      <formula>$A48="Pipe"</formula>
    </cfRule>
  </conditionalFormatting>
  <conditionalFormatting sqref="U48:V571">
    <cfRule type="expression" dxfId="55" priority="56">
      <formula>$A48="Pipe"</formula>
    </cfRule>
  </conditionalFormatting>
  <conditionalFormatting sqref="M48:P571">
    <cfRule type="expression" dxfId="54" priority="55">
      <formula>$A48="Pipe"</formula>
    </cfRule>
  </conditionalFormatting>
  <conditionalFormatting sqref="R48:T571">
    <cfRule type="expression" dxfId="53" priority="54">
      <formula>$A48="Pipe"</formula>
    </cfRule>
  </conditionalFormatting>
  <conditionalFormatting sqref="A48:C571">
    <cfRule type="expression" dxfId="52" priority="53">
      <formula>$A48="Tmdpvol"</formula>
    </cfRule>
  </conditionalFormatting>
  <conditionalFormatting sqref="E48:G571">
    <cfRule type="expression" dxfId="51" priority="52">
      <formula>$A48="Tmdpvol"</formula>
    </cfRule>
  </conditionalFormatting>
  <conditionalFormatting sqref="J48:K571">
    <cfRule type="expression" dxfId="50" priority="51">
      <formula>$A48="Tmdpvol"</formula>
    </cfRule>
  </conditionalFormatting>
  <conditionalFormatting sqref="Q48:R571">
    <cfRule type="expression" dxfId="49" priority="50">
      <formula>$A48="Tmdpvol"</formula>
    </cfRule>
  </conditionalFormatting>
  <conditionalFormatting sqref="U48:V571">
    <cfRule type="expression" dxfId="48" priority="49">
      <formula>$A48="Tmdpvol"</formula>
    </cfRule>
  </conditionalFormatting>
  <conditionalFormatting sqref="D48:D571">
    <cfRule type="expression" dxfId="47" priority="48">
      <formula>$A48="Tmdpvol"</formula>
    </cfRule>
  </conditionalFormatting>
  <conditionalFormatting sqref="H48:I571">
    <cfRule type="expression" dxfId="46" priority="47">
      <formula>$A48="Tmdpvol"</formula>
    </cfRule>
  </conditionalFormatting>
  <conditionalFormatting sqref="L48:P571">
    <cfRule type="expression" dxfId="45" priority="46">
      <formula>$A48="Tmdpvol"</formula>
    </cfRule>
  </conditionalFormatting>
  <conditionalFormatting sqref="S48:T571">
    <cfRule type="expression" dxfId="44" priority="45">
      <formula>$A48="Tmdpvol"</formula>
    </cfRule>
  </conditionalFormatting>
  <conditionalFormatting sqref="A48:C571">
    <cfRule type="expression" dxfId="43" priority="44">
      <formula>$A48="Snglvol"</formula>
    </cfRule>
  </conditionalFormatting>
  <conditionalFormatting sqref="E48:G571">
    <cfRule type="expression" dxfId="42" priority="43">
      <formula>$A48="Snglvol"</formula>
    </cfRule>
  </conditionalFormatting>
  <conditionalFormatting sqref="J48:K571">
    <cfRule type="expression" dxfId="41" priority="42">
      <formula>$A48="Snglvol"</formula>
    </cfRule>
  </conditionalFormatting>
  <conditionalFormatting sqref="Q48:R571">
    <cfRule type="expression" dxfId="40" priority="41">
      <formula>$A48="Snglvol"</formula>
    </cfRule>
  </conditionalFormatting>
  <conditionalFormatting sqref="U48:V571">
    <cfRule type="expression" dxfId="39" priority="40">
      <formula>$A48="Snglvol"</formula>
    </cfRule>
  </conditionalFormatting>
  <conditionalFormatting sqref="D48:D571">
    <cfRule type="expression" dxfId="38" priority="39">
      <formula>$A48="Snglvol"</formula>
    </cfRule>
  </conditionalFormatting>
  <conditionalFormatting sqref="H48:I571">
    <cfRule type="expression" dxfId="37" priority="38">
      <formula>$A48="Snglvol"</formula>
    </cfRule>
  </conditionalFormatting>
  <conditionalFormatting sqref="L48:T571">
    <cfRule type="expression" dxfId="36" priority="37">
      <formula>$A48="Snglvol"</formula>
    </cfRule>
  </conditionalFormatting>
  <conditionalFormatting sqref="A48:B571">
    <cfRule type="expression" dxfId="35" priority="36">
      <formula>OR($A48="Sngljun",$A48="Junction")</formula>
    </cfRule>
  </conditionalFormatting>
  <conditionalFormatting sqref="E48:E571">
    <cfRule type="expression" dxfId="34" priority="35">
      <formula>OR($A48="Sngljun",$A48="Junction")</formula>
    </cfRule>
  </conditionalFormatting>
  <conditionalFormatting sqref="H48:K571">
    <cfRule type="expression" dxfId="33" priority="34">
      <formula>OR($A48="Sngljun",$A48="Junction")</formula>
    </cfRule>
  </conditionalFormatting>
  <conditionalFormatting sqref="M48:P571">
    <cfRule type="expression" dxfId="32" priority="33">
      <formula>OR($A48="Sngljun",$A48="Junction")</formula>
    </cfRule>
  </conditionalFormatting>
  <conditionalFormatting sqref="U48:V571">
    <cfRule type="expression" dxfId="31" priority="32">
      <formula>OR($A48="Sngljun",$A48="Junction")</formula>
    </cfRule>
  </conditionalFormatting>
  <conditionalFormatting sqref="C48:D571">
    <cfRule type="expression" dxfId="30" priority="31">
      <formula>OR($A48="Sngljun",$A48="Junction")</formula>
    </cfRule>
  </conditionalFormatting>
  <conditionalFormatting sqref="F48:G571">
    <cfRule type="expression" dxfId="29" priority="30">
      <formula>OR($A48="Sngljun",$A48="Junction")</formula>
    </cfRule>
  </conditionalFormatting>
  <conditionalFormatting sqref="L48:L571">
    <cfRule type="expression" dxfId="28" priority="29">
      <formula>OR($A48="Sngljun",$A48="Junction")</formula>
    </cfRule>
  </conditionalFormatting>
  <conditionalFormatting sqref="Q48:T571">
    <cfRule type="expression" dxfId="27" priority="28">
      <formula>OR($A48="Sngljun",$A48="Junction")</formula>
    </cfRule>
  </conditionalFormatting>
  <conditionalFormatting sqref="A48:B571">
    <cfRule type="expression" dxfId="26" priority="27">
      <formula>OR($A48="Mtrvlv",$A48="Srvvlv",$A48="Trpvlv",$A48="Chkvlv",$A48="Inrvlv",$A48="Tmdpjun")</formula>
    </cfRule>
  </conditionalFormatting>
  <conditionalFormatting sqref="E48:E571">
    <cfRule type="expression" dxfId="25" priority="26">
      <formula>OR($A48="Mtrvlv",$A48="Srvvlv",$A48="Trpvlv",$A48="Chkvlv",$A48="Inrvlv",$A48="Tmdpjun")</formula>
    </cfRule>
  </conditionalFormatting>
  <conditionalFormatting sqref="H48:K571">
    <cfRule type="expression" dxfId="24" priority="25">
      <formula>OR($A48="Mtrvlv",$A48="Srvvlv",$A48="Trpvlv",$A48="Chkvlv",$A48="Inrvlv",$A48="Tmdpjun")</formula>
    </cfRule>
  </conditionalFormatting>
  <conditionalFormatting sqref="M48:P571">
    <cfRule type="expression" dxfId="23" priority="24">
      <formula>OR($A48="Mtrvlv",$A48="Srvvlv",$A48="Trpvlv",$A48="Chkvlv",$A48="Inrvlv",$A48="Tmdpjun")</formula>
    </cfRule>
  </conditionalFormatting>
  <conditionalFormatting sqref="T48:V571">
    <cfRule type="expression" dxfId="22" priority="23">
      <formula>OR($A48="Mtrvlv",$A48="Srvvlv",$A48="Trpvlv",$A48="Chkvlv",$A48="Inrvlv",$A48="Tmdpjun")</formula>
    </cfRule>
  </conditionalFormatting>
  <conditionalFormatting sqref="C48:D571">
    <cfRule type="expression" dxfId="21" priority="22">
      <formula>OR($A48="Mtrvlv",$A48="Srvvlv",$A48="Trpvlv",$A48="Chkvlv",$A48="Inrvlv",$A48="Tmdpjun")</formula>
    </cfRule>
  </conditionalFormatting>
  <conditionalFormatting sqref="F48:G571">
    <cfRule type="expression" dxfId="20" priority="21">
      <formula>OR($A48="Mtrvlv",$A48="Srvvlv",$A48="Trpvlv",$A48="Chkvlv",$A48="Inrvlv",$A48="Tmdpjun")</formula>
    </cfRule>
  </conditionalFormatting>
  <conditionalFormatting sqref="L48:L571">
    <cfRule type="expression" dxfId="19" priority="20">
      <formula>OR($A48="Mtrvlv",$A48="Srvvlv",$A48="Trpvlv",$A48="Chkvlv",$A48="Inrvlv",$A48="Tmdpjun")</formula>
    </cfRule>
  </conditionalFormatting>
  <conditionalFormatting sqref="Q48:S571">
    <cfRule type="expression" dxfId="18" priority="19">
      <formula>OR($A48="Mtrvlv",$A48="Srvvlv",$A48="Trpvlv",$A48="Chkvlv",$A48="Inrvlv",$A48="Tmdpjun")</formula>
    </cfRule>
  </conditionalFormatting>
  <conditionalFormatting sqref="A48:B571">
    <cfRule type="expression" dxfId="17" priority="18">
      <formula>$A48="Pump"</formula>
    </cfRule>
  </conditionalFormatting>
  <conditionalFormatting sqref="E48:E571">
    <cfRule type="expression" dxfId="16" priority="17">
      <formula>$A48="Pump"</formula>
    </cfRule>
  </conditionalFormatting>
  <conditionalFormatting sqref="H48:K571">
    <cfRule type="expression" dxfId="15" priority="16">
      <formula>$A48="Pump"</formula>
    </cfRule>
  </conditionalFormatting>
  <conditionalFormatting sqref="M48:P571">
    <cfRule type="expression" dxfId="14" priority="15">
      <formula>$A48="Pump"</formula>
    </cfRule>
  </conditionalFormatting>
  <conditionalFormatting sqref="R48:V571">
    <cfRule type="expression" dxfId="13" priority="14">
      <formula>$A48="Pump"</formula>
    </cfRule>
  </conditionalFormatting>
  <conditionalFormatting sqref="C48:D571">
    <cfRule type="expression" dxfId="12" priority="13">
      <formula>$A48="Pump"</formula>
    </cfRule>
  </conditionalFormatting>
  <conditionalFormatting sqref="F48:G571">
    <cfRule type="expression" dxfId="11" priority="12">
      <formula>$A48="Pump"</formula>
    </cfRule>
  </conditionalFormatting>
  <conditionalFormatting sqref="L48:L571">
    <cfRule type="expression" dxfId="10" priority="11">
      <formula>$A48="Pump"</formula>
    </cfRule>
  </conditionalFormatting>
  <conditionalFormatting sqref="Q48:Q571">
    <cfRule type="expression" dxfId="9" priority="10">
      <formula>$A48="Pump"</formula>
    </cfRule>
  </conditionalFormatting>
  <conditionalFormatting sqref="A48:B571">
    <cfRule type="expression" dxfId="8" priority="9">
      <formula>$A48="Relapnr"</formula>
    </cfRule>
  </conditionalFormatting>
  <conditionalFormatting sqref="A48:C571">
    <cfRule type="expression" dxfId="7" priority="8">
      <formula>OR($A48="Init",$A48="InitGas")</formula>
    </cfRule>
  </conditionalFormatting>
  <conditionalFormatting sqref="A48:E571">
    <cfRule type="expression" dxfId="6" priority="7">
      <formula>$A48="Timestep"</formula>
    </cfRule>
  </conditionalFormatting>
  <conditionalFormatting sqref="A48:B571">
    <cfRule type="expression" dxfId="5" priority="6">
      <formula>OR($A48="Replacements",$A48="Triggerwords")</formula>
    </cfRule>
  </conditionalFormatting>
  <conditionalFormatting sqref="A48:B571">
    <cfRule type="expression" dxfId="4" priority="5">
      <formula>$A48="Custom"</formula>
    </cfRule>
  </conditionalFormatting>
  <conditionalFormatting sqref="A48:I571">
    <cfRule type="expression" dxfId="3" priority="4">
      <formula>$A48="Tripvar"</formula>
    </cfRule>
  </conditionalFormatting>
  <conditionalFormatting sqref="A48:F571">
    <cfRule type="expression" dxfId="2" priority="3">
      <formula>$A48="Triplog"</formula>
    </cfRule>
  </conditionalFormatting>
  <conditionalFormatting sqref="M48:M571">
    <cfRule type="expression" dxfId="1" priority="2">
      <formula>AND(OR($A48="Junction", $A48="Mtrvlv"),$M48=$B46,$O48=2,ISTEXT($M46))</formula>
    </cfRule>
  </conditionalFormatting>
  <conditionalFormatting sqref="N48:N571">
    <cfRule type="expression" dxfId="0" priority="1">
      <formula>AND(OR($A48="Junction", $A48="Mtrvlv"),$N48=$B50,$P48=1,ISTEXT($N50))</formula>
    </cfRule>
  </conditionalFormatting>
  <dataValidations count="2">
    <dataValidation type="list" allowBlank="1" showInputMessage="1" showErrorMessage="1" sqref="B15" xr:uid="{00000000-0002-0000-0000-000000000000}">
      <formula1>"0,1"</formula1>
    </dataValidation>
    <dataValidation type="list" allowBlank="1" showInputMessage="1" showErrorMessage="1" sqref="B13" xr:uid="{00000000-0002-0000-0000-000001000000}">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reateInputFile">
                <anchor>
                  <from>
                    <xdr:col>15</xdr:col>
                    <xdr:colOff>123825</xdr:colOff>
                    <xdr:row>0</xdr:row>
                    <xdr:rowOff>438150</xdr:rowOff>
                  </from>
                  <to>
                    <xdr:col>18</xdr:col>
                    <xdr:colOff>485775</xdr:colOff>
                    <xdr:row>1</xdr:row>
                    <xdr:rowOff>171450</xdr:rowOff>
                  </to>
                </anchor>
              </controlPr>
            </control>
          </mc:Choice>
        </mc:AlternateContent>
        <mc:AlternateContent xmlns:mc="http://schemas.openxmlformats.org/markup-compatibility/2006">
          <mc:Choice Requires="x14">
            <control shapeId="25602" r:id="rId5" name="Button 2">
              <controlPr defaultSize="0" print="0" autoFill="0" autoPict="0" macro="[0]!CreateInputFiles">
                <anchor>
                  <from>
                    <xdr:col>19</xdr:col>
                    <xdr:colOff>76200</xdr:colOff>
                    <xdr:row>0</xdr:row>
                    <xdr:rowOff>438150</xdr:rowOff>
                  </from>
                  <to>
                    <xdr:col>21</xdr:col>
                    <xdr:colOff>571500</xdr:colOff>
                    <xdr:row>1</xdr:row>
                    <xdr:rowOff>171450</xdr:rowOff>
                  </to>
                </anchor>
              </controlPr>
            </control>
          </mc:Choice>
        </mc:AlternateContent>
        <mc:AlternateContent xmlns:mc="http://schemas.openxmlformats.org/markup-compatibility/2006">
          <mc:Choice Requires="x14">
            <control shapeId="25603"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5604"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5606"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5607"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5608" r:id="rId11" name="Button 8">
              <controlPr defaultSize="0" print="0" autoFill="0" autoPict="0" macro="[0]!ModelSummary">
                <anchor>
                  <from>
                    <xdr:col>12</xdr:col>
                    <xdr:colOff>514350</xdr:colOff>
                    <xdr:row>0</xdr:row>
                    <xdr:rowOff>438150</xdr:rowOff>
                  </from>
                  <to>
                    <xdr:col>14</xdr:col>
                    <xdr:colOff>352425</xdr:colOff>
                    <xdr:row>1</xdr:row>
                    <xdr:rowOff>171450</xdr:rowOff>
                  </to>
                </anchor>
              </controlPr>
            </control>
          </mc:Choice>
        </mc:AlternateContent>
        <mc:AlternateContent xmlns:mc="http://schemas.openxmlformats.org/markup-compatibility/2006">
          <mc:Choice Requires="x14">
            <control shapeId="25609"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5610"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5611"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F1" activePane="topRight" state="frozenSplit"/>
      <selection pane="topRight" activeCell="C9" sqref="C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318</v>
      </c>
      <c r="B1" s="51"/>
      <c r="C1" s="49"/>
    </row>
    <row r="2" spans="1:106" ht="15" x14ac:dyDescent="0.2">
      <c r="B2" s="50" t="s">
        <v>266</v>
      </c>
      <c r="C2" s="113">
        <v>1</v>
      </c>
    </row>
    <row r="3" spans="1:106" ht="15" x14ac:dyDescent="0.2">
      <c r="B3" s="50" t="s">
        <v>311</v>
      </c>
      <c r="C3" s="113" t="s">
        <v>322</v>
      </c>
    </row>
    <row r="4" spans="1:106" ht="15" x14ac:dyDescent="0.25">
      <c r="B4" s="50" t="s">
        <v>312</v>
      </c>
      <c r="C4" s="114" t="e">
        <f>INDEX(TestMatrixVariableValues,C2,MATCH(C3,TestMatrixVariableNames,0))</f>
        <v>#N/A</v>
      </c>
    </row>
    <row r="5" spans="1:106" x14ac:dyDescent="0.2">
      <c r="F5" s="44" t="s">
        <v>288</v>
      </c>
      <c r="G5" s="45"/>
    </row>
    <row r="6" spans="1:106" x14ac:dyDescent="0.2">
      <c r="A6" s="110" t="s">
        <v>291</v>
      </c>
      <c r="B6" s="91" t="s">
        <v>286</v>
      </c>
      <c r="C6" s="52" t="s">
        <v>24</v>
      </c>
      <c r="D6" s="52" t="s">
        <v>287</v>
      </c>
      <c r="E6" s="91" t="s">
        <v>290</v>
      </c>
      <c r="F6" s="48" t="s">
        <v>289</v>
      </c>
      <c r="G6" s="129" t="s">
        <v>436</v>
      </c>
      <c r="H6" s="127" t="s">
        <v>43</v>
      </c>
      <c r="I6" s="128" t="s">
        <v>437</v>
      </c>
      <c r="J6" s="129" t="s">
        <v>438</v>
      </c>
      <c r="K6" s="127" t="s">
        <v>44</v>
      </c>
      <c r="L6" s="128" t="s">
        <v>439</v>
      </c>
      <c r="M6" s="129" t="s">
        <v>440</v>
      </c>
      <c r="N6" s="127" t="s">
        <v>45</v>
      </c>
      <c r="O6" s="128" t="s">
        <v>441</v>
      </c>
      <c r="P6" s="129" t="s">
        <v>442</v>
      </c>
      <c r="Q6" s="127" t="s">
        <v>434</v>
      </c>
      <c r="R6" s="128" t="s">
        <v>443</v>
      </c>
      <c r="S6" s="129" t="s">
        <v>444</v>
      </c>
      <c r="T6" s="127" t="s">
        <v>435</v>
      </c>
      <c r="U6" s="128" t="s">
        <v>445</v>
      </c>
      <c r="V6" s="47"/>
      <c r="W6" s="48"/>
      <c r="X6" s="48"/>
      <c r="Y6" s="47" t="s">
        <v>427</v>
      </c>
      <c r="Z6" s="47" t="s">
        <v>428</v>
      </c>
      <c r="AA6" s="47" t="s">
        <v>360</v>
      </c>
      <c r="AB6" s="47" t="s">
        <v>432</v>
      </c>
      <c r="AC6" s="47"/>
      <c r="AD6" s="47" t="s">
        <v>361</v>
      </c>
      <c r="AE6" s="48" t="s">
        <v>362</v>
      </c>
      <c r="AF6" s="48" t="s">
        <v>363</v>
      </c>
      <c r="AG6" s="48"/>
      <c r="AH6" s="47" t="s">
        <v>367</v>
      </c>
      <c r="AI6" s="47" t="s">
        <v>368</v>
      </c>
      <c r="AJ6" s="47"/>
      <c r="AK6" s="47" t="s">
        <v>374</v>
      </c>
      <c r="AL6" s="47"/>
      <c r="AM6" s="47"/>
      <c r="AN6" s="47" t="s">
        <v>459</v>
      </c>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265</v>
      </c>
      <c r="D7" s="109" t="str">
        <f>IF(B7="","",IF(ISERROR(FIND("\",B7)),CONCATENATE(B7,"\",B7,".i"),CONCATENATE(B7,".i")))</f>
        <v>Case1\Case1.i</v>
      </c>
      <c r="E7" s="109" t="str">
        <f>IF(B7="","",IF(ISERROR(FIND("\",B7)),B7,RIGHT(B7,LEN(B7)-FIND("\",B7))))</f>
        <v>Case1</v>
      </c>
      <c r="F7" s="107" t="s">
        <v>28</v>
      </c>
      <c r="G7" s="125">
        <v>0.1</v>
      </c>
      <c r="H7" s="126">
        <v>0.02</v>
      </c>
      <c r="I7" s="125">
        <v>1</v>
      </c>
      <c r="J7" s="125">
        <v>1500</v>
      </c>
      <c r="K7" s="126">
        <v>0.02</v>
      </c>
      <c r="L7" s="125">
        <v>50</v>
      </c>
      <c r="M7" s="125"/>
      <c r="N7" s="126">
        <v>0.02</v>
      </c>
      <c r="O7" s="125">
        <v>50</v>
      </c>
      <c r="P7" s="125"/>
      <c r="Q7" s="126">
        <v>0.02</v>
      </c>
      <c r="R7" s="125">
        <v>50</v>
      </c>
      <c r="S7" s="125"/>
      <c r="T7" s="126">
        <v>0.02</v>
      </c>
      <c r="U7" s="125">
        <v>50</v>
      </c>
      <c r="V7" s="107"/>
      <c r="W7" s="107"/>
      <c r="X7" s="107"/>
      <c r="Y7" s="107">
        <v>85</v>
      </c>
      <c r="Z7" s="107">
        <f t="shared" ref="Z7:Z9" si="0">(562.2-32)*5/9</f>
        <v>294.55555555555554</v>
      </c>
      <c r="AA7" s="107">
        <f>25000*0.45359237/3600</f>
        <v>3.1499470138888888</v>
      </c>
      <c r="AB7" s="107">
        <v>10</v>
      </c>
      <c r="AC7" s="107"/>
      <c r="AD7" s="107">
        <v>3</v>
      </c>
      <c r="AE7" s="107">
        <v>35</v>
      </c>
      <c r="AF7" s="107">
        <f>375000*0.45359237/3600</f>
        <v>47.249205208333336</v>
      </c>
      <c r="AG7" s="107"/>
      <c r="AH7" s="107">
        <v>1</v>
      </c>
      <c r="AI7" s="107">
        <v>1</v>
      </c>
      <c r="AJ7" s="107"/>
      <c r="AK7" s="107" t="s">
        <v>366</v>
      </c>
      <c r="AL7" s="107"/>
      <c r="AM7" s="107"/>
      <c r="AN7" s="107">
        <v>1</v>
      </c>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279</v>
      </c>
      <c r="C8" s="93" t="s">
        <v>461</v>
      </c>
      <c r="D8" s="109" t="str">
        <f>IF(B8="","",IF(ISERROR(FIND("\",B8)),CONCATENATE(B8,"\",B8,".i"),CONCATENATE(B8,".i")))</f>
        <v>Case2\Case2.i</v>
      </c>
      <c r="E8" s="109" t="str">
        <f>IF(B8="","",IF(ISERROR(FIND("\",B8)),B8,RIGHT(B8,LEN(B8)-FIND("\",B8))))</f>
        <v>Case2</v>
      </c>
      <c r="F8" s="107" t="s">
        <v>28</v>
      </c>
      <c r="G8" s="125">
        <v>0.1</v>
      </c>
      <c r="H8" s="124">
        <v>0.02</v>
      </c>
      <c r="I8" s="107">
        <v>1</v>
      </c>
      <c r="J8" s="125">
        <v>1500</v>
      </c>
      <c r="K8" s="124">
        <v>0.02</v>
      </c>
      <c r="L8" s="107">
        <v>50</v>
      </c>
      <c r="M8" s="107"/>
      <c r="N8" s="124">
        <v>0.02</v>
      </c>
      <c r="O8" s="107">
        <v>50</v>
      </c>
      <c r="P8" s="107"/>
      <c r="Q8" s="124">
        <v>0.02</v>
      </c>
      <c r="R8" s="107">
        <v>50</v>
      </c>
      <c r="S8" s="107"/>
      <c r="T8" s="124">
        <v>0.02</v>
      </c>
      <c r="U8" s="107">
        <v>50</v>
      </c>
      <c r="V8" s="107"/>
      <c r="W8" s="107"/>
      <c r="X8" s="107"/>
      <c r="Y8" s="107">
        <v>85</v>
      </c>
      <c r="Z8" s="107">
        <f t="shared" si="0"/>
        <v>294.55555555555554</v>
      </c>
      <c r="AA8" s="107">
        <f t="shared" ref="AA8:AA9" si="1">25000*0.45359237/3600</f>
        <v>3.1499470138888888</v>
      </c>
      <c r="AB8" s="107">
        <v>10</v>
      </c>
      <c r="AC8" s="107"/>
      <c r="AD8" s="107">
        <v>3</v>
      </c>
      <c r="AE8" s="107">
        <v>35</v>
      </c>
      <c r="AF8" s="107">
        <f t="shared" ref="AF8:AF9" si="2">375000*0.45359237/3600</f>
        <v>47.249205208333336</v>
      </c>
      <c r="AG8" s="107"/>
      <c r="AH8" s="107">
        <v>1</v>
      </c>
      <c r="AI8" s="107">
        <v>1</v>
      </c>
      <c r="AJ8" s="107"/>
      <c r="AK8" s="107" t="s">
        <v>366</v>
      </c>
      <c r="AL8" s="107"/>
      <c r="AM8" s="107"/>
      <c r="AN8" s="107">
        <v>0.2</v>
      </c>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375</v>
      </c>
      <c r="C9" s="93" t="s">
        <v>462</v>
      </c>
      <c r="D9" s="109" t="str">
        <f>IF(B9="","",IF(ISERROR(FIND("\",B9)),CONCATENATE(B9,"\",B9,".i"),CONCATENATE(B9,".i")))</f>
        <v>Case3\Case3.i</v>
      </c>
      <c r="E9" s="109" t="str">
        <f>IF(B9="","",IF(ISERROR(FIND("\",B9)),B9,RIGHT(B9,LEN(B9)-FIND("\",B9))))</f>
        <v>Case3</v>
      </c>
      <c r="F9" s="107" t="s">
        <v>28</v>
      </c>
      <c r="G9" s="125">
        <v>0.1</v>
      </c>
      <c r="H9" s="124">
        <v>0.02</v>
      </c>
      <c r="I9" s="107">
        <v>1</v>
      </c>
      <c r="J9" s="125">
        <v>1500</v>
      </c>
      <c r="K9" s="124">
        <v>0.02</v>
      </c>
      <c r="L9" s="107">
        <v>50</v>
      </c>
      <c r="M9" s="107"/>
      <c r="N9" s="124">
        <v>0.02</v>
      </c>
      <c r="O9" s="107">
        <v>50</v>
      </c>
      <c r="P9" s="107"/>
      <c r="Q9" s="124">
        <v>0.02</v>
      </c>
      <c r="R9" s="107">
        <v>50</v>
      </c>
      <c r="S9" s="107"/>
      <c r="T9" s="124">
        <v>0.02</v>
      </c>
      <c r="U9" s="107">
        <v>50</v>
      </c>
      <c r="V9" s="107"/>
      <c r="W9" s="107"/>
      <c r="X9" s="107"/>
      <c r="Y9" s="107">
        <v>85</v>
      </c>
      <c r="Z9" s="107">
        <f t="shared" si="0"/>
        <v>294.55555555555554</v>
      </c>
      <c r="AA9" s="107">
        <f t="shared" si="1"/>
        <v>3.1499470138888888</v>
      </c>
      <c r="AB9" s="107">
        <v>10</v>
      </c>
      <c r="AC9" s="107"/>
      <c r="AD9" s="107">
        <v>3</v>
      </c>
      <c r="AE9" s="107">
        <v>35</v>
      </c>
      <c r="AF9" s="107">
        <f t="shared" si="2"/>
        <v>47.249205208333336</v>
      </c>
      <c r="AG9" s="107"/>
      <c r="AH9" s="107">
        <v>1</v>
      </c>
      <c r="AI9" s="107">
        <v>1</v>
      </c>
      <c r="AJ9" s="107"/>
      <c r="AK9" s="107" t="s">
        <v>366</v>
      </c>
      <c r="AL9" s="107"/>
      <c r="AM9" s="107"/>
      <c r="AN9" s="107">
        <v>0.6</v>
      </c>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c r="C10" s="93"/>
      <c r="D10" s="109" t="str">
        <f t="shared" ref="D10:D17" si="3">IF(B10="","",IF(ISERROR(FIND("\",B10)),CONCATENATE(B10,"\",B10,".i"),CONCATENATE(B10,".i")))</f>
        <v/>
      </c>
      <c r="E10" s="109" t="str">
        <f t="shared" ref="E10:E15" si="4">IF(B10="","",IF(ISERROR(FIND("\",B10)),B10,RIGHT(B10,LEN(B10)-FIND("\",B10))))</f>
        <v/>
      </c>
      <c r="F10" s="107"/>
      <c r="G10" s="125"/>
      <c r="H10" s="124"/>
      <c r="I10" s="107"/>
      <c r="J10" s="125"/>
      <c r="K10" s="124"/>
      <c r="L10" s="107"/>
      <c r="M10" s="107"/>
      <c r="N10" s="124"/>
      <c r="O10" s="107"/>
      <c r="P10" s="107"/>
      <c r="Q10" s="124"/>
      <c r="R10" s="107"/>
      <c r="S10" s="107"/>
      <c r="T10" s="124"/>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5">ROW()-ROW($A$6)</f>
        <v>5</v>
      </c>
      <c r="B11" s="92"/>
      <c r="C11" s="93"/>
      <c r="D11" s="109" t="str">
        <f t="shared" si="3"/>
        <v/>
      </c>
      <c r="E11" s="109" t="str">
        <f t="shared" si="4"/>
        <v/>
      </c>
      <c r="F11" s="107"/>
      <c r="G11" s="125"/>
      <c r="H11" s="124"/>
      <c r="I11" s="107"/>
      <c r="J11" s="125"/>
      <c r="K11" s="124"/>
      <c r="L11" s="107"/>
      <c r="M11" s="107"/>
      <c r="N11" s="124"/>
      <c r="O11" s="107"/>
      <c r="P11" s="107"/>
      <c r="Q11" s="124"/>
      <c r="R11" s="107"/>
      <c r="S11" s="107"/>
      <c r="T11" s="124"/>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5"/>
        <v>6</v>
      </c>
      <c r="B12" s="92"/>
      <c r="C12" s="93"/>
      <c r="D12" s="109" t="str">
        <f t="shared" si="3"/>
        <v/>
      </c>
      <c r="E12" s="109" t="str">
        <f t="shared" si="4"/>
        <v/>
      </c>
      <c r="F12" s="107"/>
      <c r="G12" s="125"/>
      <c r="H12" s="124"/>
      <c r="I12" s="107"/>
      <c r="J12" s="125"/>
      <c r="K12" s="124"/>
      <c r="L12" s="107"/>
      <c r="M12" s="107"/>
      <c r="N12" s="124"/>
      <c r="O12" s="107"/>
      <c r="P12" s="107"/>
      <c r="Q12" s="124"/>
      <c r="R12" s="107"/>
      <c r="S12" s="107"/>
      <c r="T12" s="124"/>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5"/>
        <v>7</v>
      </c>
      <c r="B13" s="92"/>
      <c r="C13" s="93"/>
      <c r="D13" s="109" t="str">
        <f t="shared" si="3"/>
        <v/>
      </c>
      <c r="E13" s="109" t="str">
        <f t="shared" si="4"/>
        <v/>
      </c>
      <c r="F13" s="107"/>
      <c r="G13" s="125"/>
      <c r="H13" s="124"/>
      <c r="I13" s="107"/>
      <c r="J13" s="125"/>
      <c r="K13" s="124"/>
      <c r="L13" s="107"/>
      <c r="M13" s="107"/>
      <c r="N13" s="124"/>
      <c r="O13" s="107"/>
      <c r="P13" s="107"/>
      <c r="Q13" s="124"/>
      <c r="R13" s="107"/>
      <c r="S13" s="107"/>
      <c r="T13" s="124"/>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5"/>
        <v>8</v>
      </c>
      <c r="B14" s="92"/>
      <c r="C14" s="93"/>
      <c r="D14" s="109" t="str">
        <f t="shared" si="3"/>
        <v/>
      </c>
      <c r="E14" s="109" t="str">
        <f t="shared" si="4"/>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5"/>
        <v>9</v>
      </c>
      <c r="B15" s="92"/>
      <c r="C15" s="93"/>
      <c r="D15" s="109" t="str">
        <f t="shared" si="3"/>
        <v/>
      </c>
      <c r="E15" s="109" t="str">
        <f t="shared" si="4"/>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5"/>
        <v>10</v>
      </c>
      <c r="B16" s="92"/>
      <c r="C16" s="93"/>
      <c r="D16" s="109" t="str">
        <f t="shared" si="3"/>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5"/>
        <v>11</v>
      </c>
      <c r="B17" s="92"/>
      <c r="C17" s="93"/>
      <c r="D17" s="109" t="str">
        <f t="shared" si="3"/>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5"/>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3"/>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377</v>
      </c>
      <c r="E30" s="122"/>
      <c r="F30" s="122" t="s">
        <v>400</v>
      </c>
    </row>
    <row r="31" spans="4:6" ht="13.5" thickTop="1" x14ac:dyDescent="0.2">
      <c r="D31" s="53" t="s">
        <v>378</v>
      </c>
      <c r="F31" s="53" t="s">
        <v>379</v>
      </c>
    </row>
    <row r="32" spans="4:6" x14ac:dyDescent="0.2">
      <c r="D32" s="53" t="s">
        <v>380</v>
      </c>
      <c r="F32" s="53" t="s">
        <v>381</v>
      </c>
    </row>
    <row r="33" spans="4:6" x14ac:dyDescent="0.2">
      <c r="D33" s="53" t="s">
        <v>383</v>
      </c>
      <c r="F33" s="53" t="s">
        <v>382</v>
      </c>
    </row>
    <row r="34" spans="4:6" x14ac:dyDescent="0.2">
      <c r="D34" s="53" t="s">
        <v>384</v>
      </c>
      <c r="F34" s="53" t="s">
        <v>385</v>
      </c>
    </row>
    <row r="35" spans="4:6" x14ac:dyDescent="0.2">
      <c r="D35" s="80" t="s">
        <v>411</v>
      </c>
      <c r="F35" s="53" t="s">
        <v>387</v>
      </c>
    </row>
    <row r="36" spans="4:6" x14ac:dyDescent="0.2">
      <c r="D36" s="53" t="s">
        <v>386</v>
      </c>
      <c r="F36" s="53" t="s">
        <v>387</v>
      </c>
    </row>
    <row r="37" spans="4:6" x14ac:dyDescent="0.2">
      <c r="D37" s="53" t="s">
        <v>388</v>
      </c>
      <c r="F37" s="53" t="s">
        <v>389</v>
      </c>
    </row>
    <row r="38" spans="4:6" x14ac:dyDescent="0.2">
      <c r="D38" s="80" t="s">
        <v>399</v>
      </c>
      <c r="F38" s="80" t="s">
        <v>401</v>
      </c>
    </row>
    <row r="39" spans="4:6" x14ac:dyDescent="0.2">
      <c r="D39" s="80" t="s">
        <v>402</v>
      </c>
      <c r="F39" s="80" t="s">
        <v>403</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281</v>
      </c>
      <c r="B50" s="53" t="s">
        <v>325</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326</v>
      </c>
    </row>
    <row r="156" spans="1:2" x14ac:dyDescent="0.2">
      <c r="A156" s="53" t="s">
        <v>190</v>
      </c>
    </row>
    <row r="158" spans="1:2" x14ac:dyDescent="0.2">
      <c r="A158" s="53" t="s">
        <v>191</v>
      </c>
    </row>
    <row r="159" spans="1:2" ht="13.5" x14ac:dyDescent="0.25">
      <c r="A159" s="58" t="s">
        <v>281</v>
      </c>
      <c r="B159" s="58" t="s">
        <v>192</v>
      </c>
    </row>
    <row r="161" spans="1:22" x14ac:dyDescent="0.2">
      <c r="A161" s="53" t="s">
        <v>194</v>
      </c>
    </row>
    <row r="162" spans="1:22" ht="13.5" x14ac:dyDescent="0.25">
      <c r="A162" s="58" t="s">
        <v>281</v>
      </c>
      <c r="B162" s="58" t="s">
        <v>193</v>
      </c>
    </row>
    <row r="164" spans="1:22" x14ac:dyDescent="0.2">
      <c r="A164" s="53" t="s">
        <v>195</v>
      </c>
    </row>
    <row r="165" spans="1:22" ht="13.5" x14ac:dyDescent="0.25">
      <c r="A165" s="58" t="s">
        <v>281</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206" priority="1" stopIfTrue="1">
      <formula>$A284="Pipe"</formula>
    </cfRule>
    <cfRule type="expression" dxfId="205" priority="2" stopIfTrue="1">
      <formula>OR($A284="Junction",$A284="Mtrvlv",$A284="Pump",$A284="Chkvlv",$A284="Trpvlv",$A284="Srvvlv",$A284="Rlfvlv",$A284="Inrvlv",$A284="Tmdpjun")</formula>
    </cfRule>
    <cfRule type="expression" dxfId="204" priority="3" stopIfTrue="1">
      <formula>OR($A284="Tmdpvol",$A284="Snglvol",$A284="Relapnr",$A284="Init",$A284="InitGas",$A284="Strip",$A284="Custom",$A284="Triggerwords")</formula>
    </cfRule>
  </conditionalFormatting>
  <conditionalFormatting sqref="B284:B306 B308 B310:B315">
    <cfRule type="expression" dxfId="203" priority="4" stopIfTrue="1">
      <formula>$A284="Pipe"</formula>
    </cfRule>
    <cfRule type="expression" dxfId="202" priority="5" stopIfTrue="1">
      <formula>OR($A284="Junction",$A284="Mtrvlv",$A284="Pump",$A284="Chkvlv",$A284="Trpvlv",$A284="Srvvlv",$A284="Rlfvlv",$A284="Inrvlv",$A284="Tmdpjun")</formula>
    </cfRule>
    <cfRule type="expression" dxfId="201" priority="6" stopIfTrue="1">
      <formula>OR($A284="Tmdpvol",$A284="Snglvol",$A284="Relapnr",$A284="Init",$A284="InitGas",$A284="Strip",$A284="Custom",$A284="Triggerwords")</formula>
    </cfRule>
  </conditionalFormatting>
  <conditionalFormatting sqref="C284:C306 C308 C310:C315">
    <cfRule type="expression" dxfId="200" priority="7" stopIfTrue="1">
      <formula>$A284="Pipe"</formula>
    </cfRule>
    <cfRule type="expression" dxfId="199" priority="8" stopIfTrue="1">
      <formula>OR($A284="Junction",$A284="Mtrvlv",$A284="Pump",$A284="Chkvlv",$A284="Trpvlv",$A284="Srvvlv",$A284="Rlfvlv",$A284="Inrvlv",$A284="Tmdpjun")</formula>
    </cfRule>
    <cfRule type="expression" dxfId="198" priority="9" stopIfTrue="1">
      <formula>OR($A284="Tmdpvol",$A284="Snglvol",$A284="Init",$A284="InitGas",$A284="Strip")</formula>
    </cfRule>
  </conditionalFormatting>
  <conditionalFormatting sqref="D284:D306 L284:L306 D308 L308 D310:D315 L310:L315">
    <cfRule type="expression" dxfId="197" priority="10" stopIfTrue="1">
      <formula>$A284="Pipe"</formula>
    </cfRule>
    <cfRule type="expression" dxfId="196" priority="11" stopIfTrue="1">
      <formula>OR($A284="Junction",$A284="Mtrvlv",$A284="Pump",$A284="Chkvlv",$A284="Trpvlv",$A284="Srvvlv",$A284="Rlfvlv",$A284="Inrvlv",$A284="Tmdpjun")</formula>
    </cfRule>
    <cfRule type="expression" dxfId="195" priority="12" stopIfTrue="1">
      <formula>OR($A284="Tmdpvol",$A284="Snglvol")</formula>
    </cfRule>
  </conditionalFormatting>
  <conditionalFormatting sqref="U284:V306 J310:K315 J284:K306 U308:V308 E308 J308:K308 U310:V315 E310:E315 E284:E306">
    <cfRule type="expression" dxfId="194" priority="13" stopIfTrue="1">
      <formula>$A284="Pipe"</formula>
    </cfRule>
    <cfRule type="expression" dxfId="193" priority="14" stopIfTrue="1">
      <formula>OR($A284="Junction",$A284="Mtrvlv",$A284="Pump",$A284="Chkvlv",$A284="Trpvlv",$A284="Srvvlv",$A284="Rlfvlv",$A284="Inrvlv",$A284="Tmdpjun")</formula>
    </cfRule>
    <cfRule type="expression" dxfId="192" priority="15" stopIfTrue="1">
      <formula>OR($A284="Tmdpvol",$A284="Snglvol")</formula>
    </cfRule>
  </conditionalFormatting>
  <conditionalFormatting sqref="Q284:Q306 F284:G306 Q308 F308:G308 Q310:Q315 F310:G315">
    <cfRule type="expression" dxfId="191" priority="16" stopIfTrue="1">
      <formula>$A284="Pipe"</formula>
    </cfRule>
    <cfRule type="expression" dxfId="190" priority="17" stopIfTrue="1">
      <formula>OR($A284="Junction",$A284="Mtrvlv",$A284="Pump",$A284="Chkvlv",$A284="Trpvlv",$A284="Srvvlv",$A284="Rlfvlv",$A284="Inrvlv",$A284="Tmdpjun")</formula>
    </cfRule>
    <cfRule type="expression" dxfId="189" priority="18" stopIfTrue="1">
      <formula>OR($A284="Tmdpvol",$A284="Snglvol")</formula>
    </cfRule>
  </conditionalFormatting>
  <conditionalFormatting sqref="H284:I306 H308:I308 H310:I315">
    <cfRule type="expression" dxfId="188" priority="19" stopIfTrue="1">
      <formula>$A284="Pipe"</formula>
    </cfRule>
    <cfRule type="expression" dxfId="187" priority="20" stopIfTrue="1">
      <formula>OR($A284="Junction",$A284="Mtrvlv",$A284="Pump",$A284="Chkvlv",$A284="Trpvlv",$A284="Srvvlv",$A284="Rlfvlv",$A284="Inrvlv",$A284="Tmdpjun")</formula>
    </cfRule>
    <cfRule type="expression" dxfId="186" priority="21" stopIfTrue="1">
      <formula>OR($A284="Tmdpvol",$A284="Snglvol")</formula>
    </cfRule>
  </conditionalFormatting>
  <conditionalFormatting sqref="M284:P306 M308:P308 M310:P315">
    <cfRule type="expression" dxfId="185" priority="22" stopIfTrue="1">
      <formula>$A284="Pipe"</formula>
    </cfRule>
    <cfRule type="expression" dxfId="184" priority="23" stopIfTrue="1">
      <formula>OR($A284="Junction",$A284="Mtrvlv",$A284="Pump",$A284="Chkvlv",$A284="Trpvlv",$A284="Srvvlv",$A284="Rlfvlv",$A284="Inrvlv",$A284="Tmdpjun")</formula>
    </cfRule>
    <cfRule type="expression" dxfId="183" priority="24" stopIfTrue="1">
      <formula>OR($A284="Tmdpvol",$A284="Snglvol")</formula>
    </cfRule>
  </conditionalFormatting>
  <conditionalFormatting sqref="R284:R306 R308 R310:R315">
    <cfRule type="expression" dxfId="182" priority="25" stopIfTrue="1">
      <formula>$A284="Pump"</formula>
    </cfRule>
    <cfRule type="expression" dxfId="181" priority="26" stopIfTrue="1">
      <formula>OR($A284="Junction",$A284="Mtrvlv",$A284="Pipe",$A284="Chkvlv",$A284="Trpvlv",$A284="Srvvlv",$A284="Rlfvlv",$A284="Inrvlv",$A284="Tmdpjun")</formula>
    </cfRule>
    <cfRule type="expression" dxfId="180" priority="27" stopIfTrue="1">
      <formula>OR($A284="Tmdpvol",$A284="Snglvol")</formula>
    </cfRule>
  </conditionalFormatting>
  <conditionalFormatting sqref="S284:S306 S308 S310:S315">
    <cfRule type="expression" dxfId="179" priority="28" stopIfTrue="1">
      <formula>$A284="Pump"</formula>
    </cfRule>
    <cfRule type="expression" dxfId="178" priority="29" stopIfTrue="1">
      <formula>OR($A284="Junction",$A284="Mtrvlv",$A284="Pipe",$A284="Chkvlv",$A284="Trpvlv",$A284="Srvvlv",$A284="Rlfvlv",$A284="Inrvlv",$A284="Tmdpjun")</formula>
    </cfRule>
    <cfRule type="expression" dxfId="177" priority="30" stopIfTrue="1">
      <formula>OR($A284="Tmdpvol",$A284="Snglvol")</formula>
    </cfRule>
  </conditionalFormatting>
  <conditionalFormatting sqref="T284:T306 T308 T310:T315">
    <cfRule type="expression" dxfId="176" priority="31" stopIfTrue="1">
      <formula>OR($A284="Pump",$A284="Mtrvlv",$A284="Chkvlv",$A284="Trpvlv",$A284="Srvvlv",$A284="Rlfvlv",$A284="Inrvlv",$A284="Tmdpjun")</formula>
    </cfRule>
    <cfRule type="expression" dxfId="175" priority="32" stopIfTrue="1">
      <formula>OR($A284="Junction",$A284="Pipe")</formula>
    </cfRule>
    <cfRule type="expression" dxfId="174"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270</v>
      </c>
    </row>
    <row r="2" spans="1:4" ht="15" x14ac:dyDescent="0.25">
      <c r="A2" s="98" t="s">
        <v>271</v>
      </c>
    </row>
    <row r="4" spans="1:4" ht="15.75" thickBot="1" x14ac:dyDescent="0.3">
      <c r="A4" s="99" t="s">
        <v>272</v>
      </c>
      <c r="B4" s="99" t="s">
        <v>273</v>
      </c>
      <c r="C4" s="99" t="s">
        <v>282</v>
      </c>
      <c r="D4" s="99" t="s">
        <v>283</v>
      </c>
    </row>
    <row r="5" spans="1:4" ht="15.75" thickTop="1" x14ac:dyDescent="0.25">
      <c r="A5" s="100">
        <f>ROW()-ROW($A$4)</f>
        <v>1</v>
      </c>
      <c r="B5" s="100" t="s">
        <v>274</v>
      </c>
      <c r="C5" s="100">
        <v>-1</v>
      </c>
      <c r="D5" s="100"/>
    </row>
    <row r="6" spans="1:4" ht="15" x14ac:dyDescent="0.25">
      <c r="A6" s="101">
        <f t="shared" ref="A6:A28" si="0">ROW()-ROW($A$4)</f>
        <v>2</v>
      </c>
      <c r="B6" s="101" t="s">
        <v>275</v>
      </c>
      <c r="C6" s="101">
        <v>-1</v>
      </c>
      <c r="D6" s="101"/>
    </row>
    <row r="7" spans="1:4" ht="15" x14ac:dyDescent="0.25">
      <c r="A7" s="100">
        <f t="shared" si="0"/>
        <v>3</v>
      </c>
      <c r="B7" s="100" t="s">
        <v>276</v>
      </c>
      <c r="C7" s="100">
        <v>-1</v>
      </c>
      <c r="D7" s="100"/>
    </row>
    <row r="8" spans="1:4" ht="15" x14ac:dyDescent="0.25">
      <c r="A8" s="101">
        <f t="shared" si="0"/>
        <v>4</v>
      </c>
      <c r="B8" s="101" t="s">
        <v>277</v>
      </c>
      <c r="C8" s="101">
        <v>-1</v>
      </c>
      <c r="D8" s="101"/>
    </row>
    <row r="9" spans="1:4" ht="15" x14ac:dyDescent="0.25">
      <c r="A9" s="100">
        <f t="shared" si="0"/>
        <v>5</v>
      </c>
      <c r="B9" s="100" t="s">
        <v>278</v>
      </c>
      <c r="C9" s="100">
        <v>-1</v>
      </c>
      <c r="D9" s="100"/>
    </row>
    <row r="10" spans="1:4" ht="15" x14ac:dyDescent="0.25">
      <c r="A10" s="101">
        <f t="shared" si="0"/>
        <v>6</v>
      </c>
      <c r="B10" s="101" t="s">
        <v>284</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BDAHSG-01-SteadyState</vt:lpstr>
      <vt:lpstr>runMatrix</vt:lpstr>
      <vt:lpstr>Modellöversikt</vt:lpstr>
      <vt:lpstr>Info</vt:lpstr>
      <vt:lpstr>Tools</vt:lpstr>
      <vt:lpstr>'BDAHSG-01-SteadyState'!CurrentFilename</vt:lpstr>
      <vt:lpstr>'BDAHSG-01-SteadyState'!CurrentIndex</vt:lpstr>
      <vt:lpstr>'BDAHSG-01-SteadyState'!dx</vt:lpstr>
      <vt:lpstr>'BDAHSG-01-SteadyState'!roughness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2019-09-09T07:11:36Z</dcterms:modified>
</cp:coreProperties>
</file>