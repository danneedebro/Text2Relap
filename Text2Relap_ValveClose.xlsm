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DERO_local\Beräkningar\TestName\"/>
    </mc:Choice>
  </mc:AlternateContent>
  <xr:revisionPtr revIDLastSave="0" documentId="13_ncr:1_{5203E423-4863-4F6A-80FF-5AB7B4E38FEB}" xr6:coauthVersionLast="36" xr6:coauthVersionMax="36" xr10:uidLastSave="{00000000-0000-0000-0000-000000000000}"/>
  <bookViews>
    <workbookView xWindow="0" yWindow="0" windowWidth="28800" windowHeight="11895" xr2:uid="{00000000-000D-0000-FFFF-FFFF00000000}"/>
  </bookViews>
  <sheets>
    <sheet name="ValveClose" sheetId="15" r:id="rId1"/>
    <sheet name="runMatrix" sheetId="2" r:id="rId2"/>
    <sheet name="Model overview" sheetId="13" r:id="rId3"/>
    <sheet name="Info" sheetId="4" r:id="rId4"/>
    <sheet name="Tools" sheetId="5" r:id="rId5"/>
  </sheets>
  <functionGroups builtInGroupCount="19"/>
  <definedNames>
    <definedName name="CurrentFilename" localSheetId="0">ValveClose!$B$4</definedName>
    <definedName name="CurrentIndex" localSheetId="0">ValveClose!$B$2</definedName>
    <definedName name="dx" localSheetId="0">ValveClose!$B$10</definedName>
    <definedName name="roughness" localSheetId="0">ValveClose!$B$9</definedName>
    <definedName name="TestMatrix">runMatrix!$B$7:$DB$19</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runMatrix!$F$7:$DB$19</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70" i="15" l="1"/>
  <c r="L74" i="15" s="1"/>
  <c r="L75" i="15" s="1"/>
  <c r="L47" i="15"/>
  <c r="L48" i="15" s="1"/>
  <c r="L49" i="15" s="1"/>
  <c r="L53" i="15" s="1"/>
  <c r="L54" i="15" s="1"/>
  <c r="L55" i="15" s="1"/>
  <c r="L56" i="15" s="1"/>
  <c r="B77" i="15" l="1"/>
  <c r="Q75" i="15"/>
  <c r="E75" i="15"/>
  <c r="D75" i="15"/>
  <c r="B75" i="15"/>
  <c r="M77" i="15" s="1"/>
  <c r="Q74" i="15"/>
  <c r="E74" i="15"/>
  <c r="D74" i="15"/>
  <c r="B74" i="15"/>
  <c r="N72" i="15" s="1"/>
  <c r="E72" i="15"/>
  <c r="B72" i="15"/>
  <c r="Q70" i="15"/>
  <c r="E70" i="15"/>
  <c r="D70" i="15"/>
  <c r="B70" i="15"/>
  <c r="M72" i="15" s="1"/>
  <c r="Q69" i="15"/>
  <c r="E69" i="15"/>
  <c r="D69" i="15"/>
  <c r="B69" i="15"/>
  <c r="N67" i="15" s="1"/>
  <c r="B67" i="15"/>
  <c r="B60" i="15"/>
  <c r="N58" i="15"/>
  <c r="B58" i="15"/>
  <c r="Q56" i="15"/>
  <c r="E56" i="15"/>
  <c r="D56" i="15"/>
  <c r="B56" i="15"/>
  <c r="M58" i="15" s="1"/>
  <c r="Q55" i="15"/>
  <c r="E55" i="15"/>
  <c r="D55" i="15"/>
  <c r="B55" i="15"/>
  <c r="Q54" i="15"/>
  <c r="E54" i="15"/>
  <c r="D54" i="15"/>
  <c r="B54" i="15"/>
  <c r="N77" i="15" s="1"/>
  <c r="Q53" i="15"/>
  <c r="E53" i="15"/>
  <c r="D53" i="15"/>
  <c r="B53" i="15"/>
  <c r="N51" i="15" s="1"/>
  <c r="E51" i="15"/>
  <c r="B51" i="15"/>
  <c r="Q49" i="15"/>
  <c r="E49" i="15"/>
  <c r="D49" i="15"/>
  <c r="B49" i="15"/>
  <c r="M51" i="15" s="1"/>
  <c r="Q48" i="15"/>
  <c r="E48" i="15"/>
  <c r="D48" i="15"/>
  <c r="B48" i="15"/>
  <c r="M67" i="15" s="1"/>
  <c r="Q47" i="15"/>
  <c r="E47" i="15"/>
  <c r="D47" i="15"/>
  <c r="B47" i="15"/>
  <c r="Q46" i="15"/>
  <c r="E46" i="15"/>
  <c r="D46" i="15"/>
  <c r="B46" i="15"/>
  <c r="N44" i="15"/>
  <c r="B44" i="15"/>
  <c r="B42" i="15"/>
  <c r="M44" i="15" s="1"/>
  <c r="B35" i="15"/>
  <c r="R60" i="15" s="1"/>
  <c r="B34" i="15"/>
  <c r="Q42" i="15" s="1"/>
  <c r="B27" i="15"/>
  <c r="A31" i="15" s="1"/>
  <c r="T51" i="15"/>
  <c r="B66" i="15" l="1"/>
  <c r="B41" i="15"/>
  <c r="Q60" i="15"/>
  <c r="R42" i="15"/>
  <c r="C66" i="15"/>
  <c r="C41" i="15"/>
  <c r="E8" i="2" l="1"/>
  <c r="D8" i="2"/>
  <c r="A8" i="2"/>
  <c r="D22" i="15" l="1"/>
  <c r="C22" i="15"/>
  <c r="B22" i="15"/>
  <c r="A22" i="15" s="1"/>
  <c r="D21" i="15"/>
  <c r="C21" i="15"/>
  <c r="B21" i="15"/>
  <c r="A21" i="15" s="1"/>
  <c r="D20" i="15"/>
  <c r="C20" i="15"/>
  <c r="B20" i="15"/>
  <c r="A20" i="15" s="1"/>
  <c r="D19" i="15"/>
  <c r="C19" i="15"/>
  <c r="B19" i="15"/>
  <c r="A19" i="15" s="1"/>
  <c r="D18" i="15"/>
  <c r="C18" i="15"/>
  <c r="B18" i="15"/>
  <c r="A18" i="15" s="1"/>
  <c r="F8" i="15"/>
  <c r="B6" i="15"/>
  <c r="B5" i="15"/>
  <c r="G2" i="15"/>
  <c r="E2" i="15"/>
  <c r="E10" i="2" l="1"/>
  <c r="D10" i="2"/>
  <c r="A10" i="2"/>
  <c r="E9" i="2" l="1"/>
  <c r="D9" i="2"/>
  <c r="A9" i="2"/>
  <c r="E7" i="2"/>
  <c r="D7" i="2"/>
  <c r="A7" i="2"/>
  <c r="B4" i="15" l="1"/>
  <c r="E4" i="15" s="1"/>
  <c r="C4" i="2"/>
  <c r="B310" i="4" l="1"/>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9" i="2"/>
  <c r="D19" i="2"/>
  <c r="A19" i="2"/>
  <c r="E18" i="2"/>
  <c r="D18" i="2"/>
  <c r="A18" i="2"/>
  <c r="E17" i="2"/>
  <c r="D17" i="2"/>
  <c r="A17" i="2"/>
  <c r="E16" i="2"/>
  <c r="D16" i="2"/>
  <c r="A16" i="2"/>
  <c r="E15" i="2"/>
  <c r="D15" i="2"/>
  <c r="A15" i="2"/>
  <c r="E14" i="2"/>
  <c r="D14" i="2"/>
  <c r="A14" i="2"/>
  <c r="E13" i="2"/>
  <c r="D13" i="2"/>
  <c r="A13" i="2"/>
  <c r="E12" i="2"/>
  <c r="D12" i="2"/>
  <c r="A12" i="2"/>
  <c r="E11" i="2"/>
  <c r="D11" i="2"/>
  <c r="A11"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FBBE5207-0E59-4A78-9284-989CE3019C4B}">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<sst xmlns="http://schemas.openxmlformats.org/spreadsheetml/2006/main" count="1080" uniqueCount="371">
  <si>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</si>
  <si>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</si>
  <si>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</si>
  <si>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</si>
  <si>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</si>
  <si>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</si>
  <si>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</si>
  <si>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</si>
  <si>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</si>
  <si>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</si>
  <si>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</si>
  <si>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</si>
  <si>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</si>
  <si>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</si>
  <si>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</si>
  <si>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</si>
  <si>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</si>
  <si>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</si>
  <si>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</si>
  <si>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</si>
  <si>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</si>
  <si>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</si>
  <si>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</si>
  <si>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</si>
  <si>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</si>
  <si>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</si>
  <si>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</si>
  <si>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</si>
  <si>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</si>
  <si>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</si>
  <si>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</si>
  <si>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</si>
  <si>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</si>
  <si>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</si>
  <si>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</si>
  <si>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</si>
  <si>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</si>
  <si>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</si>
  <si>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</si>
  <si>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</si>
  <si>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</si>
  <si>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</si>
  <si>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</si>
  <si>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</si>
  <si>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</si>
  <si>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</si>
  <si>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</si>
  <si>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</si>
  <si>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</si>
  <si>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</si>
  <si>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</si>
  <si>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</si>
  <si>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</si>
  <si>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</si>
  <si>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</si>
  <si>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</si>
  <si>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</si>
  <si>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</si>
  <si>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</si>
  <si>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</si>
  <si>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</si>
  <si>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</si>
  <si>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</si>
  <si>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</si>
  <si>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</si>
  <si>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</si>
  <si>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</si>
  <si>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</si>
  <si>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</si>
  <si>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</si>
  <si>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</si>
  <si>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</si>
  <si>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</si>
  <si>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</si>
  <si>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</si>
  <si>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</si>
  <si>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</si>
  <si>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</si>
  <si>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</si>
  <si>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</si>
  <si>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</si>
  <si>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</si>
  <si>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</si>
  <si>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</si>
  <si>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</si>
  <si>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</si>
  <si>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</si>
  <si>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</si>
  <si>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</si>
  <si>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</si>
  <si>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</si>
  <si>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</si>
  <si>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</si>
  <si>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</si>
  <si>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</si>
  <si>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</si>
  <si>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</si>
  <si>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</si>
  <si>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</si>
  <si>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</si>
  <si>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</si>
  <si>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</si>
  <si>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</si>
  <si>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</si>
  <si>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</si>
  <si>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</si>
  <si>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</si>
  <si>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</si>
  <si>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</si>
  <si>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</si>
  <si>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</si>
  <si>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</si>
  <si>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</si>
  <si>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</si>
  <si>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</si>
  <si>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</si>
  <si>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</si>
  <si>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</si>
  <si>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</si>
  <si>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</si>
  <si>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</si>
  <si>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</si>
  <si>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</si>
  <si>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</si>
  <si>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</si>
  <si>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</si>
  <si>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</si>
  <si>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</si>
  <si>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</si>
  <si>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</si>
  <si>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</si>
  <si>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</si>
  <si>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</si>
  <si>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</si>
  <si>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</si>
  <si>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</si>
  <si>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</si>
  <si>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</si>
  <si>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</si>
  <si>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</si>
  <si>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</si>
  <si>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</si>
  <si>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</si>
  <si>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</si>
  <si>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</si>
  <si>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</si>
  <si>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</si>
  <si>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</si>
  <si>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</si>
  <si>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</si>
  <si>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</si>
  <si>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</si>
  <si>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</si>
  <si>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</si>
  <si>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</si>
  <si>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</si>
  <si>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</si>
  <si>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</si>
  <si>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</si>
  <si>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</si>
  <si>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</si>
  <si>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</si>
  <si>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</si>
  <si>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</si>
  <si>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</si>
  <si>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</si>
  <si>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</si>
  <si>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</si>
  <si>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</si>
  <si>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</si>
  <si>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</si>
  <si>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</si>
  <si>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</si>
  <si>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</si>
  <si>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</si>
  <si>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</si>
  <si>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</si>
  <si>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</si>
  <si>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</si>
  <si>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</si>
  <si>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</si>
  <si>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</si>
  <si>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</si>
  <si>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</si>
  <si>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</si>
  <si>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</si>
  <si>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</si>
  <si>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</si>
  <si>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</si>
  <si>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</si>
  <si>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</si>
  <si>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</si>
  <si>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</si>
  <si>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</si>
  <si>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</si>
  <si>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</si>
  <si>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</si>
  <si>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</si>
  <si>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</si>
  <si>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</si>
  <si>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</si>
  <si>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</si>
  <si>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</si>
  <si>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</si>
  <si>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</si>
  <si>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</si>
  <si>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</si>
  <si>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</si>
  <si>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</si>
  <si>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</si>
  <si>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</si>
  <si>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</si>
  <si>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</si>
  <si>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</si>
  <si>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</si>
  <si>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</si>
  <si>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</si>
  <si>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</si>
  <si>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</si>
  <si>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</si>
  <si>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</si>
  <si>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</si>
  <si>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</si>
  <si>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</si>
  <si>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</si>
  <si>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</si>
  <si>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</si>
  <si>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</si>
  <si>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</si>
  <si>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</si>
  <si>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</si>
  <si>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</si>
  <si>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</si>
  <si>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</si>
  <si>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</si>
  <si>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</si>
  <si>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</si>
  <si>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</si>
  <si>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</si>
  <si>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</si>
  <si>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</si>
  <si>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</si>
  <si>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</si>
  <si>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</si>
  <si>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</si>
  <si>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</si>
  <si>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</si>
  <si>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</si>
  <si>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</si>
  <si>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</si>
  <si>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</si>
  <si>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</si>
  <si>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</si>
  <si>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</si>
  <si>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</si>
  <si>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</si>
  <si>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</si>
  <si>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</si>
  <si>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</si>
  <si>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</si>
  <si>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</si>
  <si>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</si>
  <si>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</si>
  <si>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</si>
  <si>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</si>
  <si>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</si>
  <si>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</si>
  <si>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</si>
  <si>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</si>
  <si>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</si>
  <si>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</si>
  <si>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mflowj</t>
  </si>
  <si>
    <t>p</t>
  </si>
  <si>
    <t>vlvstem</t>
  </si>
  <si>
    <t>pmpvel</t>
  </si>
  <si>
    <t>Case2</t>
  </si>
  <si>
    <t>Replacements</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</si>
  <si>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</si>
  <si>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</si>
  <si>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</si>
  <si>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</si>
  <si>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</si>
  <si>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</si>
  <si>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</si>
  <si>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</si>
  <si>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</si>
  <si>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</si>
  <si>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</si>
  <si>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</si>
  <si>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</si>
  <si>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</si>
  <si>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</si>
  <si>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</si>
  <si>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</si>
  <si>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</si>
  <si>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</si>
  <si>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</si>
  <si>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</si>
  <si>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</si>
  <si>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</si>
  <si>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</si>
  <si>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</si>
  <si>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</si>
  <si>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</si>
  <si>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</si>
  <si>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</si>
  <si>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</si>
  <si>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</si>
  <si>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</si>
  <si>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</si>
  <si>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</si>
  <si>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</si>
  <si>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</si>
  <si>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</si>
  <si>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</si>
  <si>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</si>
  <si>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</si>
  <si>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</si>
  <si>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</si>
  <si>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</si>
  <si>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dt4</t>
  </si>
  <si>
    <t>dt5</t>
  </si>
  <si>
    <t>t1</t>
  </si>
  <si>
    <t>pf1</t>
  </si>
  <si>
    <t>t2</t>
  </si>
  <si>
    <t>pf2</t>
  </si>
  <si>
    <t>t3</t>
  </si>
  <si>
    <t>pf3</t>
  </si>
  <si>
    <t>t4</t>
  </si>
  <si>
    <t>pf4</t>
  </si>
  <si>
    <t>t5</t>
  </si>
  <si>
    <t>pf5</t>
  </si>
  <si>
    <t>Text2Relap (ver 2.0.X)</t>
  </si>
  <si>
    <t>Group</t>
  </si>
  <si>
    <t>Channels</t>
  </si>
  <si>
    <t>time-0</t>
  </si>
  <si>
    <t>Time (s)</t>
  </si>
  <si>
    <t>LabelDefault</t>
  </si>
  <si>
    <t>mflowj-</t>
  </si>
  <si>
    <t>Mass flow (kg/s)</t>
  </si>
  <si>
    <t>p-</t>
  </si>
  <si>
    <t>Pressure (Pa)</t>
  </si>
  <si>
    <t>temp</t>
  </si>
  <si>
    <t>Temperature (K)</t>
  </si>
  <si>
    <t>void</t>
  </si>
  <si>
    <t>Void fraction (-)</t>
  </si>
  <si>
    <t>Flowpath</t>
  </si>
  <si>
    <t>100-106</t>
  </si>
  <si>
    <t>121-125</t>
  </si>
  <si>
    <t>forces</t>
  </si>
  <si>
    <t>Forces</t>
  </si>
  <si>
    <t>Pump velocity</t>
  </si>
  <si>
    <t>Valve opening</t>
  </si>
  <si>
    <t>Pressure</t>
  </si>
  <si>
    <t>Mass flow</t>
  </si>
  <si>
    <t>Valve 1:</t>
  </si>
  <si>
    <t>Close time =</t>
  </si>
  <si>
    <t>s</t>
  </si>
  <si>
    <t>Fluid conditions</t>
  </si>
  <si>
    <t>P =</t>
  </si>
  <si>
    <t>bar a</t>
  </si>
  <si>
    <t>T =</t>
  </si>
  <si>
    <t>* Flowpath 1: From T1 to T2</t>
  </si>
  <si>
    <t>junction</t>
  </si>
  <si>
    <t>* Flowpath 2: Valve bypass via V2</t>
  </si>
  <si>
    <t>Case 1 - Valve closes in 1 s at P=10 bara</t>
  </si>
  <si>
    <t>Case 1 - Valve closes in 0.5 s at P=10 bara</t>
  </si>
  <si>
    <t>V1_dt</t>
  </si>
  <si>
    <t>P0</t>
  </si>
  <si>
    <t>T0</t>
  </si>
  <si>
    <t>Vlvstem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</si>
</sst>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0"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9"/>
      <color indexed="81"/>
      <name val="Tahoma"/>
      <family val="2"/>
    </font>
    <font>
      <u/>
      <sz val="14"/>
      <color indexed="12"/>
      <name val="Courier New"/>
      <family val="3"/>
    </font>
    <font>
      <sz val="20"/>
      <name val="Courier New"/>
      <family val="3"/>
    </font>
    <font>
      <b/>
      <sz val="9"/>
      <name val="Arial"/>
      <family val="2"/>
    </font>
    <font>
      <sz val="8"/>
      <color rgb="FF000000"/>
      <name val="Arial"/>
      <family val="2"/>
    </font>
    <font>
      <sz val="10"/>
      <color theme="0"/>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8">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28">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7" fillId="0" borderId="0" xfId="30" applyAlignment="1" applyProtection="1"/>
    <xf numFmtId="0" fontId="20" fillId="0" borderId="0" xfId="0" applyFont="1" applyAlignment="1"/>
    <xf numFmtId="1" fontId="45"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0" fontId="8" fillId="7" borderId="2" xfId="31" applyAlignment="1">
      <alignment horizontal="left" vertical="top" wrapText="1"/>
    </xf>
    <xf numFmtId="0" fontId="17" fillId="17" borderId="9" xfId="41" applyAlignment="1">
      <alignment horizontal="left"/>
    </xf>
    <xf numFmtId="0" fontId="46" fillId="0" borderId="0" xfId="0" applyFont="1" applyAlignment="1">
      <alignment horizontal="left"/>
    </xf>
    <xf numFmtId="0" fontId="20" fillId="0" borderId="0" xfId="0" quotePrefix="1" applyFont="1"/>
    <xf numFmtId="169" fontId="20" fillId="0" borderId="0" xfId="0" applyNumberFormat="1" applyFont="1"/>
    <xf numFmtId="0" fontId="46"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4" xfId="31" applyBorder="1" applyAlignment="1">
      <alignment horizontal="center"/>
    </xf>
    <xf numFmtId="11" fontId="8" fillId="7" borderId="14" xfId="31" applyNumberFormat="1" applyBorder="1" applyAlignment="1">
      <alignment horizontal="center"/>
    </xf>
    <xf numFmtId="0" fontId="32" fillId="25" borderId="16" xfId="0" applyFont="1" applyFill="1" applyBorder="1" applyAlignment="1">
      <alignment horizontal="center"/>
    </xf>
    <xf numFmtId="0" fontId="32" fillId="25" borderId="17" xfId="0" applyFont="1" applyFill="1" applyBorder="1" applyAlignment="1">
      <alignment horizontal="center"/>
    </xf>
    <xf numFmtId="0" fontId="47" fillId="25" borderId="15" xfId="0" applyFont="1" applyFill="1" applyBorder="1" applyAlignment="1">
      <alignment horizontal="center"/>
    </xf>
    <xf numFmtId="0" fontId="28" fillId="0" borderId="0" xfId="0" applyFont="1"/>
    <xf numFmtId="170" fontId="20" fillId="0" borderId="0" xfId="0" applyNumberFormat="1" applyFont="1"/>
    <xf numFmtId="0" fontId="28" fillId="26" borderId="0" xfId="43" applyFill="1"/>
    <xf numFmtId="0" fontId="28" fillId="26" borderId="0" xfId="43" applyFill="1" applyAlignment="1">
      <alignment horizontal="right"/>
    </xf>
    <xf numFmtId="166" fontId="49" fillId="0" borderId="0" xfId="0" applyNumberFormat="1" applyFont="1"/>
    <xf numFmtId="0" fontId="14" fillId="0" borderId="6" xfId="37"/>
    <xf numFmtId="0" fontId="28" fillId="26" borderId="0" xfId="43" applyFill="1" applyAlignment="1">
      <alignment horizontal="left"/>
    </xf>
    <xf numFmtId="0" fontId="0" fillId="0" borderId="0" xfId="0"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67">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ont>
        <color rgb="FF808080"/>
      </font>
    </dxf>
    <dxf>
      <font>
        <color rgb="FF808080"/>
      </font>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209550</xdr:colOff>
          <xdr:row>0</xdr:row>
          <xdr:rowOff>438150</xdr:rowOff>
        </xdr:from>
        <xdr:to>
          <xdr:col>19</xdr:col>
          <xdr:colOff>361950</xdr:colOff>
          <xdr:row>1</xdr:row>
          <xdr:rowOff>171450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0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"Case2\Case2.i"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419100</xdr:colOff>
          <xdr:row>0</xdr:row>
          <xdr:rowOff>447675</xdr:rowOff>
        </xdr:from>
        <xdr:to>
          <xdr:col>21</xdr:col>
          <xdr:colOff>628650</xdr:colOff>
          <xdr:row>1</xdr:row>
          <xdr:rowOff>180975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0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342900</xdr:rowOff>
        </xdr:from>
        <xdr:to>
          <xdr:col>0</xdr:col>
          <xdr:colOff>781050</xdr:colOff>
          <xdr:row>1</xdr:row>
          <xdr:rowOff>76200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0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847725</xdr:colOff>
          <xdr:row>0</xdr:row>
          <xdr:rowOff>342900</xdr:rowOff>
        </xdr:from>
        <xdr:to>
          <xdr:col>1</xdr:col>
          <xdr:colOff>552450</xdr:colOff>
          <xdr:row>1</xdr:row>
          <xdr:rowOff>76200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0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342900</xdr:rowOff>
        </xdr:from>
        <xdr:to>
          <xdr:col>2</xdr:col>
          <xdr:colOff>485775</xdr:colOff>
          <xdr:row>1</xdr:row>
          <xdr:rowOff>76200</xdr:rowOff>
        </xdr:to>
        <xdr:sp macro="" textlink="">
          <xdr:nvSpPr>
            <xdr:cNvPr id="35845" name="Button 5" hidden="1">
              <a:extLst>
                <a:ext uri="{63B3BB69-23CF-44E3-9099-C40C66FF867C}">
                  <a14:compatExt spid="_x0000_s35845"/>
                </a:ext>
                <a:ext uri="{FF2B5EF4-FFF2-40B4-BE49-F238E27FC236}">
                  <a16:creationId xmlns:a16="http://schemas.microsoft.com/office/drawing/2014/main" id="{00000000-0008-0000-0000-000005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561975</xdr:colOff>
          <xdr:row>0</xdr:row>
          <xdr:rowOff>342900</xdr:rowOff>
        </xdr:from>
        <xdr:to>
          <xdr:col>4</xdr:col>
          <xdr:colOff>95250</xdr:colOff>
          <xdr:row>1</xdr:row>
          <xdr:rowOff>76200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0000-000006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0</xdr:row>
          <xdr:rowOff>342900</xdr:rowOff>
        </xdr:from>
        <xdr:to>
          <xdr:col>5</xdr:col>
          <xdr:colOff>47625</xdr:colOff>
          <xdr:row>1</xdr:row>
          <xdr:rowOff>76200</xdr:rowOff>
        </xdr:to>
        <xdr:sp macro="" textlink="">
          <xdr:nvSpPr>
            <xdr:cNvPr id="35847" name="Button 7" hidden="1">
              <a:extLst>
                <a:ext uri="{63B3BB69-23CF-44E3-9099-C40C66FF867C}">
                  <a14:compatExt spid="_x0000_s35847"/>
                </a:ext>
                <a:ext uri="{FF2B5EF4-FFF2-40B4-BE49-F238E27FC236}">
                  <a16:creationId xmlns:a16="http://schemas.microsoft.com/office/drawing/2014/main" id="{00000000-0008-0000-00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142875</xdr:colOff>
          <xdr:row>0</xdr:row>
          <xdr:rowOff>428625</xdr:rowOff>
        </xdr:from>
        <xdr:to>
          <xdr:col>15</xdr:col>
          <xdr:colOff>228600</xdr:colOff>
          <xdr:row>1</xdr:row>
          <xdr:rowOff>161925</xdr:rowOff>
        </xdr:to>
        <xdr:sp macro="" textlink="">
          <xdr:nvSpPr>
            <xdr:cNvPr id="35848" name="Button 8" hidden="1">
              <a:extLst>
                <a:ext uri="{63B3BB69-23CF-44E3-9099-C40C66FF867C}">
                  <a14:compatExt spid="_x0000_s35848"/>
                </a:ext>
                <a:ext uri="{FF2B5EF4-FFF2-40B4-BE49-F238E27FC236}">
                  <a16:creationId xmlns:a16="http://schemas.microsoft.com/office/drawing/2014/main" id="{00000000-0008-0000-0000-000008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85725</xdr:colOff>
          <xdr:row>0</xdr:row>
          <xdr:rowOff>428625</xdr:rowOff>
        </xdr:from>
        <xdr:to>
          <xdr:col>13</xdr:col>
          <xdr:colOff>0</xdr:colOff>
          <xdr:row>1</xdr:row>
          <xdr:rowOff>161925</xdr:rowOff>
        </xdr:to>
        <xdr:sp macro="" textlink="">
          <xdr:nvSpPr>
            <xdr:cNvPr id="35849" name="Button 9" hidden="1">
              <a:extLst>
                <a:ext uri="{63B3BB69-23CF-44E3-9099-C40C66FF867C}">
                  <a14:compatExt spid="_x0000_s35849"/>
                </a:ext>
                <a:ext uri="{FF2B5EF4-FFF2-40B4-BE49-F238E27FC236}">
                  <a16:creationId xmlns:a16="http://schemas.microsoft.com/office/drawing/2014/main" id="{00000000-0008-0000-0000-000009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0</xdr:row>
          <xdr:rowOff>342900</xdr:rowOff>
        </xdr:from>
        <xdr:to>
          <xdr:col>5</xdr:col>
          <xdr:colOff>838200</xdr:colOff>
          <xdr:row>1</xdr:row>
          <xdr:rowOff>76200</xdr:rowOff>
        </xdr:to>
        <xdr:sp macro="" textlink="">
          <xdr:nvSpPr>
            <xdr:cNvPr id="35850" name="Button 10" hidden="1">
              <a:extLst>
                <a:ext uri="{63B3BB69-23CF-44E3-9099-C40C66FF867C}">
                  <a14:compatExt spid="_x0000_s35850"/>
                </a:ext>
                <a:ext uri="{FF2B5EF4-FFF2-40B4-BE49-F238E27FC236}">
                  <a16:creationId xmlns:a16="http://schemas.microsoft.com/office/drawing/2014/main" id="{00000000-0008-0000-0000-00000A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57150</xdr:colOff>
          <xdr:row>0</xdr:row>
          <xdr:rowOff>342900</xdr:rowOff>
        </xdr:from>
        <xdr:to>
          <xdr:col>6</xdr:col>
          <xdr:colOff>771525</xdr:colOff>
          <xdr:row>1</xdr:row>
          <xdr:rowOff>76200</xdr:rowOff>
        </xdr:to>
        <xdr:sp macro="" textlink="">
          <xdr:nvSpPr>
            <xdr:cNvPr id="35851" name="Button 11" hidden="1">
              <a:extLst>
                <a:ext uri="{63B3BB69-23CF-44E3-9099-C40C66FF867C}">
                  <a14:compatExt spid="_x0000_s35851"/>
                </a:ext>
                <a:ext uri="{FF2B5EF4-FFF2-40B4-BE49-F238E27FC236}">
                  <a16:creationId xmlns:a16="http://schemas.microsoft.com/office/drawing/2014/main" id="{00000000-0008-0000-0000-00000B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+TRIPLOG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352425</xdr:colOff>
          <xdr:row>0</xdr:row>
          <xdr:rowOff>400050</xdr:rowOff>
        </xdr:from>
        <xdr:to>
          <xdr:col>10</xdr:col>
          <xdr:colOff>495300</xdr:colOff>
          <xdr:row>1</xdr:row>
          <xdr:rowOff>133350</xdr:rowOff>
        </xdr:to>
        <xdr:sp macro="" textlink="">
          <xdr:nvSpPr>
            <xdr:cNvPr id="35857" name="Button 17" hidden="1">
              <a:extLst>
                <a:ext uri="{63B3BB69-23CF-44E3-9099-C40C66FF867C}">
                  <a14:compatExt spid="_x0000_s35857"/>
                </a:ext>
                <a:ext uri="{FF2B5EF4-FFF2-40B4-BE49-F238E27FC236}">
                  <a16:creationId xmlns:a16="http://schemas.microsoft.com/office/drawing/2014/main" id="{00000000-0008-0000-0000-00001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Reset 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292554</xdr:colOff>
      <xdr:row>13</xdr:row>
      <xdr:rowOff>88446</xdr:rowOff>
    </xdr:from>
    <xdr:to>
      <xdr:col>3</xdr:col>
      <xdr:colOff>63953</xdr:colOff>
      <xdr:row>15</xdr:row>
      <xdr:rowOff>44450</xdr:rowOff>
    </xdr:to>
    <xdr:cxnSp macro="">
      <xdr:nvCxnSpPr>
        <xdr:cNvPr id="130" name="Koppling: vinklad 129">
          <a:extLst>
            <a:ext uri="{FF2B5EF4-FFF2-40B4-BE49-F238E27FC236}">
              <a16:creationId xmlns:a16="http://schemas.microsoft.com/office/drawing/2014/main" id="{00000000-0008-0000-0200-000082000000}"/>
            </a:ext>
          </a:extLst>
        </xdr:cNvPr>
        <xdr:cNvCxnSpPr>
          <a:stCxn id="147" idx="2"/>
          <a:endCxn id="129" idx="1"/>
        </xdr:cNvCxnSpPr>
      </xdr:nvCxnSpPr>
      <xdr:spPr>
        <a:xfrm rot="16200000" flipH="1">
          <a:off x="1261608" y="1854427"/>
          <a:ext cx="282576" cy="996042"/>
        </a:xfrm>
        <a:prstGeom prst="bentConnector2">
          <a:avLst/>
        </a:prstGeom>
        <a:ln w="19050" cap="flat" cmpd="sng" algn="ctr">
          <a:solidFill>
            <a:srgbClr val="000000"/>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89353</xdr:colOff>
      <xdr:row>15</xdr:row>
      <xdr:rowOff>36966</xdr:rowOff>
    </xdr:from>
    <xdr:to>
      <xdr:col>4</xdr:col>
      <xdr:colOff>38553</xdr:colOff>
      <xdr:row>15</xdr:row>
      <xdr:rowOff>44450</xdr:rowOff>
    </xdr:to>
    <xdr:cxnSp macro="">
      <xdr:nvCxnSpPr>
        <xdr:cNvPr id="132" name="Koppling: vinklad 131">
          <a:extLst>
            <a:ext uri="{FF2B5EF4-FFF2-40B4-BE49-F238E27FC236}">
              <a16:creationId xmlns:a16="http://schemas.microsoft.com/office/drawing/2014/main" id="{00000000-0008-0000-0200-000084000000}"/>
            </a:ext>
          </a:extLst>
        </xdr:cNvPr>
        <xdr:cNvCxnSpPr>
          <a:stCxn id="129" idx="3"/>
          <a:endCxn id="131" idx="2"/>
        </xdr:cNvCxnSpPr>
      </xdr:nvCxnSpPr>
      <xdr:spPr>
        <a:xfrm flipV="1">
          <a:off x="1926317" y="2486252"/>
          <a:ext cx="561522" cy="7484"/>
        </a:xfrm>
        <a:prstGeom prst="bentConnector3">
          <a:avLst/>
        </a:prstGeom>
        <a:ln w="19050" cap="flat" cmpd="sng" algn="ctr">
          <a:solidFill>
            <a:srgbClr val="000000"/>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292553</xdr:colOff>
      <xdr:row>15</xdr:row>
      <xdr:rowOff>36966</xdr:rowOff>
    </xdr:from>
    <xdr:to>
      <xdr:col>5</xdr:col>
      <xdr:colOff>114753</xdr:colOff>
      <xdr:row>15</xdr:row>
      <xdr:rowOff>44450</xdr:rowOff>
    </xdr:to>
    <xdr:cxnSp macro="">
      <xdr:nvCxnSpPr>
        <xdr:cNvPr id="134" name="Koppling: vinklad 133">
          <a:extLst>
            <a:ext uri="{FF2B5EF4-FFF2-40B4-BE49-F238E27FC236}">
              <a16:creationId xmlns:a16="http://schemas.microsoft.com/office/drawing/2014/main" id="{00000000-0008-0000-0200-000086000000}"/>
            </a:ext>
          </a:extLst>
        </xdr:cNvPr>
        <xdr:cNvCxnSpPr>
          <a:stCxn id="131" idx="0"/>
          <a:endCxn id="133" idx="1"/>
        </xdr:cNvCxnSpPr>
      </xdr:nvCxnSpPr>
      <xdr:spPr>
        <a:xfrm>
          <a:off x="2741839" y="2486252"/>
          <a:ext cx="434521" cy="7484"/>
        </a:xfrm>
        <a:prstGeom prst="bentConnector3">
          <a:avLst/>
        </a:prstGeom>
        <a:ln w="19050" cap="flat" cmpd="sng" algn="ctr">
          <a:solidFill>
            <a:srgbClr val="000000"/>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140153</xdr:colOff>
      <xdr:row>13</xdr:row>
      <xdr:rowOff>102052</xdr:rowOff>
    </xdr:from>
    <xdr:to>
      <xdr:col>7</xdr:col>
      <xdr:colOff>88446</xdr:colOff>
      <xdr:row>15</xdr:row>
      <xdr:rowOff>44450</xdr:rowOff>
    </xdr:to>
    <xdr:cxnSp macro="">
      <xdr:nvCxnSpPr>
        <xdr:cNvPr id="135" name="Koppling: vinklad 134">
          <a:extLst>
            <a:ext uri="{FF2B5EF4-FFF2-40B4-BE49-F238E27FC236}">
              <a16:creationId xmlns:a16="http://schemas.microsoft.com/office/drawing/2014/main" id="{00000000-0008-0000-0200-000087000000}"/>
            </a:ext>
          </a:extLst>
        </xdr:cNvPr>
        <xdr:cNvCxnSpPr>
          <a:stCxn id="133" idx="3"/>
          <a:endCxn id="151" idx="2"/>
        </xdr:cNvCxnSpPr>
      </xdr:nvCxnSpPr>
      <xdr:spPr>
        <a:xfrm flipV="1">
          <a:off x="3201760" y="2224766"/>
          <a:ext cx="1172936" cy="268970"/>
        </a:xfrm>
        <a:prstGeom prst="bentConnector2">
          <a:avLst/>
        </a:prstGeom>
        <a:ln w="19050" cap="flat" cmpd="sng" algn="ctr">
          <a:solidFill>
            <a:srgbClr val="000000"/>
          </a:solidFill>
          <a:prstDash val="solid"/>
          <a:roun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63953</xdr:colOff>
      <xdr:row>15</xdr:row>
      <xdr:rowOff>31750</xdr:rowOff>
    </xdr:from>
    <xdr:to>
      <xdr:col>3</xdr:col>
      <xdr:colOff>89353</xdr:colOff>
      <xdr:row>15</xdr:row>
      <xdr:rowOff>57150</xdr:rowOff>
    </xdr:to>
    <xdr:sp macro="" textlink="">
      <xdr:nvSpPr>
        <xdr:cNvPr id="129" name="Rektangel 128">
          <a:extLst>
            <a:ext uri="{FF2B5EF4-FFF2-40B4-BE49-F238E27FC236}">
              <a16:creationId xmlns:a16="http://schemas.microsoft.com/office/drawing/2014/main" id="{00000000-0008-0000-0200-000081000000}"/>
            </a:ext>
          </a:extLst>
        </xdr:cNvPr>
        <xdr:cNvSpPr/>
      </xdr:nvSpPr>
      <xdr:spPr>
        <a:xfrm>
          <a:off x="1900917" y="2481036"/>
          <a:ext cx="25400" cy="25400"/>
        </a:xfrm>
        <a:prstGeom prst="rect">
          <a:avLst/>
        </a:prstGeom>
        <a:solidFill>
          <a:srgbClr val="000000"/>
        </a:solidFill>
        <a:ln w="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38553</xdr:colOff>
      <xdr:row>14</xdr:row>
      <xdr:rowOff>123372</xdr:rowOff>
    </xdr:from>
    <xdr:to>
      <xdr:col>4</xdr:col>
      <xdr:colOff>292553</xdr:colOff>
      <xdr:row>15</xdr:row>
      <xdr:rowOff>113846</xdr:rowOff>
    </xdr:to>
    <xdr:sp macro="" textlink="">
      <xdr:nvSpPr>
        <xdr:cNvPr id="131" name="Flödesschema: Sammanför och sortera 130">
          <a:extLst>
            <a:ext uri="{FF2B5EF4-FFF2-40B4-BE49-F238E27FC236}">
              <a16:creationId xmlns:a16="http://schemas.microsoft.com/office/drawing/2014/main" id="{00000000-0008-0000-0200-000083000000}"/>
            </a:ext>
          </a:extLst>
        </xdr:cNvPr>
        <xdr:cNvSpPr/>
      </xdr:nvSpPr>
      <xdr:spPr>
        <a:xfrm rot="5400000">
          <a:off x="2537959" y="2359252"/>
          <a:ext cx="153760" cy="254000"/>
        </a:xfrm>
        <a:prstGeom prst="flowChartCollate">
          <a:avLst/>
        </a:prstGeom>
        <a:solidFill>
          <a:srgbClr val="FFFFFF"/>
        </a:solidFill>
        <a:ln w="190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5</xdr:col>
      <xdr:colOff>114753</xdr:colOff>
      <xdr:row>15</xdr:row>
      <xdr:rowOff>31750</xdr:rowOff>
    </xdr:from>
    <xdr:to>
      <xdr:col>5</xdr:col>
      <xdr:colOff>140153</xdr:colOff>
      <xdr:row>15</xdr:row>
      <xdr:rowOff>57150</xdr:rowOff>
    </xdr:to>
    <xdr:sp macro="" textlink="">
      <xdr:nvSpPr>
        <xdr:cNvPr id="133" name="Rektangel 132">
          <a:extLst>
            <a:ext uri="{FF2B5EF4-FFF2-40B4-BE49-F238E27FC236}">
              <a16:creationId xmlns:a16="http://schemas.microsoft.com/office/drawing/2014/main" id="{00000000-0008-0000-0200-000085000000}"/>
            </a:ext>
          </a:extLst>
        </xdr:cNvPr>
        <xdr:cNvSpPr/>
      </xdr:nvSpPr>
      <xdr:spPr>
        <a:xfrm>
          <a:off x="3176360" y="2481036"/>
          <a:ext cx="25400" cy="25400"/>
        </a:xfrm>
        <a:prstGeom prst="rect">
          <a:avLst/>
        </a:prstGeom>
        <a:solidFill>
          <a:srgbClr val="000000"/>
        </a:solidFill>
        <a:ln w="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76654</xdr:colOff>
      <xdr:row>12</xdr:row>
      <xdr:rowOff>10942</xdr:rowOff>
    </xdr:from>
    <xdr:to>
      <xdr:col>4</xdr:col>
      <xdr:colOff>47626</xdr:colOff>
      <xdr:row>15</xdr:row>
      <xdr:rowOff>31750</xdr:rowOff>
    </xdr:to>
    <xdr:cxnSp macro="">
      <xdr:nvCxnSpPr>
        <xdr:cNvPr id="136" name="Koppling: vinklad 135">
          <a:extLst>
            <a:ext uri="{FF2B5EF4-FFF2-40B4-BE49-F238E27FC236}">
              <a16:creationId xmlns:a16="http://schemas.microsoft.com/office/drawing/2014/main" id="{00000000-0008-0000-0200-000088000000}"/>
            </a:ext>
          </a:extLst>
        </xdr:cNvPr>
        <xdr:cNvCxnSpPr>
          <a:stCxn id="129" idx="0"/>
          <a:endCxn id="140" idx="2"/>
        </xdr:cNvCxnSpPr>
      </xdr:nvCxnSpPr>
      <xdr:spPr>
        <a:xfrm rot="5400000" flipH="1" flipV="1">
          <a:off x="1949932" y="1934057"/>
          <a:ext cx="510665" cy="583294"/>
        </a:xfrm>
        <a:prstGeom prst="bentConnector2">
          <a:avLst/>
        </a:prstGeom>
        <a:ln w="19050" cap="flat" cmpd="sng" algn="ctr">
          <a:solidFill>
            <a:srgbClr val="FF0000"/>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11</xdr:row>
      <xdr:rowOff>116568</xdr:rowOff>
    </xdr:from>
    <xdr:to>
      <xdr:col>4</xdr:col>
      <xdr:colOff>238125</xdr:colOff>
      <xdr:row>12</xdr:row>
      <xdr:rowOff>68602</xdr:rowOff>
    </xdr:to>
    <xdr:sp macro="" textlink="">
      <xdr:nvSpPr>
        <xdr:cNvPr id="140" name="Flödesschema: Sammanför och sortera 139">
          <a:extLst>
            <a:ext uri="{FF2B5EF4-FFF2-40B4-BE49-F238E27FC236}">
              <a16:creationId xmlns:a16="http://schemas.microsoft.com/office/drawing/2014/main" id="{00000000-0008-0000-0200-00008C000000}"/>
            </a:ext>
          </a:extLst>
        </xdr:cNvPr>
        <xdr:cNvSpPr/>
      </xdr:nvSpPr>
      <xdr:spPr>
        <a:xfrm rot="5400000">
          <a:off x="2534501" y="1875121"/>
          <a:ext cx="115320" cy="190500"/>
        </a:xfrm>
        <a:prstGeom prst="flowChartCollate">
          <a:avLst/>
        </a:prstGeom>
        <a:solidFill>
          <a:srgbClr val="FFFFFF"/>
        </a:solidFill>
        <a:ln w="19050" cap="flat" cmpd="sng" algn="ctr">
          <a:solidFill>
            <a:srgbClr val="FF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238125</xdr:colOff>
      <xdr:row>12</xdr:row>
      <xdr:rowOff>10942</xdr:rowOff>
    </xdr:from>
    <xdr:to>
      <xdr:col>5</xdr:col>
      <xdr:colOff>127453</xdr:colOff>
      <xdr:row>15</xdr:row>
      <xdr:rowOff>31750</xdr:rowOff>
    </xdr:to>
    <xdr:cxnSp macro="">
      <xdr:nvCxnSpPr>
        <xdr:cNvPr id="142" name="Koppling: vinklad 141">
          <a:extLst>
            <a:ext uri="{FF2B5EF4-FFF2-40B4-BE49-F238E27FC236}">
              <a16:creationId xmlns:a16="http://schemas.microsoft.com/office/drawing/2014/main" id="{00000000-0008-0000-0200-00008E000000}"/>
            </a:ext>
          </a:extLst>
        </xdr:cNvPr>
        <xdr:cNvCxnSpPr>
          <a:stCxn id="140" idx="0"/>
          <a:endCxn id="133" idx="0"/>
        </xdr:cNvCxnSpPr>
      </xdr:nvCxnSpPr>
      <xdr:spPr>
        <a:xfrm>
          <a:off x="2687411" y="1970371"/>
          <a:ext cx="501649" cy="510665"/>
        </a:xfrm>
        <a:prstGeom prst="bentConnector2">
          <a:avLst/>
        </a:prstGeom>
        <a:ln w="19050" cap="flat" cmpd="sng" algn="ctr">
          <a:solidFill>
            <a:srgbClr val="FF0000"/>
          </a:solidFill>
          <a:prstDash val="solid"/>
          <a:roun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34018</xdr:colOff>
      <xdr:row>9</xdr:row>
      <xdr:rowOff>61232</xdr:rowOff>
    </xdr:from>
    <xdr:to>
      <xdr:col>1</xdr:col>
      <xdr:colOff>551089</xdr:colOff>
      <xdr:row>13</xdr:row>
      <xdr:rowOff>88446</xdr:rowOff>
    </xdr:to>
    <xdr:sp macro="" textlink="">
      <xdr:nvSpPr>
        <xdr:cNvPr id="147" name="Rektangel: rundade hörn 146">
          <a:extLst>
            <a:ext uri="{FF2B5EF4-FFF2-40B4-BE49-F238E27FC236}">
              <a16:creationId xmlns:a16="http://schemas.microsoft.com/office/drawing/2014/main" id="{00000000-0008-0000-0200-000093000000}"/>
            </a:ext>
          </a:extLst>
        </xdr:cNvPr>
        <xdr:cNvSpPr/>
      </xdr:nvSpPr>
      <xdr:spPr>
        <a:xfrm>
          <a:off x="646339" y="1530803"/>
          <a:ext cx="517071" cy="680357"/>
        </a:xfrm>
        <a:prstGeom prst="roundRect">
          <a:avLst>
            <a:gd name="adj" fmla="val 27193"/>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solidFill>
                <a:sysClr val="windowText" lastClr="000000"/>
              </a:solidFill>
            </a:rPr>
            <a:t>T1</a:t>
          </a:r>
        </a:p>
      </xdr:txBody>
    </xdr:sp>
    <xdr:clientData/>
  </xdr:twoCellAnchor>
  <xdr:twoCellAnchor>
    <xdr:from>
      <xdr:col>6</xdr:col>
      <xdr:colOff>442231</xdr:colOff>
      <xdr:row>9</xdr:row>
      <xdr:rowOff>74838</xdr:rowOff>
    </xdr:from>
    <xdr:to>
      <xdr:col>7</xdr:col>
      <xdr:colOff>346981</xdr:colOff>
      <xdr:row>13</xdr:row>
      <xdr:rowOff>102052</xdr:rowOff>
    </xdr:to>
    <xdr:sp macro="" textlink="">
      <xdr:nvSpPr>
        <xdr:cNvPr id="151" name="Rektangel: rundade hörn 150">
          <a:extLst>
            <a:ext uri="{FF2B5EF4-FFF2-40B4-BE49-F238E27FC236}">
              <a16:creationId xmlns:a16="http://schemas.microsoft.com/office/drawing/2014/main" id="{00000000-0008-0000-0200-000097000000}"/>
            </a:ext>
          </a:extLst>
        </xdr:cNvPr>
        <xdr:cNvSpPr/>
      </xdr:nvSpPr>
      <xdr:spPr>
        <a:xfrm>
          <a:off x="4116160" y="1544409"/>
          <a:ext cx="517071" cy="680357"/>
        </a:xfrm>
        <a:prstGeom prst="roundRect">
          <a:avLst>
            <a:gd name="adj" fmla="val 27193"/>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solidFill>
                <a:sysClr val="windowText" lastClr="000000"/>
              </a:solidFill>
            </a:rPr>
            <a:t>T2</a:t>
          </a:r>
        </a:p>
      </xdr:txBody>
    </xdr:sp>
    <xdr:clientData/>
  </xdr:twoCellAnchor>
  <xdr:twoCellAnchor>
    <xdr:from>
      <xdr:col>3</xdr:col>
      <xdr:colOff>489857</xdr:colOff>
      <xdr:row>16</xdr:row>
      <xdr:rowOff>20410</xdr:rowOff>
    </xdr:from>
    <xdr:to>
      <xdr:col>4</xdr:col>
      <xdr:colOff>449035</xdr:colOff>
      <xdr:row>17</xdr:row>
      <xdr:rowOff>142874</xdr:rowOff>
    </xdr:to>
    <xdr:sp macro="" textlink="">
      <xdr:nvSpPr>
        <xdr:cNvPr id="156" name="textruta 155">
          <a:extLst>
            <a:ext uri="{FF2B5EF4-FFF2-40B4-BE49-F238E27FC236}">
              <a16:creationId xmlns:a16="http://schemas.microsoft.com/office/drawing/2014/main" id="{00000000-0008-0000-0200-00009C000000}"/>
            </a:ext>
          </a:extLst>
        </xdr:cNvPr>
        <xdr:cNvSpPr txBox="1"/>
      </xdr:nvSpPr>
      <xdr:spPr>
        <a:xfrm>
          <a:off x="2326821" y="2632981"/>
          <a:ext cx="57150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V1</a:t>
          </a:r>
        </a:p>
      </xdr:txBody>
    </xdr:sp>
    <xdr:clientData/>
  </xdr:twoCellAnchor>
  <xdr:twoCellAnchor>
    <xdr:from>
      <xdr:col>3</xdr:col>
      <xdr:colOff>476250</xdr:colOff>
      <xdr:row>9</xdr:row>
      <xdr:rowOff>122464</xdr:rowOff>
    </xdr:from>
    <xdr:to>
      <xdr:col>4</xdr:col>
      <xdr:colOff>435428</xdr:colOff>
      <xdr:row>11</xdr:row>
      <xdr:rowOff>81642</xdr:rowOff>
    </xdr:to>
    <xdr:sp macro="" textlink="">
      <xdr:nvSpPr>
        <xdr:cNvPr id="157" name="textruta 156">
          <a:extLst>
            <a:ext uri="{FF2B5EF4-FFF2-40B4-BE49-F238E27FC236}">
              <a16:creationId xmlns:a16="http://schemas.microsoft.com/office/drawing/2014/main" id="{00000000-0008-0000-0200-00009D000000}"/>
            </a:ext>
          </a:extLst>
        </xdr:cNvPr>
        <xdr:cNvSpPr txBox="1"/>
      </xdr:nvSpPr>
      <xdr:spPr>
        <a:xfrm>
          <a:off x="2313214" y="1592035"/>
          <a:ext cx="57150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V2</a:t>
          </a:r>
        </a:p>
      </xdr:txBody>
    </xdr:sp>
    <xdr:clientData/>
  </xdr:twoCellAnchor>
  <xdr:twoCellAnchor>
    <xdr:from>
      <xdr:col>9</xdr:col>
      <xdr:colOff>517071</xdr:colOff>
      <xdr:row>7</xdr:row>
      <xdr:rowOff>108857</xdr:rowOff>
    </xdr:from>
    <xdr:to>
      <xdr:col>10</xdr:col>
      <xdr:colOff>503465</xdr:colOff>
      <xdr:row>12</xdr:row>
      <xdr:rowOff>95250</xdr:rowOff>
    </xdr:to>
    <xdr:sp macro="" textlink="">
      <xdr:nvSpPr>
        <xdr:cNvPr id="162" name="Cylinder 161">
          <a:extLst>
            <a:ext uri="{FF2B5EF4-FFF2-40B4-BE49-F238E27FC236}">
              <a16:creationId xmlns:a16="http://schemas.microsoft.com/office/drawing/2014/main" id="{00000000-0008-0000-0200-0000A2000000}"/>
            </a:ext>
          </a:extLst>
        </xdr:cNvPr>
        <xdr:cNvSpPr/>
      </xdr:nvSpPr>
      <xdr:spPr>
        <a:xfrm>
          <a:off x="6027964" y="1251857"/>
          <a:ext cx="598715" cy="802822"/>
        </a:xfrm>
        <a:prstGeom prst="can">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solidFill>
                <a:sysClr val="windowText" lastClr="000000"/>
              </a:solidFill>
            </a:rPr>
            <a:t>T1</a:t>
          </a:r>
        </a:p>
      </xdr:txBody>
    </xdr:sp>
    <xdr:clientData/>
  </xdr:twoCellAnchor>
  <xdr:twoCellAnchor>
    <xdr:from>
      <xdr:col>9</xdr:col>
      <xdr:colOff>142875</xdr:colOff>
      <xdr:row>12</xdr:row>
      <xdr:rowOff>95250</xdr:rowOff>
    </xdr:from>
    <xdr:to>
      <xdr:col>12</xdr:col>
      <xdr:colOff>496661</xdr:colOff>
      <xdr:row>23</xdr:row>
      <xdr:rowOff>149679</xdr:rowOff>
    </xdr:to>
    <xdr:sp macro="" textlink="">
      <xdr:nvSpPr>
        <xdr:cNvPr id="163" name="Frihandsfigur: Form 162">
          <a:extLst>
            <a:ext uri="{FF2B5EF4-FFF2-40B4-BE49-F238E27FC236}">
              <a16:creationId xmlns:a16="http://schemas.microsoft.com/office/drawing/2014/main" id="{00000000-0008-0000-0200-0000A3000000}"/>
            </a:ext>
          </a:extLst>
        </xdr:cNvPr>
        <xdr:cNvSpPr/>
      </xdr:nvSpPr>
      <xdr:spPr>
        <a:xfrm>
          <a:off x="5653768" y="2054679"/>
          <a:ext cx="2190750" cy="1850571"/>
        </a:xfrm>
        <a:custGeom>
          <a:avLst/>
          <a:gdLst>
            <a:gd name="connsiteX0" fmla="*/ 680357 w 2190750"/>
            <a:gd name="connsiteY0" fmla="*/ 0 h 1850571"/>
            <a:gd name="connsiteX1" fmla="*/ 680357 w 2190750"/>
            <a:gd name="connsiteY1" fmla="*/ 353785 h 1850571"/>
            <a:gd name="connsiteX2" fmla="*/ 0 w 2190750"/>
            <a:gd name="connsiteY2" fmla="*/ 748392 h 1850571"/>
            <a:gd name="connsiteX3" fmla="*/ 2190750 w 2190750"/>
            <a:gd name="connsiteY3" fmla="*/ 748392 h 1850571"/>
            <a:gd name="connsiteX4" fmla="*/ 2190750 w 2190750"/>
            <a:gd name="connsiteY4" fmla="*/ 1102178 h 1850571"/>
            <a:gd name="connsiteX5" fmla="*/ 1367518 w 2190750"/>
            <a:gd name="connsiteY5" fmla="*/ 1850571 h 18505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190750" h="1850571">
              <a:moveTo>
                <a:pt x="680357" y="0"/>
              </a:moveTo>
              <a:lnTo>
                <a:pt x="680357" y="353785"/>
              </a:lnTo>
              <a:lnTo>
                <a:pt x="0" y="748392"/>
              </a:lnTo>
              <a:lnTo>
                <a:pt x="2190750" y="748392"/>
              </a:lnTo>
              <a:lnTo>
                <a:pt x="2190750" y="1102178"/>
              </a:lnTo>
              <a:lnTo>
                <a:pt x="1367518" y="1850571"/>
              </a:lnTo>
            </a:path>
          </a:pathLst>
        </a:cu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sv-SE" sz="1100"/>
        </a:p>
      </xdr:txBody>
    </xdr:sp>
    <xdr:clientData/>
  </xdr:twoCellAnchor>
  <xdr:twoCellAnchor>
    <xdr:from>
      <xdr:col>10</xdr:col>
      <xdr:colOff>576036</xdr:colOff>
      <xdr:row>16</xdr:row>
      <xdr:rowOff>102962</xdr:rowOff>
    </xdr:from>
    <xdr:to>
      <xdr:col>11</xdr:col>
      <xdr:colOff>217714</xdr:colOff>
      <xdr:row>17</xdr:row>
      <xdr:rowOff>93436</xdr:rowOff>
    </xdr:to>
    <xdr:sp macro="" textlink="">
      <xdr:nvSpPr>
        <xdr:cNvPr id="167" name="Flödesschema: Sammanför och sortera 166">
          <a:extLst>
            <a:ext uri="{FF2B5EF4-FFF2-40B4-BE49-F238E27FC236}">
              <a16:creationId xmlns:a16="http://schemas.microsoft.com/office/drawing/2014/main" id="{00000000-0008-0000-0200-0000A7000000}"/>
            </a:ext>
          </a:extLst>
        </xdr:cNvPr>
        <xdr:cNvSpPr/>
      </xdr:nvSpPr>
      <xdr:spPr>
        <a:xfrm rot="5400000">
          <a:off x="6749370" y="2665413"/>
          <a:ext cx="153760" cy="254000"/>
        </a:xfrm>
        <a:prstGeom prst="flowChartCollate">
          <a:avLst/>
        </a:prstGeom>
        <a:solidFill>
          <a:srgbClr val="FFFFFF"/>
        </a:solidFill>
        <a:ln w="190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10</xdr:col>
      <xdr:colOff>149679</xdr:colOff>
      <xdr:row>15</xdr:row>
      <xdr:rowOff>54428</xdr:rowOff>
    </xdr:from>
    <xdr:to>
      <xdr:col>12</xdr:col>
      <xdr:colOff>149679</xdr:colOff>
      <xdr:row>17</xdr:row>
      <xdr:rowOff>20411</xdr:rowOff>
    </xdr:to>
    <xdr:sp macro="" textlink="">
      <xdr:nvSpPr>
        <xdr:cNvPr id="169" name="Frihandsfigur: Form 168">
          <a:extLst>
            <a:ext uri="{FF2B5EF4-FFF2-40B4-BE49-F238E27FC236}">
              <a16:creationId xmlns:a16="http://schemas.microsoft.com/office/drawing/2014/main" id="{00000000-0008-0000-0200-0000A9000000}"/>
            </a:ext>
          </a:extLst>
        </xdr:cNvPr>
        <xdr:cNvSpPr/>
      </xdr:nvSpPr>
      <xdr:spPr>
        <a:xfrm>
          <a:off x="6272893" y="2503714"/>
          <a:ext cx="1224643" cy="292554"/>
        </a:xfrm>
        <a:custGeom>
          <a:avLst/>
          <a:gdLst>
            <a:gd name="connsiteX0" fmla="*/ 0 w 1224643"/>
            <a:gd name="connsiteY0" fmla="*/ 285750 h 292554"/>
            <a:gd name="connsiteX1" fmla="*/ 462643 w 1224643"/>
            <a:gd name="connsiteY1" fmla="*/ 0 h 292554"/>
            <a:gd name="connsiteX2" fmla="*/ 1224643 w 1224643"/>
            <a:gd name="connsiteY2" fmla="*/ 0 h 292554"/>
            <a:gd name="connsiteX3" fmla="*/ 884464 w 1224643"/>
            <a:gd name="connsiteY3" fmla="*/ 292554 h 292554"/>
          </a:gdLst>
          <a:ahLst/>
          <a:cxnLst>
            <a:cxn ang="0">
              <a:pos x="connsiteX0" y="connsiteY0"/>
            </a:cxn>
            <a:cxn ang="0">
              <a:pos x="connsiteX1" y="connsiteY1"/>
            </a:cxn>
            <a:cxn ang="0">
              <a:pos x="connsiteX2" y="connsiteY2"/>
            </a:cxn>
            <a:cxn ang="0">
              <a:pos x="connsiteX3" y="connsiteY3"/>
            </a:cxn>
          </a:cxnLst>
          <a:rect l="l" t="t" r="r" b="b"/>
          <a:pathLst>
            <a:path w="1224643" h="292554">
              <a:moveTo>
                <a:pt x="0" y="285750"/>
              </a:moveTo>
              <a:lnTo>
                <a:pt x="462643" y="0"/>
              </a:lnTo>
              <a:lnTo>
                <a:pt x="1224643" y="0"/>
              </a:lnTo>
              <a:lnTo>
                <a:pt x="884464" y="292554"/>
              </a:lnTo>
            </a:path>
          </a:pathLst>
        </a:cu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sv-SE" sz="1100"/>
        </a:p>
      </xdr:txBody>
    </xdr:sp>
    <xdr:clientData/>
  </xdr:twoCellAnchor>
  <xdr:twoCellAnchor>
    <xdr:from>
      <xdr:col>11</xdr:col>
      <xdr:colOff>256232</xdr:colOff>
      <xdr:row>15</xdr:row>
      <xdr:rowOff>13607</xdr:rowOff>
    </xdr:from>
    <xdr:to>
      <xdr:col>11</xdr:col>
      <xdr:colOff>421821</xdr:colOff>
      <xdr:row>15</xdr:row>
      <xdr:rowOff>113847</xdr:rowOff>
    </xdr:to>
    <xdr:sp macro="" textlink="">
      <xdr:nvSpPr>
        <xdr:cNvPr id="168" name="Flödesschema: Sammanför och sortera 167">
          <a:extLst>
            <a:ext uri="{FF2B5EF4-FFF2-40B4-BE49-F238E27FC236}">
              <a16:creationId xmlns:a16="http://schemas.microsoft.com/office/drawing/2014/main" id="{00000000-0008-0000-0200-0000A8000000}"/>
            </a:ext>
          </a:extLst>
        </xdr:cNvPr>
        <xdr:cNvSpPr/>
      </xdr:nvSpPr>
      <xdr:spPr>
        <a:xfrm rot="5400000">
          <a:off x="7024443" y="2430218"/>
          <a:ext cx="100240" cy="165589"/>
        </a:xfrm>
        <a:prstGeom prst="flowChartCollate">
          <a:avLst/>
        </a:prstGeom>
        <a:solidFill>
          <a:srgbClr val="FFFFFF"/>
        </a:solidFill>
        <a:ln w="19050" cap="flat" cmpd="sng" algn="ctr">
          <a:solidFill>
            <a:srgbClr val="FF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10</xdr:col>
      <xdr:colOff>483055</xdr:colOff>
      <xdr:row>22</xdr:row>
      <xdr:rowOff>13606</xdr:rowOff>
    </xdr:from>
    <xdr:to>
      <xdr:col>11</xdr:col>
      <xdr:colOff>469448</xdr:colOff>
      <xdr:row>27</xdr:row>
      <xdr:rowOff>0</xdr:rowOff>
    </xdr:to>
    <xdr:sp macro="" textlink="">
      <xdr:nvSpPr>
        <xdr:cNvPr id="170" name="Cylinder 169">
          <a:extLst>
            <a:ext uri="{FF2B5EF4-FFF2-40B4-BE49-F238E27FC236}">
              <a16:creationId xmlns:a16="http://schemas.microsoft.com/office/drawing/2014/main" id="{00000000-0008-0000-0200-0000AA000000}"/>
            </a:ext>
          </a:extLst>
        </xdr:cNvPr>
        <xdr:cNvSpPr/>
      </xdr:nvSpPr>
      <xdr:spPr>
        <a:xfrm>
          <a:off x="6606269" y="3605892"/>
          <a:ext cx="598715" cy="802822"/>
        </a:xfrm>
        <a:prstGeom prst="can">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solidFill>
                <a:sysClr val="windowText" lastClr="000000"/>
              </a:solidFill>
            </a:rPr>
            <a:t>T2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Create strip request file</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25A-8DDB-4AC2-9361-4901B773A943}">
  <sheetPr codeName="Blad33">
    <pageSetUpPr fitToPage="1"/>
  </sheetPr>
  <dimension ref="A1:AC224"/>
  <sheetViews>
    <sheetView tabSelected="1" zoomScale="85" zoomScaleNormal="85" workbookViewId="0">
      <pane xSplit="22" ySplit="2" topLeftCell="W10" activePane="bottomRight" state="frozenSplit"/>
      <selection pane="topRight" activeCell="M1" sqref="M1"/>
      <selection pane="bottomLeft" activeCell="A3" sqref="A3"/>
      <selection pane="bottomRight" activeCell="D30" sqref="D30"/>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289</v>
      </c>
      <c r="B1" s="2" t="s">
        <v>306</v>
      </c>
      <c r="C1" s="3" t="s">
        <v>290</v>
      </c>
      <c r="D1" s="3" t="s">
        <v>3</v>
      </c>
      <c r="E1" s="4" t="s">
        <v>4</v>
      </c>
      <c r="F1" s="5" t="s">
        <v>291</v>
      </c>
      <c r="G1" s="5" t="s">
        <v>292</v>
      </c>
      <c r="H1" s="5" t="s">
        <v>7</v>
      </c>
      <c r="I1" s="5" t="s">
        <v>8</v>
      </c>
      <c r="J1" s="1" t="s">
        <v>281</v>
      </c>
      <c r="K1" s="1" t="s">
        <v>293</v>
      </c>
      <c r="L1" s="6" t="s">
        <v>288</v>
      </c>
      <c r="M1" s="2" t="s">
        <v>294</v>
      </c>
      <c r="N1" s="2" t="s">
        <v>295</v>
      </c>
      <c r="O1" s="7" t="s">
        <v>296</v>
      </c>
      <c r="P1" s="7" t="s">
        <v>297</v>
      </c>
      <c r="Q1" s="8" t="s">
        <v>312</v>
      </c>
      <c r="R1" s="9" t="s">
        <v>298</v>
      </c>
      <c r="S1" s="9" t="s">
        <v>299</v>
      </c>
      <c r="T1" s="9" t="s">
        <v>300</v>
      </c>
      <c r="U1" s="9" t="s">
        <v>314</v>
      </c>
      <c r="V1" s="9" t="s">
        <v>315</v>
      </c>
      <c r="W1" s="9" t="s">
        <v>301</v>
      </c>
      <c r="X1" s="5" t="s">
        <v>22</v>
      </c>
      <c r="Y1" s="9" t="s">
        <v>23</v>
      </c>
      <c r="Z1" s="9"/>
      <c r="AA1" s="10"/>
    </row>
    <row r="2" spans="1:27" ht="27" customHeight="1" x14ac:dyDescent="0.3">
      <c r="A2" s="64" t="s">
        <v>266</v>
      </c>
      <c r="B2" s="59">
        <v>2</v>
      </c>
      <c r="C2" s="60"/>
      <c r="D2" s="65" t="s">
        <v>310</v>
      </c>
      <c r="E2" s="66" t="str">
        <f>INDEX(TestMatrixNames,CurrentIndex)</f>
        <v>Case2</v>
      </c>
      <c r="F2" s="94" t="s">
        <v>311</v>
      </c>
      <c r="G2" s="66" t="str">
        <f>INDEX(TestMatrixTitles,CurrentIndex)</f>
        <v>Case 1 - Valve closes in 0.5 s at P=10 bara</v>
      </c>
      <c r="H2" s="61"/>
      <c r="I2" s="61"/>
      <c r="J2" s="62"/>
      <c r="K2" s="58"/>
      <c r="L2" s="58"/>
      <c r="M2" s="59"/>
      <c r="N2" s="59"/>
      <c r="O2" s="59"/>
      <c r="P2" s="59"/>
      <c r="Q2" s="63"/>
      <c r="R2" s="60"/>
      <c r="S2" s="61"/>
      <c r="T2" s="61"/>
      <c r="U2" s="61"/>
      <c r="V2" s="61"/>
      <c r="W2" s="58"/>
      <c r="X2" s="61"/>
      <c r="Y2" s="61"/>
      <c r="Z2" s="58"/>
      <c r="AA2" s="58"/>
    </row>
    <row r="3" spans="1:27" ht="24" x14ac:dyDescent="0.4">
      <c r="A3" s="18" t="s">
        <v>332</v>
      </c>
      <c r="J3" s="16"/>
      <c r="R3" s="13"/>
    </row>
    <row r="4" spans="1:27" ht="18.75" x14ac:dyDescent="0.3">
      <c r="A4" s="38" t="s">
        <v>287</v>
      </c>
      <c r="B4" s="101" t="str">
        <f>HYPERLINK(INDEX(TestMatrixFilenames,CurrentIndex))</f>
        <v>Case2\Case2.i</v>
      </c>
      <c r="E4" s="124" t="str">
        <f>CONCATENATE("Create ","""",B4,"""")</f>
        <v>Create "Case2\Case2.i"</v>
      </c>
      <c r="R4" s="13"/>
    </row>
    <row r="5" spans="1:27" x14ac:dyDescent="0.25">
      <c r="A5" s="26" t="s">
        <v>24</v>
      </c>
      <c r="B5" s="12" t="str">
        <f>INDEX(TestMatrixNames,CurrentIndex)</f>
        <v>Case2</v>
      </c>
      <c r="G5" s="23"/>
      <c r="H5" s="23"/>
      <c r="I5" s="23"/>
      <c r="J5" s="99"/>
      <c r="K5" s="24"/>
      <c r="L5" s="24"/>
      <c r="M5" s="20"/>
      <c r="N5" s="20"/>
      <c r="O5" s="20"/>
      <c r="P5" s="20"/>
      <c r="Q5" s="25"/>
      <c r="R5" s="21"/>
      <c r="S5" s="23"/>
      <c r="T5" s="23"/>
      <c r="U5" s="23"/>
      <c r="V5" s="23"/>
      <c r="W5" s="19"/>
    </row>
    <row r="6" spans="1:27" x14ac:dyDescent="0.25">
      <c r="A6" s="26" t="s">
        <v>25</v>
      </c>
      <c r="B6" s="99" t="str">
        <f>HYPERLINK("include\")</f>
        <v>include\</v>
      </c>
      <c r="G6" s="23"/>
      <c r="H6" s="23"/>
      <c r="I6" s="23"/>
      <c r="J6" s="24"/>
      <c r="K6" s="24"/>
      <c r="L6" s="24"/>
      <c r="M6" s="20"/>
      <c r="N6" s="20"/>
      <c r="O6" s="20"/>
      <c r="P6" s="20"/>
      <c r="Q6" s="25"/>
      <c r="R6" s="21"/>
      <c r="S6" s="23"/>
      <c r="T6" s="23"/>
      <c r="U6" s="23"/>
      <c r="V6" s="23"/>
      <c r="W6" s="19"/>
    </row>
    <row r="7" spans="1:27" x14ac:dyDescent="0.25">
      <c r="A7" s="11" t="s">
        <v>307</v>
      </c>
      <c r="D7" s="13" t="s">
        <v>308</v>
      </c>
      <c r="R7" s="13"/>
      <c r="T7" s="23"/>
      <c r="U7" s="23"/>
      <c r="V7" s="23"/>
      <c r="W7" s="27"/>
    </row>
    <row r="8" spans="1:27" x14ac:dyDescent="0.25">
      <c r="A8" s="26" t="s">
        <v>27</v>
      </c>
      <c r="B8" s="12">
        <v>100</v>
      </c>
      <c r="C8" s="12">
        <v>1</v>
      </c>
      <c r="D8" s="96">
        <v>113.38</v>
      </c>
      <c r="E8" s="14" t="s">
        <v>319</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304</v>
      </c>
      <c r="G11" s="23"/>
      <c r="H11" s="23"/>
      <c r="I11" s="23"/>
      <c r="J11" s="24"/>
      <c r="K11" s="24"/>
      <c r="L11" s="24"/>
      <c r="M11" s="20"/>
      <c r="N11" s="20"/>
      <c r="O11" s="20"/>
      <c r="P11" s="20"/>
      <c r="Q11" s="25"/>
      <c r="R11" s="21"/>
      <c r="S11" s="23"/>
      <c r="T11" s="23"/>
      <c r="U11" s="23"/>
      <c r="V11" s="23"/>
    </row>
    <row r="12" spans="1:27" x14ac:dyDescent="0.25">
      <c r="A12" s="26" t="s">
        <v>31</v>
      </c>
      <c r="B12" s="12">
        <v>9999</v>
      </c>
      <c r="D12" s="13" t="s">
        <v>305</v>
      </c>
      <c r="R12" s="13"/>
      <c r="T12" s="23"/>
      <c r="U12" s="23"/>
      <c r="V12" s="23"/>
    </row>
    <row r="13" spans="1:27" x14ac:dyDescent="0.25">
      <c r="A13" s="26" t="s">
        <v>32</v>
      </c>
      <c r="B13" s="12">
        <v>0</v>
      </c>
      <c r="D13" s="13" t="s">
        <v>285</v>
      </c>
      <c r="R13" s="13"/>
      <c r="T13" s="23"/>
      <c r="U13" s="23"/>
      <c r="V13" s="23"/>
    </row>
    <row r="14" spans="1:27" x14ac:dyDescent="0.25">
      <c r="A14" s="28" t="s">
        <v>33</v>
      </c>
      <c r="B14" s="20">
        <v>2</v>
      </c>
      <c r="C14" s="21"/>
      <c r="D14" s="21" t="s">
        <v>286</v>
      </c>
      <c r="E14" s="22"/>
      <c r="F14" s="23"/>
      <c r="R14" s="13"/>
      <c r="T14" s="23"/>
      <c r="U14" s="23"/>
      <c r="V14" s="23"/>
    </row>
    <row r="15" spans="1:27" x14ac:dyDescent="0.25">
      <c r="A15" s="29" t="s">
        <v>283</v>
      </c>
      <c r="B15" s="30">
        <v>1</v>
      </c>
      <c r="C15" s="31"/>
      <c r="D15" s="31" t="s">
        <v>284</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9.9</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13</v>
      </c>
      <c r="C19" s="95">
        <f>INDEX(TestMatrixVariableValues, CurrentIndex,MATCH("dt2",TestMatrixVariableNames,0))</f>
        <v>1E-4</v>
      </c>
      <c r="D19" s="20">
        <f>INDEX(TestMatrixVariableValues, CurrentIndex,MATCH("pf2",TestMatrixVariableNames,0))</f>
        <v>5</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
      </c>
      <c r="B20" s="43">
        <f>INDEX(TestMatrixVariableValues, CurrentIndex,MATCH("t3",TestMatrixVariableNames,0))</f>
        <v>0</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R25" s="13"/>
      <c r="U25" s="36"/>
      <c r="V25" s="36"/>
    </row>
    <row r="26" spans="1:22" ht="18" thickBot="1" x14ac:dyDescent="0.35">
      <c r="A26" s="125" t="s">
        <v>355</v>
      </c>
      <c r="R26" s="13"/>
      <c r="U26" s="36"/>
      <c r="V26" s="36"/>
    </row>
    <row r="27" spans="1:22" ht="14.25" thickTop="1" x14ac:dyDescent="0.25">
      <c r="A27" s="127" t="s">
        <v>356</v>
      </c>
      <c r="B27" s="121">
        <f>INDEX(TestMatrixVariableValues, CurrentIndex,MATCH("V1_dt",TestMatrixVariableNames,0))</f>
        <v>0.5</v>
      </c>
      <c r="C27" s="13" t="s">
        <v>357</v>
      </c>
      <c r="R27" s="13"/>
      <c r="U27" s="36"/>
      <c r="V27" s="36"/>
    </row>
    <row r="28" spans="1:22" x14ac:dyDescent="0.25">
      <c r="A28">
        <v>10</v>
      </c>
      <c r="R28" s="13"/>
      <c r="U28" s="36"/>
      <c r="V28" s="36"/>
    </row>
    <row r="29" spans="1:22" x14ac:dyDescent="0.25">
      <c r="A29" t="s">
        <v>336</v>
      </c>
      <c r="B29" s="12" t="s">
        <v>370</v>
      </c>
      <c r="R29" s="13"/>
      <c r="U29" s="36"/>
      <c r="V29" s="36"/>
    </row>
    <row r="30" spans="1:22" x14ac:dyDescent="0.25">
      <c r="A30">
        <v>10</v>
      </c>
      <c r="B30" s="15">
        <v>1</v>
      </c>
      <c r="R30" s="13"/>
      <c r="U30" s="36"/>
      <c r="V30" s="36"/>
    </row>
    <row r="31" spans="1:22" x14ac:dyDescent="0.25">
      <c r="A31" s="127">
        <f>A30+B27</f>
        <v>10.5</v>
      </c>
      <c r="B31" s="15">
        <v>0</v>
      </c>
      <c r="R31" s="13"/>
      <c r="U31" s="36"/>
      <c r="V31" s="36"/>
    </row>
    <row r="32" spans="1:22" x14ac:dyDescent="0.25">
      <c r="A32" s="127"/>
      <c r="B32" s="15"/>
      <c r="R32" s="13"/>
      <c r="U32" s="36"/>
      <c r="V32" s="36"/>
    </row>
    <row r="33" spans="1:29" ht="18" thickBot="1" x14ac:dyDescent="0.35">
      <c r="A33" s="125" t="s">
        <v>358</v>
      </c>
      <c r="R33" s="13"/>
      <c r="U33" s="36"/>
      <c r="V33" s="36"/>
    </row>
    <row r="34" spans="1:29" ht="14.25" thickTop="1" x14ac:dyDescent="0.25">
      <c r="A34" s="127" t="s">
        <v>359</v>
      </c>
      <c r="B34" s="12">
        <f>INDEX(TestMatrixVariableValues, CurrentIndex,MATCH("P0",TestMatrixVariableNames,0))</f>
        <v>10</v>
      </c>
      <c r="C34" s="13" t="s">
        <v>360</v>
      </c>
      <c r="R34" s="13"/>
      <c r="U34" s="36"/>
      <c r="V34" s="36"/>
    </row>
    <row r="35" spans="1:29" x14ac:dyDescent="0.25">
      <c r="A35" s="127" t="s">
        <v>361</v>
      </c>
      <c r="B35" s="15">
        <f>INDEX(TestMatrixVariableValues, CurrentIndex,MATCH("T0",TestMatrixVariableNames,0))</f>
        <v>25</v>
      </c>
      <c r="C35" s="13" t="s">
        <v>318</v>
      </c>
      <c r="R35" s="13"/>
      <c r="U35" s="36"/>
      <c r="V35" s="36"/>
    </row>
    <row r="36" spans="1:29" x14ac:dyDescent="0.25">
      <c r="A36"/>
      <c r="B36" s="15"/>
      <c r="R36" s="13"/>
      <c r="U36" s="36"/>
      <c r="V36" s="36"/>
    </row>
    <row r="37" spans="1:29" x14ac:dyDescent="0.25">
      <c r="A37"/>
      <c r="B37" s="15"/>
      <c r="R37" s="13"/>
      <c r="U37" s="36"/>
      <c r="V37" s="36"/>
    </row>
    <row r="38" spans="1:29" s="15" customFormat="1" x14ac:dyDescent="0.25">
      <c r="A38"/>
      <c r="B38" s="12"/>
      <c r="C38" s="13"/>
      <c r="D38" s="13"/>
      <c r="E38" s="14"/>
      <c r="J38" s="11"/>
      <c r="K38" s="11"/>
      <c r="L38" s="11"/>
      <c r="M38" s="12"/>
      <c r="N38" s="12"/>
      <c r="O38" s="12"/>
      <c r="P38" s="12"/>
      <c r="Q38" s="17"/>
      <c r="R38" s="13"/>
      <c r="U38" s="36"/>
      <c r="V38" s="36"/>
      <c r="W38" s="13"/>
      <c r="Z38" s="11"/>
      <c r="AA38" s="11"/>
      <c r="AB38" s="11"/>
      <c r="AC38" s="11"/>
    </row>
    <row r="39" spans="1:29" s="15" customFormat="1" x14ac:dyDescent="0.25">
      <c r="A39" t="s">
        <v>362</v>
      </c>
      <c r="B39" s="12"/>
      <c r="C39" s="13"/>
      <c r="D39" s="13"/>
      <c r="E39" s="14"/>
      <c r="J39" s="11"/>
      <c r="K39" s="11"/>
      <c r="L39" s="11"/>
      <c r="M39" s="12"/>
      <c r="N39" s="12"/>
      <c r="O39" s="12"/>
      <c r="P39" s="12"/>
      <c r="Q39" s="17"/>
      <c r="R39" s="13"/>
      <c r="U39" s="36"/>
      <c r="V39" s="36"/>
      <c r="W39" s="13"/>
      <c r="Z39" s="11"/>
      <c r="AA39" s="11"/>
      <c r="AB39" s="11"/>
      <c r="AC39" s="11"/>
    </row>
    <row r="40" spans="1:29" s="15" customFormat="1" x14ac:dyDescent="0.25">
      <c r="A40" t="s">
        <v>35</v>
      </c>
      <c r="B40" s="12">
        <v>100</v>
      </c>
      <c r="C40" s="13"/>
      <c r="D40" s="13"/>
      <c r="E40" s="14"/>
      <c r="J40" s="11"/>
      <c r="K40" s="11"/>
      <c r="L40" s="11"/>
      <c r="M40" s="12"/>
      <c r="N40" s="12"/>
      <c r="O40" s="12"/>
      <c r="P40" s="12"/>
      <c r="Q40" s="17"/>
      <c r="R40" s="13"/>
      <c r="U40" s="36"/>
      <c r="V40" s="36"/>
      <c r="W40" s="13"/>
      <c r="Z40" s="11"/>
      <c r="AA40" s="11"/>
      <c r="AB40" s="11"/>
      <c r="AC40" s="11"/>
    </row>
    <row r="41" spans="1:29" s="15" customFormat="1" x14ac:dyDescent="0.25">
      <c r="A41" t="s">
        <v>36</v>
      </c>
      <c r="B41" s="12">
        <f>$B$34*100000</f>
        <v>1000000</v>
      </c>
      <c r="C41" s="13">
        <f>273.15+$B$35</f>
        <v>298.14999999999998</v>
      </c>
      <c r="D41" s="13"/>
      <c r="E41" s="14"/>
      <c r="J41" s="11"/>
      <c r="K41" s="11"/>
      <c r="L41" s="11"/>
      <c r="M41" s="12"/>
      <c r="N41" s="12"/>
      <c r="O41" s="12"/>
      <c r="P41" s="12"/>
      <c r="Q41" s="17"/>
      <c r="R41" s="13"/>
      <c r="U41" s="36"/>
      <c r="V41" s="36"/>
      <c r="W41" s="13"/>
      <c r="Z41" s="11"/>
      <c r="AA41" s="11"/>
      <c r="AB41" s="11"/>
      <c r="AC41" s="11"/>
    </row>
    <row r="42" spans="1:29" s="15" customFormat="1" x14ac:dyDescent="0.25">
      <c r="A42" t="s">
        <v>37</v>
      </c>
      <c r="B42" s="12" t="str">
        <f>CONCATENATE("TMDV_",ROW())</f>
        <v>TMDV_42</v>
      </c>
      <c r="C42" s="13">
        <v>1</v>
      </c>
      <c r="D42" s="13" t="s">
        <v>38</v>
      </c>
      <c r="E42" s="14">
        <v>1</v>
      </c>
      <c r="F42" s="15">
        <v>0</v>
      </c>
      <c r="G42" s="15">
        <v>0</v>
      </c>
      <c r="H42" s="15" t="s">
        <v>38</v>
      </c>
      <c r="I42" s="15" t="s">
        <v>38</v>
      </c>
      <c r="J42" s="11" t="s">
        <v>257</v>
      </c>
      <c r="K42" s="11" t="s">
        <v>38</v>
      </c>
      <c r="L42" s="11" t="s">
        <v>38</v>
      </c>
      <c r="M42" s="12" t="s">
        <v>38</v>
      </c>
      <c r="N42" s="12" t="s">
        <v>38</v>
      </c>
      <c r="O42" s="12" t="s">
        <v>38</v>
      </c>
      <c r="P42" s="12" t="s">
        <v>38</v>
      </c>
      <c r="Q42" s="12">
        <f>$B$34*100000</f>
        <v>1000000</v>
      </c>
      <c r="R42" s="13">
        <f>273.15+$B$35</f>
        <v>298.14999999999998</v>
      </c>
      <c r="S42" s="15" t="s">
        <v>38</v>
      </c>
      <c r="T42" s="15" t="s">
        <v>38</v>
      </c>
      <c r="U42" s="36" t="s">
        <v>38</v>
      </c>
      <c r="V42" s="36" t="s">
        <v>38</v>
      </c>
      <c r="W42" s="13"/>
      <c r="Z42" s="11"/>
      <c r="AA42" s="11"/>
      <c r="AB42" s="11"/>
      <c r="AC42" s="11"/>
    </row>
    <row r="43" spans="1:29" s="15" customFormat="1" x14ac:dyDescent="0.25">
      <c r="A43"/>
      <c r="B43" s="12"/>
      <c r="C43" s="13"/>
      <c r="D43" s="13"/>
      <c r="E43" s="14"/>
      <c r="J43" s="11"/>
      <c r="K43" s="11"/>
      <c r="L43" s="11"/>
      <c r="M43" s="12"/>
      <c r="N43" s="12"/>
      <c r="O43" s="12"/>
      <c r="P43" s="12"/>
      <c r="Q43" s="17"/>
      <c r="R43" s="13"/>
      <c r="U43" s="36"/>
      <c r="V43" s="36"/>
      <c r="W43" s="13"/>
      <c r="Z43" s="11"/>
      <c r="AA43" s="11"/>
      <c r="AB43" s="11"/>
      <c r="AC43" s="11"/>
    </row>
    <row r="44" spans="1:29" s="15" customFormat="1" x14ac:dyDescent="0.25">
      <c r="A44" t="s">
        <v>39</v>
      </c>
      <c r="B44" s="12" t="str">
        <f>CONCATENATE("JUNC_",ROW())</f>
        <v>JUNC_44</v>
      </c>
      <c r="C44" s="13" t="s">
        <v>38</v>
      </c>
      <c r="D44" s="13" t="s">
        <v>38</v>
      </c>
      <c r="E44" s="14">
        <v>0</v>
      </c>
      <c r="F44" s="15" t="s">
        <v>38</v>
      </c>
      <c r="G44" s="15" t="s">
        <v>38</v>
      </c>
      <c r="H44" s="15">
        <v>0</v>
      </c>
      <c r="I44" s="15">
        <v>0</v>
      </c>
      <c r="J44" s="11" t="s">
        <v>363</v>
      </c>
      <c r="K44" s="11" t="s">
        <v>38</v>
      </c>
      <c r="L44" s="11" t="s">
        <v>38</v>
      </c>
      <c r="M44" s="12" t="str">
        <f ca="1">OFFSET($A$1,ROW()-3,1)</f>
        <v>TMDV_42</v>
      </c>
      <c r="N44" s="12" t="str">
        <f ca="1">OFFSET($A$1,ROW()+1,1)</f>
        <v>PIPE_46</v>
      </c>
      <c r="O44" s="12">
        <v>2</v>
      </c>
      <c r="P44" s="12">
        <v>1</v>
      </c>
      <c r="Q44" s="17" t="s">
        <v>38</v>
      </c>
      <c r="R44" s="13" t="s">
        <v>38</v>
      </c>
      <c r="S44" s="15" t="s">
        <v>38</v>
      </c>
      <c r="T44" s="15" t="s">
        <v>38</v>
      </c>
      <c r="U44" s="36" t="s">
        <v>38</v>
      </c>
      <c r="V44" s="36" t="s">
        <v>38</v>
      </c>
      <c r="W44" s="13"/>
      <c r="Z44" s="11"/>
      <c r="AA44" s="11"/>
      <c r="AB44" s="11"/>
      <c r="AC44" s="11"/>
    </row>
    <row r="45" spans="1:29" s="15" customFormat="1" x14ac:dyDescent="0.25">
      <c r="A45"/>
      <c r="B45" s="12"/>
      <c r="C45" s="13"/>
      <c r="D45" s="13"/>
      <c r="E45" s="14"/>
      <c r="J45" s="11"/>
      <c r="K45" s="11"/>
      <c r="L45" s="11"/>
      <c r="M45" s="12"/>
      <c r="N45" s="12"/>
      <c r="O45" s="12"/>
      <c r="P45" s="12"/>
      <c r="Q45" s="17"/>
      <c r="R45" s="13"/>
      <c r="U45" s="36"/>
      <c r="V45" s="36"/>
      <c r="W45" s="13"/>
      <c r="Z45" s="11"/>
      <c r="AA45" s="11"/>
      <c r="AB45" s="11"/>
      <c r="AC45" s="11"/>
    </row>
    <row r="46" spans="1:29" s="15" customFormat="1" x14ac:dyDescent="0.25">
      <c r="A46" t="s">
        <v>41</v>
      </c>
      <c r="B46" s="12" t="str">
        <f t="shared" ref="B46:B49" si="1">CONCATENATE("PIPE_",ROW())</f>
        <v>PIPE_46</v>
      </c>
      <c r="C46" s="13">
        <v>0.5</v>
      </c>
      <c r="D46" s="13">
        <f>dx</f>
        <v>0.2</v>
      </c>
      <c r="E46" s="14">
        <f>0.1^2*PI()/4</f>
        <v>7.8539816339744835E-3</v>
      </c>
      <c r="F46" s="15">
        <v>-90</v>
      </c>
      <c r="G46" s="15">
        <v>0</v>
      </c>
      <c r="H46" s="15">
        <v>0</v>
      </c>
      <c r="I46" s="15">
        <v>0</v>
      </c>
      <c r="J46" s="11" t="s">
        <v>41</v>
      </c>
      <c r="K46" s="11" t="s">
        <v>38</v>
      </c>
      <c r="L46" s="11">
        <v>1</v>
      </c>
      <c r="M46" s="12" t="s">
        <v>38</v>
      </c>
      <c r="N46" s="12" t="s">
        <v>38</v>
      </c>
      <c r="O46" s="12" t="s">
        <v>38</v>
      </c>
      <c r="P46" s="12" t="s">
        <v>38</v>
      </c>
      <c r="Q46" s="17">
        <f>roughness</f>
        <v>4.5000000000000003E-5</v>
      </c>
      <c r="R46" s="13" t="s">
        <v>38</v>
      </c>
      <c r="S46" s="15" t="s">
        <v>38</v>
      </c>
      <c r="T46" s="15" t="s">
        <v>38</v>
      </c>
      <c r="U46" s="36" t="s">
        <v>38</v>
      </c>
      <c r="V46" s="36" t="s">
        <v>38</v>
      </c>
      <c r="W46" s="13"/>
      <c r="Z46" s="11"/>
      <c r="AA46" s="11"/>
      <c r="AB46" s="11"/>
      <c r="AC46" s="11"/>
    </row>
    <row r="47" spans="1:29" s="15" customFormat="1" x14ac:dyDescent="0.25">
      <c r="A47" t="s">
        <v>41</v>
      </c>
      <c r="B47" s="12" t="str">
        <f t="shared" si="1"/>
        <v>PIPE_47</v>
      </c>
      <c r="C47" s="13">
        <v>2</v>
      </c>
      <c r="D47" s="13">
        <f>dx</f>
        <v>0.2</v>
      </c>
      <c r="E47" s="14">
        <f>0.1^2*PI()/4</f>
        <v>7.8539816339744835E-3</v>
      </c>
      <c r="F47" s="15">
        <v>0</v>
      </c>
      <c r="G47" s="15">
        <v>0</v>
      </c>
      <c r="H47" s="15">
        <v>0</v>
      </c>
      <c r="I47" s="15">
        <v>0</v>
      </c>
      <c r="J47" s="11" t="s">
        <v>41</v>
      </c>
      <c r="K47" s="11" t="s">
        <v>38</v>
      </c>
      <c r="L47" s="11">
        <f>L46+1</f>
        <v>2</v>
      </c>
      <c r="M47" s="12" t="s">
        <v>38</v>
      </c>
      <c r="N47" s="12" t="s">
        <v>38</v>
      </c>
      <c r="O47" s="12" t="s">
        <v>38</v>
      </c>
      <c r="P47" s="12" t="s">
        <v>38</v>
      </c>
      <c r="Q47" s="17">
        <f>roughness</f>
        <v>4.5000000000000003E-5</v>
      </c>
      <c r="R47" s="13" t="s">
        <v>38</v>
      </c>
      <c r="S47" s="15" t="s">
        <v>38</v>
      </c>
      <c r="T47" s="15" t="s">
        <v>38</v>
      </c>
      <c r="U47" s="36" t="s">
        <v>38</v>
      </c>
      <c r="V47" s="36" t="s">
        <v>38</v>
      </c>
      <c r="W47" s="13"/>
      <c r="Z47" s="11"/>
      <c r="AA47" s="11"/>
      <c r="AB47" s="11"/>
      <c r="AC47" s="11"/>
    </row>
    <row r="48" spans="1:29" s="15" customFormat="1" x14ac:dyDescent="0.25">
      <c r="A48" t="s">
        <v>41</v>
      </c>
      <c r="B48" s="12" t="str">
        <f t="shared" si="1"/>
        <v>PIPE_48</v>
      </c>
      <c r="C48" s="13">
        <v>2</v>
      </c>
      <c r="D48" s="13">
        <f>dx</f>
        <v>0.2</v>
      </c>
      <c r="E48" s="14">
        <f>0.1^2*PI()/4</f>
        <v>7.8539816339744835E-3</v>
      </c>
      <c r="F48" s="15">
        <v>0</v>
      </c>
      <c r="G48" s="15">
        <v>270</v>
      </c>
      <c r="H48" s="15">
        <v>0</v>
      </c>
      <c r="I48" s="15">
        <v>0</v>
      </c>
      <c r="J48" s="11" t="s">
        <v>41</v>
      </c>
      <c r="K48" s="11" t="s">
        <v>38</v>
      </c>
      <c r="L48" s="11">
        <f>L47+1</f>
        <v>3</v>
      </c>
      <c r="M48" s="12" t="s">
        <v>38</v>
      </c>
      <c r="N48" s="12" t="s">
        <v>38</v>
      </c>
      <c r="O48" s="12" t="s">
        <v>38</v>
      </c>
      <c r="P48" s="12" t="s">
        <v>38</v>
      </c>
      <c r="Q48" s="17">
        <f>roughness</f>
        <v>4.5000000000000003E-5</v>
      </c>
      <c r="R48" s="13" t="s">
        <v>38</v>
      </c>
      <c r="S48" s="15" t="s">
        <v>38</v>
      </c>
      <c r="T48" s="15" t="s">
        <v>38</v>
      </c>
      <c r="U48" s="36" t="s">
        <v>38</v>
      </c>
      <c r="V48" s="36" t="s">
        <v>38</v>
      </c>
      <c r="W48" s="13"/>
      <c r="Z48" s="11"/>
      <c r="AA48" s="11"/>
      <c r="AB48" s="11"/>
      <c r="AC48" s="11"/>
    </row>
    <row r="49" spans="1:29" s="15" customFormat="1" x14ac:dyDescent="0.25">
      <c r="A49" s="127" t="s">
        <v>41</v>
      </c>
      <c r="B49" s="12" t="str">
        <f t="shared" si="1"/>
        <v>PIPE_49</v>
      </c>
      <c r="C49" s="13">
        <v>1</v>
      </c>
      <c r="D49" s="13">
        <f>dx</f>
        <v>0.2</v>
      </c>
      <c r="E49" s="14">
        <f>0.1^2*PI()/4</f>
        <v>7.8539816339744835E-3</v>
      </c>
      <c r="F49" s="15">
        <v>0</v>
      </c>
      <c r="G49" s="15">
        <v>270</v>
      </c>
      <c r="H49" s="15">
        <v>0</v>
      </c>
      <c r="I49" s="15">
        <v>0</v>
      </c>
      <c r="J49" s="11" t="s">
        <v>41</v>
      </c>
      <c r="K49" s="11" t="s">
        <v>38</v>
      </c>
      <c r="L49" s="11">
        <f>L48</f>
        <v>3</v>
      </c>
      <c r="M49" s="12" t="s">
        <v>38</v>
      </c>
      <c r="N49" s="12" t="s">
        <v>38</v>
      </c>
      <c r="O49" s="12" t="s">
        <v>38</v>
      </c>
      <c r="P49" s="12" t="s">
        <v>38</v>
      </c>
      <c r="Q49" s="17">
        <f>roughness</f>
        <v>4.5000000000000003E-5</v>
      </c>
      <c r="R49" s="13" t="s">
        <v>38</v>
      </c>
      <c r="S49" s="15" t="s">
        <v>38</v>
      </c>
      <c r="T49" s="15" t="s">
        <v>38</v>
      </c>
      <c r="U49" s="36" t="s">
        <v>38</v>
      </c>
      <c r="V49" s="36" t="s">
        <v>38</v>
      </c>
      <c r="W49" s="13"/>
      <c r="Z49" s="11"/>
      <c r="AA49" s="11"/>
      <c r="AB49" s="11"/>
      <c r="AC49" s="11"/>
    </row>
    <row r="50" spans="1:29" s="15" customFormat="1" x14ac:dyDescent="0.25">
      <c r="A50" s="127"/>
      <c r="B50" s="12"/>
      <c r="C50" s="13"/>
      <c r="D50" s="13"/>
      <c r="E50" s="14"/>
      <c r="J50" s="11"/>
      <c r="K50" s="11"/>
      <c r="L50" s="11"/>
      <c r="M50" s="12"/>
      <c r="N50" s="12"/>
      <c r="O50" s="12"/>
      <c r="P50" s="12"/>
      <c r="Q50" s="17"/>
      <c r="R50" s="13"/>
      <c r="U50" s="36"/>
      <c r="V50" s="36"/>
      <c r="W50" s="13"/>
      <c r="Z50" s="11"/>
      <c r="AA50" s="11"/>
      <c r="AB50" s="11"/>
      <c r="AC50" s="11"/>
    </row>
    <row r="51" spans="1:29" s="15" customFormat="1" x14ac:dyDescent="0.25">
      <c r="A51" s="127" t="s">
        <v>46</v>
      </c>
      <c r="B51" s="12" t="str">
        <f>CONCATENATE("JUNC_",ROW())</f>
        <v>JUNC_51</v>
      </c>
      <c r="C51" s="13" t="s">
        <v>38</v>
      </c>
      <c r="D51" s="13" t="s">
        <v>38</v>
      </c>
      <c r="E51" s="14">
        <f>0.1^2*PI()/4</f>
        <v>7.8539816339744835E-3</v>
      </c>
      <c r="F51" s="15" t="s">
        <v>38</v>
      </c>
      <c r="G51" s="15" t="s">
        <v>38</v>
      </c>
      <c r="H51" s="15">
        <v>0</v>
      </c>
      <c r="I51" s="15">
        <v>0</v>
      </c>
      <c r="J51" s="11" t="s">
        <v>52</v>
      </c>
      <c r="K51" s="11" t="s">
        <v>38</v>
      </c>
      <c r="L51" s="11" t="s">
        <v>38</v>
      </c>
      <c r="M51" s="12" t="str">
        <f ca="1">OFFSET($A$1,ROW()-3,1)</f>
        <v>PIPE_49</v>
      </c>
      <c r="N51" s="12" t="str">
        <f ca="1">OFFSET($A$1,ROW()+1,1)</f>
        <v>PIPE_53</v>
      </c>
      <c r="O51" s="12">
        <v>2</v>
      </c>
      <c r="P51" s="12">
        <v>1</v>
      </c>
      <c r="Q51" s="17" t="s">
        <v>38</v>
      </c>
      <c r="R51" s="13" t="s">
        <v>38</v>
      </c>
      <c r="S51" s="15" t="s">
        <v>38</v>
      </c>
      <c r="T51" s="15" t="str">
        <f>brackedExpression(A30:A31,B30:B31)</f>
        <v>[10;1.00;10.5;0.00]</v>
      </c>
      <c r="U51" s="36" t="s">
        <v>38</v>
      </c>
      <c r="V51" s="36" t="s">
        <v>38</v>
      </c>
      <c r="W51" s="13"/>
      <c r="Z51" s="11"/>
      <c r="AA51" s="11"/>
      <c r="AB51" s="11"/>
      <c r="AC51" s="11"/>
    </row>
    <row r="52" spans="1:29" s="15" customFormat="1" x14ac:dyDescent="0.25">
      <c r="A52" s="127"/>
      <c r="B52" s="12"/>
      <c r="C52" s="13"/>
      <c r="D52" s="13"/>
      <c r="E52" s="14"/>
      <c r="J52" s="11"/>
      <c r="K52" s="11"/>
      <c r="L52" s="11"/>
      <c r="M52" s="12"/>
      <c r="N52" s="12"/>
      <c r="O52" s="12"/>
      <c r="P52" s="12"/>
      <c r="Q52" s="17"/>
      <c r="R52" s="13"/>
      <c r="U52" s="36"/>
      <c r="V52" s="36"/>
      <c r="W52" s="13"/>
      <c r="Z52" s="11"/>
      <c r="AA52" s="11"/>
      <c r="AB52" s="11"/>
      <c r="AC52" s="11"/>
    </row>
    <row r="53" spans="1:29" s="15" customFormat="1" x14ac:dyDescent="0.25">
      <c r="A53" s="127" t="s">
        <v>41</v>
      </c>
      <c r="B53" s="12" t="str">
        <f t="shared" ref="B53:B56" si="2">CONCATENATE("PIPE_",ROW())</f>
        <v>PIPE_53</v>
      </c>
      <c r="C53" s="13">
        <v>1</v>
      </c>
      <c r="D53" s="13">
        <f>dx</f>
        <v>0.2</v>
      </c>
      <c r="E53" s="14">
        <f t="shared" ref="E53:E56" si="3">0.1^2*PI()/4</f>
        <v>7.8539816339744835E-3</v>
      </c>
      <c r="F53" s="15">
        <v>0</v>
      </c>
      <c r="G53" s="15">
        <v>270</v>
      </c>
      <c r="H53" s="15">
        <v>0</v>
      </c>
      <c r="I53" s="15">
        <v>0</v>
      </c>
      <c r="J53" s="11" t="s">
        <v>41</v>
      </c>
      <c r="K53" s="11" t="s">
        <v>38</v>
      </c>
      <c r="L53" s="11">
        <f>L49</f>
        <v>3</v>
      </c>
      <c r="M53" s="12" t="s">
        <v>38</v>
      </c>
      <c r="N53" s="12" t="s">
        <v>38</v>
      </c>
      <c r="O53" s="12" t="s">
        <v>38</v>
      </c>
      <c r="P53" s="12" t="s">
        <v>38</v>
      </c>
      <c r="Q53" s="17">
        <f>roughness</f>
        <v>4.5000000000000003E-5</v>
      </c>
      <c r="R53" s="13" t="s">
        <v>38</v>
      </c>
      <c r="S53" s="15" t="s">
        <v>38</v>
      </c>
      <c r="T53" s="15" t="s">
        <v>38</v>
      </c>
      <c r="U53" s="36" t="s">
        <v>38</v>
      </c>
      <c r="V53" s="36" t="s">
        <v>38</v>
      </c>
      <c r="W53" s="13"/>
      <c r="Z53" s="11"/>
      <c r="AA53" s="11"/>
      <c r="AB53" s="11"/>
      <c r="AC53" s="11"/>
    </row>
    <row r="54" spans="1:29" s="15" customFormat="1" x14ac:dyDescent="0.25">
      <c r="A54" s="11" t="s">
        <v>41</v>
      </c>
      <c r="B54" s="12" t="str">
        <f t="shared" si="2"/>
        <v>PIPE_54</v>
      </c>
      <c r="C54" s="13">
        <v>5</v>
      </c>
      <c r="D54" s="13">
        <f>dx</f>
        <v>0.2</v>
      </c>
      <c r="E54" s="14">
        <f t="shared" si="3"/>
        <v>7.8539816339744835E-3</v>
      </c>
      <c r="F54" s="15">
        <v>0</v>
      </c>
      <c r="G54" s="15">
        <v>270</v>
      </c>
      <c r="H54" s="15">
        <v>0</v>
      </c>
      <c r="I54" s="15">
        <v>0</v>
      </c>
      <c r="J54" s="11" t="s">
        <v>41</v>
      </c>
      <c r="K54" s="11" t="s">
        <v>38</v>
      </c>
      <c r="L54" s="11">
        <f>L53</f>
        <v>3</v>
      </c>
      <c r="M54" s="12" t="s">
        <v>38</v>
      </c>
      <c r="N54" s="12" t="s">
        <v>38</v>
      </c>
      <c r="O54" s="12" t="s">
        <v>38</v>
      </c>
      <c r="P54" s="12" t="s">
        <v>38</v>
      </c>
      <c r="Q54" s="17">
        <f>roughness</f>
        <v>4.5000000000000003E-5</v>
      </c>
      <c r="R54" s="13" t="s">
        <v>38</v>
      </c>
      <c r="S54" s="15" t="s">
        <v>38</v>
      </c>
      <c r="T54" s="15" t="s">
        <v>38</v>
      </c>
      <c r="U54" s="36" t="s">
        <v>38</v>
      </c>
      <c r="V54" s="36" t="s">
        <v>38</v>
      </c>
      <c r="W54" s="13"/>
      <c r="Z54" s="11"/>
      <c r="AA54" s="11"/>
      <c r="AB54" s="11"/>
      <c r="AC54" s="11"/>
    </row>
    <row r="55" spans="1:29" s="15" customFormat="1" x14ac:dyDescent="0.25">
      <c r="A55" s="11" t="s">
        <v>41</v>
      </c>
      <c r="B55" s="12" t="str">
        <f t="shared" si="2"/>
        <v>PIPE_55</v>
      </c>
      <c r="C55" s="13">
        <v>3</v>
      </c>
      <c r="D55" s="13">
        <f>dx</f>
        <v>0.2</v>
      </c>
      <c r="E55" s="14">
        <f t="shared" si="3"/>
        <v>7.8539816339744835E-3</v>
      </c>
      <c r="F55" s="15">
        <v>-90</v>
      </c>
      <c r="G55" s="15">
        <v>0</v>
      </c>
      <c r="H55" s="15">
        <v>0</v>
      </c>
      <c r="I55" s="15">
        <v>0</v>
      </c>
      <c r="J55" s="11" t="s">
        <v>41</v>
      </c>
      <c r="K55" s="11" t="s">
        <v>38</v>
      </c>
      <c r="L55" s="11">
        <f>L54+1</f>
        <v>4</v>
      </c>
      <c r="M55" s="12" t="s">
        <v>38</v>
      </c>
      <c r="N55" s="12" t="s">
        <v>38</v>
      </c>
      <c r="O55" s="12" t="s">
        <v>38</v>
      </c>
      <c r="P55" s="12" t="s">
        <v>38</v>
      </c>
      <c r="Q55" s="17">
        <f>roughness</f>
        <v>4.5000000000000003E-5</v>
      </c>
      <c r="R55" s="13" t="s">
        <v>38</v>
      </c>
      <c r="S55" s="15" t="s">
        <v>38</v>
      </c>
      <c r="T55" s="15" t="s">
        <v>38</v>
      </c>
      <c r="U55" s="36" t="s">
        <v>38</v>
      </c>
      <c r="V55" s="36" t="s">
        <v>38</v>
      </c>
      <c r="W55" s="13"/>
      <c r="Z55" s="11"/>
      <c r="AA55" s="11"/>
      <c r="AB55" s="11"/>
      <c r="AC55" s="11"/>
    </row>
    <row r="56" spans="1:29" s="15" customFormat="1" x14ac:dyDescent="0.25">
      <c r="A56" s="11" t="s">
        <v>41</v>
      </c>
      <c r="B56" s="12" t="str">
        <f t="shared" si="2"/>
        <v>PIPE_56</v>
      </c>
      <c r="C56" s="13">
        <v>4</v>
      </c>
      <c r="D56" s="13">
        <f>dx</f>
        <v>0.2</v>
      </c>
      <c r="E56" s="14">
        <f t="shared" si="3"/>
        <v>7.8539816339744835E-3</v>
      </c>
      <c r="F56" s="15">
        <v>0</v>
      </c>
      <c r="G56" s="15">
        <v>0</v>
      </c>
      <c r="H56" s="15">
        <v>0</v>
      </c>
      <c r="I56" s="15">
        <v>0</v>
      </c>
      <c r="J56" s="11" t="s">
        <v>41</v>
      </c>
      <c r="K56" s="11" t="s">
        <v>38</v>
      </c>
      <c r="L56" s="11">
        <f>L55+1</f>
        <v>5</v>
      </c>
      <c r="M56" s="12" t="s">
        <v>38</v>
      </c>
      <c r="N56" s="12" t="s">
        <v>38</v>
      </c>
      <c r="O56" s="12" t="s">
        <v>38</v>
      </c>
      <c r="P56" s="12" t="s">
        <v>38</v>
      </c>
      <c r="Q56" s="17">
        <f>roughness</f>
        <v>4.5000000000000003E-5</v>
      </c>
      <c r="R56" s="13" t="s">
        <v>38</v>
      </c>
      <c r="S56" s="15" t="s">
        <v>38</v>
      </c>
      <c r="T56" s="15" t="s">
        <v>38</v>
      </c>
      <c r="U56" s="36" t="s">
        <v>38</v>
      </c>
      <c r="V56" s="36" t="s">
        <v>38</v>
      </c>
      <c r="W56" s="13"/>
      <c r="Z56" s="11"/>
      <c r="AA56" s="11"/>
      <c r="AB56" s="11"/>
      <c r="AC56" s="11"/>
    </row>
    <row r="57" spans="1:29" s="15" customFormat="1" x14ac:dyDescent="0.25">
      <c r="A57" s="11"/>
      <c r="B57" s="12"/>
      <c r="C57" s="13"/>
      <c r="D57" s="13"/>
      <c r="E57" s="14"/>
      <c r="J57" s="11"/>
      <c r="K57" s="11"/>
      <c r="L57" s="11"/>
      <c r="M57" s="12"/>
      <c r="N57" s="12"/>
      <c r="O57" s="12"/>
      <c r="P57" s="12"/>
      <c r="Q57" s="17"/>
      <c r="R57" s="13"/>
      <c r="U57" s="36"/>
      <c r="V57" s="36"/>
      <c r="W57" s="13"/>
      <c r="Z57" s="11"/>
      <c r="AA57" s="11"/>
      <c r="AB57" s="11"/>
      <c r="AC57" s="11"/>
    </row>
    <row r="58" spans="1:29" s="15" customFormat="1" x14ac:dyDescent="0.25">
      <c r="A58" s="11" t="s">
        <v>39</v>
      </c>
      <c r="B58" s="12" t="str">
        <f>CONCATENATE("JUNC_",ROW())</f>
        <v>JUNC_58</v>
      </c>
      <c r="C58" s="13" t="s">
        <v>38</v>
      </c>
      <c r="D58" s="13" t="s">
        <v>38</v>
      </c>
      <c r="E58" s="14">
        <v>0</v>
      </c>
      <c r="F58" s="15" t="s">
        <v>38</v>
      </c>
      <c r="G58" s="15" t="s">
        <v>38</v>
      </c>
      <c r="H58" s="15">
        <v>0</v>
      </c>
      <c r="I58" s="15">
        <v>0</v>
      </c>
      <c r="J58" s="11" t="s">
        <v>363</v>
      </c>
      <c r="K58" s="11" t="s">
        <v>38</v>
      </c>
      <c r="L58" s="11" t="s">
        <v>38</v>
      </c>
      <c r="M58" s="12" t="str">
        <f ca="1">OFFSET($A$1,ROW()-3,1)</f>
        <v>PIPE_56</v>
      </c>
      <c r="N58" s="12" t="str">
        <f ca="1">OFFSET($A$1,ROW()+1,1)</f>
        <v>TMDV_60</v>
      </c>
      <c r="O58" s="12">
        <v>2</v>
      </c>
      <c r="P58" s="12">
        <v>1</v>
      </c>
      <c r="Q58" s="17" t="s">
        <v>38</v>
      </c>
      <c r="R58" s="13" t="s">
        <v>38</v>
      </c>
      <c r="S58" s="15" t="s">
        <v>38</v>
      </c>
      <c r="T58" s="15" t="s">
        <v>38</v>
      </c>
      <c r="U58" s="36" t="s">
        <v>38</v>
      </c>
      <c r="V58" s="36" t="s">
        <v>38</v>
      </c>
      <c r="W58" s="13"/>
      <c r="Z58" s="11"/>
      <c r="AA58" s="11"/>
      <c r="AB58" s="11"/>
      <c r="AC58" s="11"/>
    </row>
    <row r="59" spans="1:29" s="15" customFormat="1" x14ac:dyDescent="0.25">
      <c r="A59" s="11"/>
      <c r="B59" s="12"/>
      <c r="C59" s="13"/>
      <c r="D59" s="13"/>
      <c r="E59" s="14"/>
      <c r="J59" s="11"/>
      <c r="K59" s="11"/>
      <c r="L59" s="11"/>
      <c r="M59" s="12"/>
      <c r="N59" s="12"/>
      <c r="O59" s="12"/>
      <c r="P59" s="12"/>
      <c r="Q59" s="17"/>
      <c r="R59" s="13"/>
      <c r="U59" s="36"/>
      <c r="V59" s="36"/>
      <c r="W59" s="13"/>
      <c r="Z59" s="11"/>
      <c r="AA59" s="11"/>
      <c r="AB59" s="11"/>
      <c r="AC59" s="11"/>
    </row>
    <row r="60" spans="1:29" s="15" customFormat="1" x14ac:dyDescent="0.25">
      <c r="A60" s="11" t="s">
        <v>37</v>
      </c>
      <c r="B60" s="12" t="str">
        <f>CONCATENATE("TMDV_",ROW())</f>
        <v>TMDV_60</v>
      </c>
      <c r="C60" s="13">
        <v>1</v>
      </c>
      <c r="D60" s="13" t="s">
        <v>38</v>
      </c>
      <c r="E60" s="14">
        <v>1</v>
      </c>
      <c r="F60" s="15">
        <v>0</v>
      </c>
      <c r="G60" s="15">
        <v>0</v>
      </c>
      <c r="H60" s="15" t="s">
        <v>38</v>
      </c>
      <c r="I60" s="15" t="s">
        <v>38</v>
      </c>
      <c r="J60" s="11" t="s">
        <v>258</v>
      </c>
      <c r="K60" s="11" t="s">
        <v>38</v>
      </c>
      <c r="L60" s="11" t="s">
        <v>38</v>
      </c>
      <c r="M60" s="12" t="s">
        <v>38</v>
      </c>
      <c r="N60" s="12" t="s">
        <v>38</v>
      </c>
      <c r="O60" s="12" t="s">
        <v>38</v>
      </c>
      <c r="P60" s="12" t="s">
        <v>38</v>
      </c>
      <c r="Q60" s="12">
        <f>$B$34*100000</f>
        <v>1000000</v>
      </c>
      <c r="R60" s="13">
        <f>273.15+$B$35</f>
        <v>298.14999999999998</v>
      </c>
      <c r="S60" s="15" t="s">
        <v>38</v>
      </c>
      <c r="T60" s="15" t="s">
        <v>38</v>
      </c>
      <c r="U60" s="36" t="s">
        <v>38</v>
      </c>
      <c r="V60" s="36" t="s">
        <v>38</v>
      </c>
      <c r="W60" s="13"/>
      <c r="Z60" s="11"/>
      <c r="AA60" s="11"/>
      <c r="AB60" s="11"/>
      <c r="AC60" s="11"/>
    </row>
    <row r="61" spans="1:29" s="15" customFormat="1" x14ac:dyDescent="0.25">
      <c r="A61" s="11"/>
      <c r="B61" s="12"/>
      <c r="C61" s="13"/>
      <c r="D61" s="13"/>
      <c r="E61" s="14"/>
      <c r="J61" s="11"/>
      <c r="K61" s="11"/>
      <c r="L61" s="11"/>
      <c r="M61" s="12"/>
      <c r="N61" s="12"/>
      <c r="O61" s="12"/>
      <c r="P61" s="12"/>
      <c r="Q61" s="17"/>
      <c r="R61" s="13"/>
      <c r="U61" s="36"/>
      <c r="V61" s="36"/>
      <c r="W61" s="13"/>
      <c r="Z61" s="11"/>
      <c r="AA61" s="11"/>
      <c r="AB61" s="11"/>
      <c r="AC61" s="11"/>
    </row>
    <row r="62" spans="1:29" s="15" customFormat="1" x14ac:dyDescent="0.25">
      <c r="A62" s="11"/>
      <c r="B62" s="12"/>
      <c r="C62" s="13"/>
      <c r="D62" s="13"/>
      <c r="E62" s="14"/>
      <c r="J62" s="11"/>
      <c r="K62" s="11"/>
      <c r="L62" s="11"/>
      <c r="M62" s="12"/>
      <c r="N62" s="12"/>
      <c r="O62" s="12"/>
      <c r="P62" s="12"/>
      <c r="Q62" s="17"/>
      <c r="R62" s="13"/>
      <c r="U62" s="36"/>
      <c r="V62" s="36"/>
      <c r="W62" s="13"/>
      <c r="Z62" s="11"/>
      <c r="AA62" s="11"/>
      <c r="AB62" s="11"/>
      <c r="AC62" s="11"/>
    </row>
    <row r="63" spans="1:29" s="15" customFormat="1" x14ac:dyDescent="0.25">
      <c r="A63" s="11"/>
      <c r="B63" s="12"/>
      <c r="C63" s="13"/>
      <c r="D63" s="13"/>
      <c r="E63" s="14"/>
      <c r="J63" s="11"/>
      <c r="K63" s="11"/>
      <c r="L63" s="11"/>
      <c r="M63" s="12"/>
      <c r="N63" s="12"/>
      <c r="O63" s="12"/>
      <c r="P63" s="12"/>
      <c r="Q63" s="17"/>
      <c r="R63" s="13"/>
      <c r="U63" s="36"/>
      <c r="V63" s="36"/>
      <c r="W63" s="13"/>
      <c r="Z63" s="11"/>
      <c r="AA63" s="11"/>
      <c r="AB63" s="11"/>
      <c r="AC63" s="11"/>
    </row>
    <row r="64" spans="1:29" s="15" customFormat="1" x14ac:dyDescent="0.25">
      <c r="A64" s="11" t="s">
        <v>364</v>
      </c>
      <c r="B64" s="12"/>
      <c r="C64" s="13"/>
      <c r="D64" s="13"/>
      <c r="E64" s="14"/>
      <c r="J64" s="11"/>
      <c r="K64" s="11"/>
      <c r="L64" s="11"/>
      <c r="M64" s="12"/>
      <c r="N64" s="12"/>
      <c r="O64" s="12"/>
      <c r="P64" s="12"/>
      <c r="Q64" s="17"/>
      <c r="R64" s="13"/>
      <c r="U64" s="36"/>
      <c r="V64" s="36"/>
      <c r="W64" s="13"/>
      <c r="Z64" s="11"/>
      <c r="AA64" s="11"/>
      <c r="AB64" s="11"/>
      <c r="AC64" s="11"/>
    </row>
    <row r="65" spans="1:29" s="15" customFormat="1" x14ac:dyDescent="0.25">
      <c r="A65" s="11" t="s">
        <v>35</v>
      </c>
      <c r="B65" s="12">
        <v>121</v>
      </c>
      <c r="C65" s="13"/>
      <c r="D65" s="13"/>
      <c r="E65" s="14"/>
      <c r="J65" s="11"/>
      <c r="K65" s="11"/>
      <c r="L65" s="11"/>
      <c r="M65" s="12"/>
      <c r="N65" s="12"/>
      <c r="O65" s="12"/>
      <c r="P65" s="12"/>
      <c r="Q65" s="17"/>
      <c r="R65" s="13"/>
      <c r="U65" s="36"/>
      <c r="V65" s="36"/>
      <c r="W65" s="13"/>
      <c r="Z65" s="11"/>
      <c r="AA65" s="11"/>
      <c r="AB65" s="11"/>
      <c r="AC65" s="11"/>
    </row>
    <row r="66" spans="1:29" s="15" customFormat="1" x14ac:dyDescent="0.25">
      <c r="A66" s="11" t="s">
        <v>36</v>
      </c>
      <c r="B66" s="12">
        <f>$B$34*100000</f>
        <v>1000000</v>
      </c>
      <c r="C66" s="13">
        <f>273.15+$B$35</f>
        <v>298.14999999999998</v>
      </c>
      <c r="D66" s="13"/>
      <c r="E66" s="14"/>
      <c r="J66" s="11"/>
      <c r="K66" s="11"/>
      <c r="L66" s="11"/>
      <c r="M66" s="12"/>
      <c r="N66" s="12"/>
      <c r="O66" s="12"/>
      <c r="P66" s="12"/>
      <c r="Q66" s="17"/>
      <c r="R66" s="13"/>
      <c r="U66" s="36"/>
      <c r="V66" s="36"/>
      <c r="W66" s="13"/>
      <c r="Z66" s="11"/>
      <c r="AA66" s="11"/>
      <c r="AB66" s="11"/>
      <c r="AC66" s="11"/>
    </row>
    <row r="67" spans="1:29" s="15" customFormat="1" x14ac:dyDescent="0.25">
      <c r="A67" s="11" t="s">
        <v>39</v>
      </c>
      <c r="B67" s="12" t="str">
        <f>CONCATENATE("JUNC_",ROW())</f>
        <v>JUNC_67</v>
      </c>
      <c r="C67" s="13" t="s">
        <v>38</v>
      </c>
      <c r="D67" s="13" t="s">
        <v>38</v>
      </c>
      <c r="E67" s="14">
        <v>0</v>
      </c>
      <c r="F67" s="15" t="s">
        <v>38</v>
      </c>
      <c r="G67" s="15" t="s">
        <v>38</v>
      </c>
      <c r="H67" s="15">
        <v>0</v>
      </c>
      <c r="I67" s="15">
        <v>0</v>
      </c>
      <c r="J67" s="11" t="s">
        <v>363</v>
      </c>
      <c r="K67" s="11" t="s">
        <v>38</v>
      </c>
      <c r="L67" s="11" t="s">
        <v>38</v>
      </c>
      <c r="M67" s="12" t="str">
        <f>B48</f>
        <v>PIPE_48</v>
      </c>
      <c r="N67" s="12" t="str">
        <f ca="1">OFFSET($A$1,ROW()+1,1)</f>
        <v>PIPE_69</v>
      </c>
      <c r="O67" s="12">
        <v>2</v>
      </c>
      <c r="P67" s="12">
        <v>1</v>
      </c>
      <c r="Q67" s="17" t="s">
        <v>38</v>
      </c>
      <c r="R67" s="13" t="s">
        <v>38</v>
      </c>
      <c r="S67" s="15" t="s">
        <v>38</v>
      </c>
      <c r="T67" s="15" t="s">
        <v>38</v>
      </c>
      <c r="U67" s="36" t="s">
        <v>38</v>
      </c>
      <c r="V67" s="36" t="s">
        <v>38</v>
      </c>
      <c r="W67" s="13"/>
      <c r="Z67" s="11"/>
      <c r="AA67" s="11"/>
      <c r="AB67" s="11"/>
      <c r="AC67" s="11"/>
    </row>
    <row r="68" spans="1:29" s="15" customFormat="1" x14ac:dyDescent="0.25">
      <c r="A68" s="11"/>
      <c r="B68" s="12"/>
      <c r="C68" s="13"/>
      <c r="D68" s="13"/>
      <c r="E68" s="14"/>
      <c r="J68" s="11"/>
      <c r="K68" s="11"/>
      <c r="L68" s="11"/>
      <c r="M68" s="12"/>
      <c r="N68" s="12"/>
      <c r="O68" s="12"/>
      <c r="P68" s="12"/>
      <c r="Q68" s="17"/>
      <c r="R68" s="13"/>
      <c r="U68" s="36"/>
      <c r="V68" s="36"/>
      <c r="W68" s="13"/>
      <c r="Z68" s="11"/>
      <c r="AA68" s="11"/>
      <c r="AB68" s="11"/>
      <c r="AC68" s="11"/>
    </row>
    <row r="69" spans="1:29" s="15" customFormat="1" x14ac:dyDescent="0.25">
      <c r="A69" s="11" t="s">
        <v>41</v>
      </c>
      <c r="B69" s="12" t="str">
        <f t="shared" ref="B69:B70" si="4">CONCATENATE("PIPE_",ROW())</f>
        <v>PIPE_69</v>
      </c>
      <c r="C69" s="13">
        <v>0.5</v>
      </c>
      <c r="D69" s="13">
        <f>dx</f>
        <v>0.2</v>
      </c>
      <c r="E69" s="14">
        <f>0.02^2*PI()/4</f>
        <v>3.1415926535897931E-4</v>
      </c>
      <c r="F69" s="15">
        <v>0</v>
      </c>
      <c r="G69" s="15">
        <v>0</v>
      </c>
      <c r="H69" s="15">
        <v>0</v>
      </c>
      <c r="I69" s="15">
        <v>0</v>
      </c>
      <c r="J69" s="11" t="s">
        <v>41</v>
      </c>
      <c r="K69" s="11" t="s">
        <v>38</v>
      </c>
      <c r="L69" s="11">
        <v>10</v>
      </c>
      <c r="M69" s="12" t="s">
        <v>38</v>
      </c>
      <c r="N69" s="12" t="s">
        <v>38</v>
      </c>
      <c r="O69" s="12" t="s">
        <v>38</v>
      </c>
      <c r="P69" s="12" t="s">
        <v>38</v>
      </c>
      <c r="Q69" s="17">
        <f>roughness</f>
        <v>4.5000000000000003E-5</v>
      </c>
      <c r="R69" s="13" t="s">
        <v>38</v>
      </c>
      <c r="S69" s="15" t="s">
        <v>38</v>
      </c>
      <c r="T69" s="15" t="s">
        <v>38</v>
      </c>
      <c r="U69" s="36" t="s">
        <v>38</v>
      </c>
      <c r="V69" s="36" t="s">
        <v>38</v>
      </c>
      <c r="W69" s="13"/>
      <c r="Z69" s="11"/>
      <c r="AA69" s="11"/>
      <c r="AB69" s="11"/>
      <c r="AC69" s="11"/>
    </row>
    <row r="70" spans="1:29" s="15" customFormat="1" x14ac:dyDescent="0.25">
      <c r="A70" s="11" t="s">
        <v>41</v>
      </c>
      <c r="B70" s="12" t="str">
        <f t="shared" si="4"/>
        <v>PIPE_70</v>
      </c>
      <c r="C70" s="13">
        <v>1</v>
      </c>
      <c r="D70" s="13">
        <f>dx</f>
        <v>0.2</v>
      </c>
      <c r="E70" s="14">
        <f>0.02^2*PI()/4</f>
        <v>3.1415926535897931E-4</v>
      </c>
      <c r="F70" s="15">
        <v>0</v>
      </c>
      <c r="G70" s="15">
        <v>0</v>
      </c>
      <c r="H70" s="15">
        <v>0</v>
      </c>
      <c r="I70" s="15">
        <v>0</v>
      </c>
      <c r="J70" s="11" t="s">
        <v>41</v>
      </c>
      <c r="K70" s="11" t="s">
        <v>38</v>
      </c>
      <c r="L70" s="11">
        <f>L69+1</f>
        <v>11</v>
      </c>
      <c r="M70" s="12" t="s">
        <v>38</v>
      </c>
      <c r="N70" s="12" t="s">
        <v>38</v>
      </c>
      <c r="O70" s="12" t="s">
        <v>38</v>
      </c>
      <c r="P70" s="12" t="s">
        <v>38</v>
      </c>
      <c r="Q70" s="17">
        <f>roughness</f>
        <v>4.5000000000000003E-5</v>
      </c>
      <c r="R70" s="13" t="s">
        <v>38</v>
      </c>
      <c r="S70" s="15" t="s">
        <v>38</v>
      </c>
      <c r="T70" s="15" t="s">
        <v>38</v>
      </c>
      <c r="U70" s="36" t="s">
        <v>38</v>
      </c>
      <c r="V70" s="36" t="s">
        <v>38</v>
      </c>
      <c r="W70" s="13"/>
      <c r="Z70" s="11"/>
      <c r="AA70" s="11"/>
      <c r="AB70" s="11"/>
      <c r="AC70" s="11"/>
    </row>
    <row r="71" spans="1:29" s="15" customFormat="1" x14ac:dyDescent="0.25">
      <c r="A71" s="11"/>
      <c r="B71" s="12"/>
      <c r="C71" s="13"/>
      <c r="D71" s="13"/>
      <c r="E71" s="14"/>
      <c r="J71" s="11"/>
      <c r="K71" s="11"/>
      <c r="L71" s="11"/>
      <c r="M71" s="12"/>
      <c r="N71" s="12"/>
      <c r="O71" s="12"/>
      <c r="P71" s="12"/>
      <c r="Q71" s="17"/>
      <c r="R71" s="13"/>
      <c r="U71" s="36"/>
      <c r="V71" s="36"/>
      <c r="W71" s="13"/>
      <c r="Z71" s="11"/>
      <c r="AA71" s="11"/>
      <c r="AB71" s="11"/>
      <c r="AC71" s="11"/>
    </row>
    <row r="72" spans="1:29" s="15" customFormat="1" x14ac:dyDescent="0.25">
      <c r="A72" s="11" t="s">
        <v>56</v>
      </c>
      <c r="B72" s="12" t="str">
        <f>CONCATENATE("JUNC_",ROW())</f>
        <v>JUNC_72</v>
      </c>
      <c r="C72" s="13" t="s">
        <v>38</v>
      </c>
      <c r="D72" s="13" t="s">
        <v>38</v>
      </c>
      <c r="E72" s="14">
        <f>0.02^2*PI()/4</f>
        <v>3.1415926535897931E-4</v>
      </c>
      <c r="F72" s="15" t="s">
        <v>38</v>
      </c>
      <c r="G72" s="15" t="s">
        <v>38</v>
      </c>
      <c r="H72" s="15">
        <v>0</v>
      </c>
      <c r="I72" s="15">
        <v>0</v>
      </c>
      <c r="J72" s="11" t="s">
        <v>55</v>
      </c>
      <c r="K72" s="11" t="s">
        <v>38</v>
      </c>
      <c r="L72" s="11" t="s">
        <v>38</v>
      </c>
      <c r="M72" s="12" t="str">
        <f ca="1">OFFSET($A$1,ROW()-3,1)</f>
        <v>PIPE_70</v>
      </c>
      <c r="N72" s="12" t="str">
        <f ca="1">OFFSET($A$1,ROW()+1,1)</f>
        <v>PIPE_74</v>
      </c>
      <c r="O72" s="12">
        <v>2</v>
      </c>
      <c r="P72" s="12">
        <v>1</v>
      </c>
      <c r="Q72" s="17" t="s">
        <v>38</v>
      </c>
      <c r="R72" s="13" t="s">
        <v>38</v>
      </c>
      <c r="S72" s="15" t="s">
        <v>38</v>
      </c>
      <c r="T72" s="15">
        <v>1</v>
      </c>
      <c r="U72" s="36" t="s">
        <v>38</v>
      </c>
      <c r="V72" s="36" t="s">
        <v>38</v>
      </c>
      <c r="W72" s="13"/>
      <c r="Z72" s="11"/>
      <c r="AA72" s="11"/>
      <c r="AB72" s="11"/>
      <c r="AC72" s="11"/>
    </row>
    <row r="73" spans="1:29" s="15" customFormat="1" x14ac:dyDescent="0.25">
      <c r="A73" s="11"/>
      <c r="B73" s="12"/>
      <c r="C73" s="13"/>
      <c r="D73" s="13"/>
      <c r="E73" s="14"/>
      <c r="J73" s="11"/>
      <c r="K73" s="11"/>
      <c r="L73" s="11"/>
      <c r="M73" s="12"/>
      <c r="N73" s="12"/>
      <c r="O73" s="12"/>
      <c r="P73" s="12"/>
      <c r="Q73" s="17"/>
      <c r="R73" s="13"/>
      <c r="U73" s="36"/>
      <c r="V73" s="36"/>
      <c r="W73" s="13"/>
      <c r="Z73" s="11"/>
      <c r="AA73" s="11"/>
      <c r="AB73" s="11"/>
      <c r="AC73" s="11"/>
    </row>
    <row r="74" spans="1:29" s="15" customFormat="1" x14ac:dyDescent="0.25">
      <c r="A74" s="11" t="s">
        <v>41</v>
      </c>
      <c r="B74" s="12" t="str">
        <f t="shared" ref="B74:B75" si="5">CONCATENATE("PIPE_",ROW())</f>
        <v>PIPE_74</v>
      </c>
      <c r="C74" s="13">
        <v>1</v>
      </c>
      <c r="D74" s="13">
        <f>dx</f>
        <v>0.2</v>
      </c>
      <c r="E74" s="14">
        <f>0.02^2*PI()/4</f>
        <v>3.1415926535897931E-4</v>
      </c>
      <c r="F74" s="15">
        <v>0</v>
      </c>
      <c r="G74" s="15">
        <v>0</v>
      </c>
      <c r="H74" s="15">
        <v>0</v>
      </c>
      <c r="I74" s="15">
        <v>0</v>
      </c>
      <c r="J74" s="11" t="s">
        <v>41</v>
      </c>
      <c r="K74" s="11" t="s">
        <v>38</v>
      </c>
      <c r="L74" s="11">
        <f>L70</f>
        <v>11</v>
      </c>
      <c r="M74" s="12" t="s">
        <v>38</v>
      </c>
      <c r="N74" s="12" t="s">
        <v>38</v>
      </c>
      <c r="O74" s="12" t="s">
        <v>38</v>
      </c>
      <c r="P74" s="12" t="s">
        <v>38</v>
      </c>
      <c r="Q74" s="17">
        <f>roughness</f>
        <v>4.5000000000000003E-5</v>
      </c>
      <c r="R74" s="13" t="s">
        <v>38</v>
      </c>
      <c r="S74" s="15" t="s">
        <v>38</v>
      </c>
      <c r="T74" s="15" t="s">
        <v>38</v>
      </c>
      <c r="U74" s="36" t="s">
        <v>38</v>
      </c>
      <c r="V74" s="36" t="s">
        <v>38</v>
      </c>
      <c r="W74" s="13"/>
      <c r="Z74" s="11"/>
      <c r="AA74" s="11"/>
      <c r="AB74" s="11"/>
      <c r="AC74" s="11"/>
    </row>
    <row r="75" spans="1:29" s="15" customFormat="1" x14ac:dyDescent="0.25">
      <c r="A75" s="11" t="s">
        <v>41</v>
      </c>
      <c r="B75" s="12" t="str">
        <f t="shared" si="5"/>
        <v>PIPE_75</v>
      </c>
      <c r="C75" s="13">
        <v>0.5</v>
      </c>
      <c r="D75" s="13">
        <f>dx</f>
        <v>0.2</v>
      </c>
      <c r="E75" s="14">
        <f>0.02^2*PI()/4</f>
        <v>3.1415926535897931E-4</v>
      </c>
      <c r="F75" s="15">
        <v>0</v>
      </c>
      <c r="G75" s="15">
        <v>0</v>
      </c>
      <c r="H75" s="15">
        <v>0</v>
      </c>
      <c r="I75" s="15">
        <v>0</v>
      </c>
      <c r="J75" s="11" t="s">
        <v>41</v>
      </c>
      <c r="K75" s="11" t="s">
        <v>38</v>
      </c>
      <c r="L75" s="11">
        <f>L74+1</f>
        <v>12</v>
      </c>
      <c r="M75" s="12" t="s">
        <v>38</v>
      </c>
      <c r="N75" s="12" t="s">
        <v>38</v>
      </c>
      <c r="O75" s="12" t="s">
        <v>38</v>
      </c>
      <c r="P75" s="12" t="s">
        <v>38</v>
      </c>
      <c r="Q75" s="17">
        <f>roughness</f>
        <v>4.5000000000000003E-5</v>
      </c>
      <c r="R75" s="13" t="s">
        <v>38</v>
      </c>
      <c r="S75" s="15" t="s">
        <v>38</v>
      </c>
      <c r="T75" s="15" t="s">
        <v>38</v>
      </c>
      <c r="U75" s="36" t="s">
        <v>38</v>
      </c>
      <c r="V75" s="36" t="s">
        <v>38</v>
      </c>
      <c r="W75" s="13"/>
      <c r="Z75" s="11"/>
      <c r="AA75" s="11"/>
      <c r="AB75" s="11"/>
      <c r="AC75" s="11"/>
    </row>
    <row r="76" spans="1:29" s="15" customFormat="1" x14ac:dyDescent="0.25">
      <c r="A76" s="11"/>
      <c r="B76" s="12"/>
      <c r="C76" s="13"/>
      <c r="D76" s="13"/>
      <c r="E76" s="14"/>
      <c r="J76" s="11"/>
      <c r="K76" s="11"/>
      <c r="L76" s="11"/>
      <c r="M76" s="12"/>
      <c r="N76" s="12"/>
      <c r="O76" s="12"/>
      <c r="P76" s="12"/>
      <c r="Q76" s="17"/>
      <c r="R76" s="13"/>
      <c r="U76" s="36"/>
      <c r="V76" s="36"/>
      <c r="W76" s="13"/>
      <c r="Z76" s="11"/>
      <c r="AA76" s="11"/>
      <c r="AB76" s="11"/>
      <c r="AC76" s="11"/>
    </row>
    <row r="77" spans="1:29" s="15" customFormat="1" x14ac:dyDescent="0.25">
      <c r="A77" s="11" t="s">
        <v>39</v>
      </c>
      <c r="B77" s="12" t="str">
        <f>CONCATENATE("JUNC_",ROW())</f>
        <v>JUNC_77</v>
      </c>
      <c r="C77" s="13" t="s">
        <v>38</v>
      </c>
      <c r="D77" s="13" t="s">
        <v>38</v>
      </c>
      <c r="E77" s="14">
        <v>0</v>
      </c>
      <c r="F77" s="15" t="s">
        <v>38</v>
      </c>
      <c r="G77" s="15" t="s">
        <v>38</v>
      </c>
      <c r="H77" s="15">
        <v>0</v>
      </c>
      <c r="I77" s="15">
        <v>0</v>
      </c>
      <c r="J77" s="11" t="s">
        <v>363</v>
      </c>
      <c r="K77" s="11" t="s">
        <v>38</v>
      </c>
      <c r="L77" s="11" t="s">
        <v>38</v>
      </c>
      <c r="M77" s="12" t="str">
        <f ca="1">OFFSET($A$1,ROW()-3,1)</f>
        <v>PIPE_75</v>
      </c>
      <c r="N77" s="12" t="str">
        <f>B54</f>
        <v>PIPE_54</v>
      </c>
      <c r="O77" s="12">
        <v>2</v>
      </c>
      <c r="P77" s="12">
        <v>1</v>
      </c>
      <c r="Q77" s="17" t="s">
        <v>38</v>
      </c>
      <c r="R77" s="13" t="s">
        <v>38</v>
      </c>
      <c r="S77" s="15" t="s">
        <v>38</v>
      </c>
      <c r="T77" s="15" t="s">
        <v>38</v>
      </c>
      <c r="U77" s="36" t="s">
        <v>38</v>
      </c>
      <c r="V77" s="36" t="s">
        <v>38</v>
      </c>
      <c r="W77" s="13"/>
      <c r="Z77" s="11"/>
      <c r="AA77" s="11"/>
      <c r="AB77" s="11"/>
      <c r="AC77" s="11"/>
    </row>
    <row r="78" spans="1:29" s="15" customFormat="1" x14ac:dyDescent="0.25">
      <c r="A78" s="11"/>
      <c r="B78" s="12"/>
      <c r="C78" s="13"/>
      <c r="D78" s="13"/>
      <c r="E78" s="14"/>
      <c r="J78" s="11"/>
      <c r="K78" s="11"/>
      <c r="L78" s="11"/>
      <c r="M78" s="12"/>
      <c r="N78" s="12"/>
      <c r="O78" s="12"/>
      <c r="P78" s="12"/>
      <c r="Q78" s="17"/>
      <c r="R78" s="13"/>
      <c r="U78" s="36"/>
      <c r="V78" s="36"/>
      <c r="W78" s="13"/>
      <c r="Z78" s="11"/>
      <c r="AA78" s="11"/>
      <c r="AB78" s="11"/>
      <c r="AC78" s="11"/>
    </row>
    <row r="79" spans="1:29" s="15" customFormat="1" x14ac:dyDescent="0.25">
      <c r="A79" s="11"/>
      <c r="B79" s="12"/>
      <c r="C79" s="13"/>
      <c r="D79" s="13"/>
      <c r="E79" s="14"/>
      <c r="J79" s="11"/>
      <c r="K79" s="11"/>
      <c r="L79" s="11"/>
      <c r="M79" s="12"/>
      <c r="N79" s="12"/>
      <c r="O79" s="12"/>
      <c r="P79" s="12"/>
      <c r="Q79" s="17"/>
      <c r="R79" s="13"/>
      <c r="U79" s="36"/>
      <c r="V79" s="36"/>
      <c r="W79" s="13"/>
      <c r="Z79" s="11"/>
      <c r="AA79" s="11"/>
      <c r="AB79" s="11"/>
      <c r="AC79" s="11"/>
    </row>
    <row r="80" spans="1:29" s="15" customFormat="1" x14ac:dyDescent="0.25">
      <c r="A80" s="11"/>
      <c r="B80" s="12"/>
      <c r="C80" s="13"/>
      <c r="D80" s="13"/>
      <c r="E80" s="14"/>
      <c r="J80" s="11"/>
      <c r="K80" s="11"/>
      <c r="L80" s="11"/>
      <c r="M80" s="12"/>
      <c r="N80" s="12"/>
      <c r="O80" s="12"/>
      <c r="P80" s="12"/>
      <c r="Q80" s="17"/>
      <c r="R80" s="13"/>
      <c r="U80" s="36"/>
      <c r="V80" s="36"/>
      <c r="W80" s="13"/>
      <c r="Z80" s="11"/>
      <c r="AA80" s="11"/>
      <c r="AB80" s="11"/>
      <c r="AC80" s="11"/>
    </row>
    <row r="81" spans="1:29" s="15" customFormat="1" x14ac:dyDescent="0.25">
      <c r="A81" s="11"/>
      <c r="B81" s="12"/>
      <c r="C81" s="13"/>
      <c r="D81" s="13"/>
      <c r="E81" s="14"/>
      <c r="J81" s="11"/>
      <c r="K81" s="11"/>
      <c r="L81" s="11"/>
      <c r="M81" s="12"/>
      <c r="N81" s="12"/>
      <c r="O81" s="12"/>
      <c r="P81" s="12"/>
      <c r="Q81" s="17"/>
      <c r="R81" s="13"/>
      <c r="U81" s="36"/>
      <c r="V81" s="36"/>
      <c r="W81" s="13"/>
      <c r="Z81" s="11"/>
      <c r="AA81" s="11"/>
      <c r="AB81" s="11"/>
      <c r="AC81" s="11"/>
    </row>
    <row r="82" spans="1:29" s="15" customFormat="1" x14ac:dyDescent="0.25">
      <c r="A82" s="11"/>
      <c r="B82" s="12"/>
      <c r="C82" s="13"/>
      <c r="D82" s="13"/>
      <c r="E82" s="14"/>
      <c r="J82" s="11"/>
      <c r="K82" s="11"/>
      <c r="L82" s="11"/>
      <c r="M82" s="12"/>
      <c r="N82" s="12"/>
      <c r="O82" s="12"/>
      <c r="P82" s="12"/>
      <c r="Q82" s="17"/>
      <c r="R82" s="13"/>
      <c r="U82" s="36"/>
      <c r="V82" s="36"/>
      <c r="W82" s="13"/>
      <c r="Z82" s="11"/>
      <c r="AA82" s="11"/>
      <c r="AB82" s="11"/>
      <c r="AC82" s="11"/>
    </row>
    <row r="83" spans="1:29" s="15" customFormat="1" x14ac:dyDescent="0.25">
      <c r="A83" s="11"/>
      <c r="B83" s="12"/>
      <c r="C83" s="13"/>
      <c r="D83" s="13"/>
      <c r="E83" s="14"/>
      <c r="J83" s="11"/>
      <c r="K83" s="11"/>
      <c r="L83" s="11"/>
      <c r="M83" s="12"/>
      <c r="N83" s="12"/>
      <c r="O83" s="12"/>
      <c r="P83" s="12"/>
      <c r="Q83" s="17"/>
      <c r="R83" s="13"/>
      <c r="U83" s="36"/>
      <c r="V83" s="36"/>
      <c r="W83" s="13"/>
      <c r="Z83" s="11"/>
      <c r="AA83" s="11"/>
      <c r="AB83" s="11"/>
      <c r="AC83" s="11"/>
    </row>
    <row r="84" spans="1:29" s="15" customFormat="1" x14ac:dyDescent="0.25">
      <c r="A84" s="11"/>
      <c r="B84" s="12"/>
      <c r="C84" s="13"/>
      <c r="D84" s="13"/>
      <c r="E84" s="14"/>
      <c r="J84" s="11"/>
      <c r="K84" s="11"/>
      <c r="L84" s="11"/>
      <c r="M84" s="12"/>
      <c r="N84" s="12"/>
      <c r="O84" s="12"/>
      <c r="P84" s="12"/>
      <c r="Q84" s="17"/>
      <c r="R84" s="13"/>
      <c r="U84" s="36"/>
      <c r="V84" s="36"/>
      <c r="W84" s="13"/>
      <c r="Z84" s="11"/>
      <c r="AA84" s="11"/>
      <c r="AB84" s="11"/>
      <c r="AC84" s="11"/>
    </row>
    <row r="85" spans="1:29" s="15" customFormat="1" x14ac:dyDescent="0.25">
      <c r="A85" s="11"/>
      <c r="B85" s="12"/>
      <c r="C85" s="13"/>
      <c r="D85" s="13"/>
      <c r="E85" s="14"/>
      <c r="J85" s="11"/>
      <c r="K85" s="11"/>
      <c r="L85" s="11"/>
      <c r="M85" s="12"/>
      <c r="N85" s="12"/>
      <c r="O85" s="12"/>
      <c r="P85" s="12"/>
      <c r="Q85" s="17"/>
      <c r="R85" s="13"/>
      <c r="U85" s="36"/>
      <c r="V85" s="36"/>
      <c r="W85" s="13"/>
      <c r="Z85" s="11"/>
      <c r="AA85" s="11"/>
      <c r="AB85" s="11"/>
      <c r="AC85" s="11"/>
    </row>
    <row r="86" spans="1:29" s="15" customFormat="1" x14ac:dyDescent="0.25">
      <c r="A86" s="11"/>
      <c r="B86" s="12"/>
      <c r="C86" s="13"/>
      <c r="D86" s="13"/>
      <c r="E86" s="14"/>
      <c r="J86" s="11"/>
      <c r="K86" s="11"/>
      <c r="L86" s="11"/>
      <c r="M86" s="12"/>
      <c r="N86" s="12"/>
      <c r="O86" s="12"/>
      <c r="P86" s="12"/>
      <c r="Q86" s="17"/>
      <c r="R86" s="13"/>
      <c r="U86" s="36"/>
      <c r="V86" s="36"/>
      <c r="W86" s="13"/>
      <c r="Z86" s="11"/>
      <c r="AA86" s="11"/>
      <c r="AB86" s="11"/>
      <c r="AC86" s="11"/>
    </row>
    <row r="87" spans="1:29" s="15" customFormat="1" x14ac:dyDescent="0.25">
      <c r="A87" s="11"/>
      <c r="B87" s="12"/>
      <c r="C87" s="13"/>
      <c r="D87" s="13"/>
      <c r="E87" s="14"/>
      <c r="J87" s="11"/>
      <c r="K87" s="11"/>
      <c r="L87" s="11"/>
      <c r="M87" s="12"/>
      <c r="N87" s="12"/>
      <c r="O87" s="12"/>
      <c r="P87" s="12"/>
      <c r="Q87" s="17"/>
      <c r="R87" s="13"/>
      <c r="U87" s="36"/>
      <c r="V87" s="36"/>
      <c r="W87" s="13"/>
      <c r="Z87" s="11"/>
      <c r="AA87" s="11"/>
      <c r="AB87" s="11"/>
      <c r="AC87" s="11"/>
    </row>
    <row r="88" spans="1:29" s="15" customFormat="1" x14ac:dyDescent="0.25">
      <c r="A88" s="11"/>
      <c r="B88" s="12"/>
      <c r="C88" s="13"/>
      <c r="D88" s="13"/>
      <c r="E88" s="14"/>
      <c r="J88" s="11"/>
      <c r="K88" s="11"/>
      <c r="L88" s="11"/>
      <c r="M88" s="12"/>
      <c r="N88" s="12"/>
      <c r="O88" s="12"/>
      <c r="P88" s="12"/>
      <c r="Q88" s="17"/>
      <c r="R88" s="13"/>
      <c r="U88" s="36"/>
      <c r="V88" s="36"/>
      <c r="W88" s="13"/>
      <c r="Z88" s="11"/>
      <c r="AA88" s="11"/>
      <c r="AB88" s="11"/>
      <c r="AC88" s="11"/>
    </row>
    <row r="89" spans="1:29" s="15" customFormat="1" x14ac:dyDescent="0.25">
      <c r="A89" s="11"/>
      <c r="B89" s="12"/>
      <c r="C89" s="13"/>
      <c r="D89" s="13"/>
      <c r="E89" s="14"/>
      <c r="J89" s="11"/>
      <c r="K89" s="11"/>
      <c r="L89" s="11"/>
      <c r="M89" s="12"/>
      <c r="N89" s="12"/>
      <c r="O89" s="12"/>
      <c r="P89" s="12"/>
      <c r="Q89" s="17"/>
      <c r="R89" s="13"/>
      <c r="U89" s="36"/>
      <c r="V89" s="36"/>
      <c r="W89" s="13"/>
      <c r="Z89" s="11"/>
      <c r="AA89" s="11"/>
      <c r="AB89" s="11"/>
      <c r="AC89" s="11"/>
    </row>
    <row r="90" spans="1:29" s="15" customFormat="1" x14ac:dyDescent="0.25">
      <c r="A90" s="11"/>
      <c r="B90" s="12"/>
      <c r="C90" s="13"/>
      <c r="D90" s="13"/>
      <c r="E90" s="14"/>
      <c r="J90" s="11"/>
      <c r="K90" s="11"/>
      <c r="L90" s="11"/>
      <c r="M90" s="12"/>
      <c r="N90" s="12"/>
      <c r="O90" s="12"/>
      <c r="P90" s="12"/>
      <c r="Q90" s="17"/>
      <c r="R90" s="13"/>
      <c r="U90" s="36"/>
      <c r="V90" s="36"/>
      <c r="W90" s="13"/>
      <c r="Z90" s="11"/>
      <c r="AA90" s="11"/>
      <c r="AB90" s="11"/>
      <c r="AC90" s="11"/>
    </row>
    <row r="91" spans="1:29" s="15" customFormat="1" x14ac:dyDescent="0.25">
      <c r="A91" s="11"/>
      <c r="B91" s="12"/>
      <c r="C91" s="13"/>
      <c r="D91" s="13"/>
      <c r="E91" s="14"/>
      <c r="J91" s="11"/>
      <c r="K91" s="11"/>
      <c r="L91" s="11"/>
      <c r="M91" s="12"/>
      <c r="N91" s="12"/>
      <c r="O91" s="12"/>
      <c r="P91" s="12"/>
      <c r="Q91" s="17"/>
      <c r="R91" s="13"/>
      <c r="U91" s="36"/>
      <c r="V91" s="36"/>
      <c r="W91" s="13"/>
      <c r="Z91" s="11"/>
      <c r="AA91" s="11"/>
      <c r="AB91" s="11"/>
      <c r="AC91" s="11"/>
    </row>
    <row r="92" spans="1:29" x14ac:dyDescent="0.25">
      <c r="R92" s="13"/>
      <c r="U92" s="36"/>
      <c r="V92" s="36"/>
      <c r="W92" s="13"/>
    </row>
    <row r="93" spans="1:29" x14ac:dyDescent="0.25">
      <c r="R93" s="13"/>
      <c r="U93" s="36"/>
      <c r="V93" s="36"/>
      <c r="W93" s="13"/>
    </row>
    <row r="94" spans="1:29" x14ac:dyDescent="0.25">
      <c r="R94" s="13"/>
      <c r="U94" s="36"/>
      <c r="V94" s="36"/>
      <c r="W94" s="13"/>
    </row>
    <row r="95" spans="1:29" x14ac:dyDescent="0.25">
      <c r="R95" s="13"/>
      <c r="U95" s="36"/>
      <c r="V95" s="36"/>
      <c r="W95" s="13"/>
    </row>
    <row r="96" spans="1:29" x14ac:dyDescent="0.25">
      <c r="R96" s="13"/>
      <c r="U96" s="36"/>
      <c r="V96" s="36"/>
      <c r="W96" s="13"/>
    </row>
    <row r="97" spans="1:29" x14ac:dyDescent="0.25">
      <c r="R97" s="13"/>
      <c r="U97" s="36"/>
      <c r="V97" s="36"/>
      <c r="W97" s="13"/>
    </row>
    <row r="98" spans="1:29" x14ac:dyDescent="0.25">
      <c r="R98" s="13"/>
      <c r="U98" s="36"/>
      <c r="V98" s="36"/>
      <c r="W98" s="13"/>
    </row>
    <row r="99" spans="1:29" x14ac:dyDescent="0.25">
      <c r="R99" s="13"/>
      <c r="U99" s="36"/>
      <c r="V99" s="36"/>
      <c r="W99" s="13"/>
    </row>
    <row r="100" spans="1:29" x14ac:dyDescent="0.25">
      <c r="R100" s="13"/>
      <c r="U100" s="36"/>
      <c r="V100" s="36"/>
      <c r="W100" s="13"/>
    </row>
    <row r="101" spans="1:29" x14ac:dyDescent="0.25">
      <c r="R101" s="13"/>
      <c r="U101" s="36"/>
      <c r="V101" s="36"/>
      <c r="W101" s="13"/>
    </row>
    <row r="102" spans="1:29" x14ac:dyDescent="0.25">
      <c r="R102" s="13"/>
      <c r="U102" s="36"/>
      <c r="V102" s="36"/>
      <c r="W102" s="13"/>
      <c r="Y102" s="111"/>
    </row>
    <row r="103" spans="1:29" x14ac:dyDescent="0.25">
      <c r="R103" s="13"/>
      <c r="U103" s="36"/>
      <c r="V103" s="36"/>
      <c r="W103" s="13"/>
    </row>
    <row r="104" spans="1:29" x14ac:dyDescent="0.25">
      <c r="R104" s="13"/>
      <c r="U104" s="36"/>
      <c r="V104" s="36"/>
      <c r="W104" s="13"/>
    </row>
    <row r="105" spans="1:29" x14ac:dyDescent="0.25">
      <c r="R105" s="13"/>
      <c r="U105" s="36"/>
      <c r="V105" s="36"/>
      <c r="W105" s="13"/>
    </row>
    <row r="106" spans="1:29" x14ac:dyDescent="0.25">
      <c r="R106" s="13"/>
      <c r="U106" s="36"/>
      <c r="V106" s="36"/>
      <c r="W106" s="13"/>
    </row>
    <row r="107" spans="1:29" x14ac:dyDescent="0.25">
      <c r="R107" s="13"/>
      <c r="U107" s="36"/>
      <c r="V107" s="36"/>
      <c r="W107" s="13"/>
    </row>
    <row r="108" spans="1:29" s="15" customFormat="1" x14ac:dyDescent="0.25">
      <c r="A108" s="11"/>
      <c r="B108" s="12"/>
      <c r="C108" s="13"/>
      <c r="D108" s="13"/>
      <c r="E108" s="14"/>
      <c r="J108" s="11"/>
      <c r="K108" s="11"/>
      <c r="L108" s="11"/>
      <c r="M108" s="12"/>
      <c r="N108" s="12"/>
      <c r="O108" s="12"/>
      <c r="P108" s="12"/>
      <c r="Q108" s="17"/>
      <c r="R108" s="13"/>
      <c r="U108" s="36"/>
      <c r="V108" s="36"/>
      <c r="W108" s="13"/>
      <c r="Z108" s="11"/>
      <c r="AA108" s="11"/>
      <c r="AB108" s="11"/>
      <c r="AC108" s="11"/>
    </row>
    <row r="109" spans="1:29" s="15" customFormat="1" x14ac:dyDescent="0.25">
      <c r="A109" s="11"/>
      <c r="B109" s="12"/>
      <c r="C109" s="13"/>
      <c r="D109" s="13"/>
      <c r="E109" s="14"/>
      <c r="J109" s="11"/>
      <c r="K109" s="11"/>
      <c r="L109" s="11"/>
      <c r="M109" s="12"/>
      <c r="N109" s="12"/>
      <c r="O109" s="12"/>
      <c r="P109" s="12"/>
      <c r="Q109" s="17"/>
      <c r="R109" s="13"/>
      <c r="U109" s="36"/>
      <c r="V109" s="36"/>
      <c r="W109" s="13"/>
      <c r="Z109" s="11"/>
      <c r="AA109" s="11"/>
      <c r="AB109" s="11"/>
      <c r="AC109" s="11"/>
    </row>
    <row r="110" spans="1:29" s="15" customFormat="1" x14ac:dyDescent="0.25">
      <c r="A110" s="11"/>
      <c r="B110" s="12"/>
      <c r="C110" s="13"/>
      <c r="D110" s="13"/>
      <c r="E110" s="14"/>
      <c r="J110" s="11"/>
      <c r="K110" s="11"/>
      <c r="L110" s="11"/>
      <c r="M110" s="12"/>
      <c r="N110" s="12"/>
      <c r="O110" s="12"/>
      <c r="P110" s="12"/>
      <c r="Q110" s="17"/>
      <c r="R110" s="13"/>
      <c r="U110" s="36"/>
      <c r="V110" s="36"/>
      <c r="W110" s="13"/>
      <c r="Z110" s="11"/>
      <c r="AA110" s="11"/>
      <c r="AB110" s="11"/>
      <c r="AC110" s="11"/>
    </row>
    <row r="111" spans="1:29" s="15" customFormat="1" x14ac:dyDescent="0.25">
      <c r="A111" s="11"/>
      <c r="B111" s="12"/>
      <c r="C111" s="13"/>
      <c r="D111" s="13"/>
      <c r="E111" s="14"/>
      <c r="J111" s="11"/>
      <c r="K111" s="11"/>
      <c r="L111" s="11"/>
      <c r="M111" s="12"/>
      <c r="N111" s="12"/>
      <c r="O111" s="12"/>
      <c r="P111" s="12"/>
      <c r="Q111" s="17"/>
      <c r="R111" s="13"/>
      <c r="U111" s="36"/>
      <c r="V111" s="36"/>
      <c r="W111" s="13"/>
      <c r="Z111" s="11"/>
      <c r="AA111" s="11"/>
      <c r="AB111" s="11"/>
      <c r="AC111" s="11"/>
    </row>
    <row r="112" spans="1:29" s="15" customFormat="1" x14ac:dyDescent="0.25">
      <c r="A112" s="11"/>
      <c r="B112" s="12"/>
      <c r="C112" s="13"/>
      <c r="D112" s="13"/>
      <c r="E112" s="14"/>
      <c r="J112" s="11"/>
      <c r="K112" s="11"/>
      <c r="L112" s="11"/>
      <c r="M112" s="12"/>
      <c r="N112" s="12"/>
      <c r="O112" s="12"/>
      <c r="P112" s="12"/>
      <c r="Q112" s="17"/>
      <c r="R112" s="13"/>
      <c r="U112" s="36"/>
      <c r="V112" s="36"/>
      <c r="W112" s="13"/>
      <c r="Z112" s="11"/>
      <c r="AA112" s="11"/>
      <c r="AB112" s="11"/>
      <c r="AC112" s="11"/>
    </row>
    <row r="113" spans="1:29" s="15" customFormat="1" x14ac:dyDescent="0.25">
      <c r="A113" s="11"/>
      <c r="B113" s="12"/>
      <c r="C113" s="13"/>
      <c r="D113" s="13"/>
      <c r="E113" s="14"/>
      <c r="J113" s="11"/>
      <c r="K113" s="11"/>
      <c r="L113" s="11"/>
      <c r="M113" s="12"/>
      <c r="N113" s="12"/>
      <c r="O113" s="12"/>
      <c r="P113" s="12"/>
      <c r="Q113" s="17"/>
      <c r="R113" s="13"/>
      <c r="U113" s="36"/>
      <c r="V113" s="36"/>
      <c r="W113" s="13"/>
      <c r="Z113" s="11"/>
      <c r="AA113" s="11"/>
      <c r="AB113" s="11"/>
      <c r="AC113" s="11"/>
    </row>
    <row r="114" spans="1:29" s="15" customFormat="1" x14ac:dyDescent="0.25">
      <c r="A114" s="11"/>
      <c r="B114" s="12"/>
      <c r="C114" s="13"/>
      <c r="D114" s="13"/>
      <c r="E114" s="14"/>
      <c r="J114" s="11"/>
      <c r="K114" s="11"/>
      <c r="L114" s="11"/>
      <c r="M114" s="12"/>
      <c r="N114" s="12"/>
      <c r="O114" s="12"/>
      <c r="P114" s="12"/>
      <c r="Q114" s="17"/>
      <c r="R114" s="13"/>
      <c r="U114" s="36"/>
      <c r="V114" s="36"/>
      <c r="W114" s="13"/>
      <c r="Z114" s="11"/>
      <c r="AA114" s="11"/>
      <c r="AB114" s="11"/>
      <c r="AC114" s="11"/>
    </row>
    <row r="115" spans="1:29" s="15" customFormat="1" x14ac:dyDescent="0.25">
      <c r="A115" s="11"/>
      <c r="B115" s="12"/>
      <c r="C115" s="13"/>
      <c r="D115" s="13"/>
      <c r="E115" s="14"/>
      <c r="J115" s="11"/>
      <c r="K115" s="11"/>
      <c r="L115" s="11"/>
      <c r="M115" s="12"/>
      <c r="N115" s="12"/>
      <c r="O115" s="12"/>
      <c r="P115" s="12"/>
      <c r="Q115" s="17"/>
      <c r="R115" s="13"/>
      <c r="U115" s="36"/>
      <c r="V115" s="36"/>
      <c r="W115" s="13"/>
      <c r="Z115" s="11"/>
      <c r="AA115" s="11"/>
      <c r="AB115" s="11"/>
      <c r="AC115" s="11"/>
    </row>
    <row r="116" spans="1:29" s="15" customFormat="1" x14ac:dyDescent="0.25">
      <c r="A116" s="11"/>
      <c r="B116" s="12"/>
      <c r="C116" s="13"/>
      <c r="D116" s="13"/>
      <c r="E116" s="14"/>
      <c r="J116" s="11"/>
      <c r="K116" s="11"/>
      <c r="L116" s="11"/>
      <c r="M116" s="12"/>
      <c r="N116" s="12"/>
      <c r="O116" s="12"/>
      <c r="P116" s="12"/>
      <c r="Q116" s="17"/>
      <c r="R116" s="13"/>
      <c r="U116" s="36"/>
      <c r="V116" s="36"/>
      <c r="W116" s="13"/>
      <c r="Z116" s="11"/>
      <c r="AA116" s="11"/>
      <c r="AB116" s="11"/>
      <c r="AC116" s="11"/>
    </row>
    <row r="117" spans="1:29" s="15" customFormat="1" x14ac:dyDescent="0.25">
      <c r="A117" s="11"/>
      <c r="B117" s="12"/>
      <c r="C117" s="13"/>
      <c r="D117" s="13"/>
      <c r="E117" s="14"/>
      <c r="J117" s="11"/>
      <c r="K117" s="11"/>
      <c r="L117" s="11"/>
      <c r="M117" s="12"/>
      <c r="N117" s="12"/>
      <c r="O117" s="12"/>
      <c r="P117" s="12"/>
      <c r="Q117" s="17"/>
      <c r="R117" s="13"/>
      <c r="U117" s="36"/>
      <c r="V117" s="36"/>
      <c r="W117" s="13"/>
      <c r="Z117" s="11"/>
      <c r="AA117" s="11"/>
      <c r="AB117" s="11"/>
      <c r="AC117" s="11"/>
    </row>
    <row r="118" spans="1:29" s="15" customFormat="1" x14ac:dyDescent="0.25">
      <c r="A118" s="11"/>
      <c r="B118" s="12"/>
      <c r="C118" s="13"/>
      <c r="D118" s="13"/>
      <c r="E118" s="14"/>
      <c r="J118" s="11"/>
      <c r="K118" s="11"/>
      <c r="L118" s="11"/>
      <c r="M118" s="12"/>
      <c r="N118" s="12"/>
      <c r="O118" s="12"/>
      <c r="P118" s="12"/>
      <c r="Q118" s="17"/>
      <c r="R118" s="13"/>
      <c r="U118" s="36"/>
      <c r="V118" s="36"/>
      <c r="W118" s="13"/>
      <c r="Z118" s="11"/>
      <c r="AA118" s="11"/>
      <c r="AB118" s="11"/>
      <c r="AC118" s="11"/>
    </row>
    <row r="119" spans="1:29" s="15" customFormat="1" x14ac:dyDescent="0.25">
      <c r="A119" s="11"/>
      <c r="B119" s="12"/>
      <c r="C119" s="13"/>
      <c r="D119" s="13"/>
      <c r="E119" s="14"/>
      <c r="J119" s="11"/>
      <c r="K119" s="11"/>
      <c r="L119" s="11"/>
      <c r="M119" s="12"/>
      <c r="N119" s="12"/>
      <c r="O119" s="12"/>
      <c r="P119" s="12"/>
      <c r="Q119" s="17"/>
      <c r="R119" s="13"/>
      <c r="U119" s="36"/>
      <c r="V119" s="36"/>
      <c r="W119" s="13"/>
      <c r="Z119" s="11"/>
      <c r="AA119" s="11"/>
      <c r="AB119" s="11"/>
      <c r="AC119" s="11"/>
    </row>
    <row r="120" spans="1:29" s="15" customFormat="1" x14ac:dyDescent="0.25">
      <c r="A120" s="11"/>
      <c r="B120" s="12"/>
      <c r="C120" s="13"/>
      <c r="D120" s="13"/>
      <c r="E120" s="14"/>
      <c r="J120" s="11"/>
      <c r="K120" s="11"/>
      <c r="L120" s="11"/>
      <c r="M120" s="12"/>
      <c r="N120" s="12"/>
      <c r="O120" s="12"/>
      <c r="P120" s="12"/>
      <c r="Q120" s="17"/>
      <c r="R120" s="13"/>
      <c r="U120" s="36"/>
      <c r="V120" s="36"/>
      <c r="W120" s="13"/>
      <c r="Z120" s="11"/>
      <c r="AA120" s="11"/>
      <c r="AB120" s="11"/>
      <c r="AC120" s="11"/>
    </row>
    <row r="121" spans="1:29" s="15" customFormat="1" x14ac:dyDescent="0.25">
      <c r="A121" s="11"/>
      <c r="B121" s="12"/>
      <c r="C121" s="13"/>
      <c r="D121" s="13"/>
      <c r="E121" s="14"/>
      <c r="J121" s="11"/>
      <c r="K121" s="11"/>
      <c r="L121" s="11"/>
      <c r="M121" s="12"/>
      <c r="N121" s="12"/>
      <c r="O121" s="12"/>
      <c r="P121" s="12"/>
      <c r="Q121" s="17"/>
      <c r="R121" s="13"/>
      <c r="U121" s="36"/>
      <c r="V121" s="36"/>
      <c r="W121" s="13"/>
      <c r="Z121" s="11"/>
      <c r="AA121" s="11"/>
      <c r="AB121" s="11"/>
      <c r="AC121" s="11"/>
    </row>
    <row r="122" spans="1:29" s="15" customFormat="1" x14ac:dyDescent="0.25">
      <c r="A122" s="11"/>
      <c r="B122" s="12"/>
      <c r="C122" s="13"/>
      <c r="D122" s="13"/>
      <c r="E122" s="14"/>
      <c r="J122" s="11"/>
      <c r="K122" s="11"/>
      <c r="L122" s="11"/>
      <c r="M122" s="12"/>
      <c r="N122" s="12"/>
      <c r="O122" s="12"/>
      <c r="P122" s="12"/>
      <c r="Q122" s="17"/>
      <c r="R122" s="13"/>
      <c r="U122" s="36"/>
      <c r="V122" s="36"/>
      <c r="W122" s="13"/>
      <c r="Z122" s="11"/>
      <c r="AA122" s="11"/>
      <c r="AB122" s="11"/>
      <c r="AC122" s="11"/>
    </row>
    <row r="123" spans="1:29" s="15" customFormat="1" x14ac:dyDescent="0.25">
      <c r="A123" s="11"/>
      <c r="B123" s="12"/>
      <c r="C123" s="13"/>
      <c r="D123" s="13"/>
      <c r="E123" s="14"/>
      <c r="J123" s="11"/>
      <c r="K123" s="11"/>
      <c r="L123" s="11"/>
      <c r="M123" s="12"/>
      <c r="N123" s="12"/>
      <c r="O123" s="12"/>
      <c r="P123" s="12"/>
      <c r="Q123" s="17"/>
      <c r="R123" s="13"/>
      <c r="U123" s="36"/>
      <c r="V123" s="36"/>
      <c r="W123" s="13"/>
      <c r="Z123" s="11"/>
      <c r="AA123" s="11"/>
      <c r="AB123" s="11"/>
      <c r="AC123" s="11"/>
    </row>
    <row r="124" spans="1:29" s="15" customFormat="1" x14ac:dyDescent="0.25">
      <c r="A124" s="11"/>
      <c r="B124" s="12"/>
      <c r="C124" s="13"/>
      <c r="D124" s="13"/>
      <c r="E124" s="14"/>
      <c r="J124" s="11"/>
      <c r="K124" s="11"/>
      <c r="L124" s="11"/>
      <c r="M124" s="12"/>
      <c r="N124" s="12"/>
      <c r="O124" s="12"/>
      <c r="P124" s="12"/>
      <c r="Q124" s="17"/>
      <c r="R124" s="13"/>
      <c r="U124" s="36"/>
      <c r="V124" s="36"/>
      <c r="W124" s="13"/>
      <c r="Z124" s="11"/>
      <c r="AA124" s="11"/>
      <c r="AB124" s="11"/>
      <c r="AC124" s="11"/>
    </row>
    <row r="125" spans="1:29" s="15" customFormat="1" x14ac:dyDescent="0.25">
      <c r="A125" s="11"/>
      <c r="B125" s="12"/>
      <c r="C125" s="13"/>
      <c r="D125" s="13"/>
      <c r="E125" s="14"/>
      <c r="J125" s="11"/>
      <c r="K125" s="11"/>
      <c r="L125" s="11"/>
      <c r="M125" s="12"/>
      <c r="N125" s="12"/>
      <c r="O125" s="12"/>
      <c r="P125" s="12"/>
      <c r="Q125" s="17"/>
      <c r="R125" s="13"/>
      <c r="U125" s="36"/>
      <c r="V125" s="36"/>
      <c r="W125" s="13"/>
      <c r="Z125" s="11"/>
      <c r="AA125" s="11"/>
      <c r="AB125" s="11"/>
      <c r="AC125" s="11"/>
    </row>
    <row r="126" spans="1:29" s="15" customFormat="1" x14ac:dyDescent="0.25">
      <c r="A126" s="11"/>
      <c r="B126" s="12"/>
      <c r="C126" s="13"/>
      <c r="D126" s="13"/>
      <c r="E126" s="14"/>
      <c r="J126" s="11"/>
      <c r="K126" s="11"/>
      <c r="L126" s="11"/>
      <c r="M126" s="12"/>
      <c r="N126" s="12"/>
      <c r="O126" s="12"/>
      <c r="P126" s="12"/>
      <c r="Q126" s="17"/>
      <c r="R126" s="13"/>
      <c r="U126" s="36"/>
      <c r="V126" s="36"/>
      <c r="W126" s="13"/>
      <c r="Z126" s="11"/>
      <c r="AA126" s="11"/>
      <c r="AB126" s="11"/>
      <c r="AC126" s="11"/>
    </row>
    <row r="127" spans="1:29" s="15" customFormat="1" x14ac:dyDescent="0.25">
      <c r="A127" s="11"/>
      <c r="B127" s="12"/>
      <c r="C127" s="13"/>
      <c r="D127" s="13"/>
      <c r="E127" s="14"/>
      <c r="J127" s="11"/>
      <c r="K127" s="11"/>
      <c r="L127" s="11"/>
      <c r="M127" s="12"/>
      <c r="N127" s="12"/>
      <c r="O127" s="12"/>
      <c r="P127" s="12"/>
      <c r="Q127" s="17"/>
      <c r="R127" s="13"/>
      <c r="U127" s="36"/>
      <c r="V127" s="36"/>
      <c r="W127" s="13"/>
      <c r="Z127" s="11"/>
      <c r="AA127" s="11"/>
      <c r="AB127" s="11"/>
      <c r="AC127" s="11"/>
    </row>
    <row r="128" spans="1:29" s="15" customFormat="1" x14ac:dyDescent="0.25">
      <c r="A128" s="11"/>
      <c r="B128" s="12"/>
      <c r="C128" s="13"/>
      <c r="D128" s="13"/>
      <c r="E128" s="14"/>
      <c r="J128" s="11"/>
      <c r="K128" s="11"/>
      <c r="L128" s="11"/>
      <c r="M128" s="12"/>
      <c r="N128" s="12"/>
      <c r="O128" s="12"/>
      <c r="P128" s="12"/>
      <c r="Q128" s="17"/>
      <c r="R128" s="13"/>
      <c r="U128" s="36"/>
      <c r="V128" s="36"/>
      <c r="W128" s="13"/>
      <c r="Z128" s="11"/>
      <c r="AA128" s="11"/>
      <c r="AB128" s="11"/>
      <c r="AC128" s="11"/>
    </row>
    <row r="129" spans="1:29" s="15" customFormat="1" x14ac:dyDescent="0.25">
      <c r="A129" s="11"/>
      <c r="B129" s="12"/>
      <c r="C129" s="13"/>
      <c r="D129" s="13"/>
      <c r="E129" s="14"/>
      <c r="J129" s="11"/>
      <c r="K129" s="11"/>
      <c r="L129" s="11"/>
      <c r="M129" s="12"/>
      <c r="N129" s="12"/>
      <c r="O129" s="12"/>
      <c r="P129" s="12"/>
      <c r="Q129" s="17"/>
      <c r="R129" s="13"/>
      <c r="U129" s="36"/>
      <c r="V129" s="36"/>
      <c r="W129" s="13"/>
      <c r="Z129" s="11"/>
      <c r="AA129" s="11"/>
      <c r="AB129" s="11"/>
      <c r="AC129" s="11"/>
    </row>
    <row r="130" spans="1:29" s="15" customFormat="1" x14ac:dyDescent="0.25">
      <c r="A130" s="11"/>
      <c r="B130" s="12"/>
      <c r="C130" s="13"/>
      <c r="D130" s="13"/>
      <c r="E130" s="14"/>
      <c r="J130" s="11"/>
      <c r="K130" s="11"/>
      <c r="L130" s="11"/>
      <c r="M130" s="12"/>
      <c r="N130" s="12"/>
      <c r="O130" s="12"/>
      <c r="P130" s="12"/>
      <c r="Q130" s="17"/>
      <c r="R130" s="13"/>
      <c r="U130" s="36"/>
      <c r="V130" s="36"/>
      <c r="W130" s="13"/>
      <c r="Z130" s="11"/>
      <c r="AA130" s="11"/>
      <c r="AB130" s="11"/>
      <c r="AC130" s="11"/>
    </row>
    <row r="131" spans="1:29" s="15" customFormat="1" x14ac:dyDescent="0.25">
      <c r="A131" s="11"/>
      <c r="B131" s="12"/>
      <c r="C131" s="13"/>
      <c r="D131" s="13"/>
      <c r="E131" s="14"/>
      <c r="J131" s="11"/>
      <c r="K131" s="11"/>
      <c r="L131" s="11"/>
      <c r="M131" s="12"/>
      <c r="N131" s="12"/>
      <c r="O131" s="12"/>
      <c r="P131" s="12"/>
      <c r="Q131" s="17"/>
      <c r="R131" s="13"/>
      <c r="U131" s="36"/>
      <c r="V131" s="36"/>
      <c r="W131" s="13"/>
      <c r="Z131" s="11"/>
      <c r="AA131" s="11"/>
      <c r="AB131" s="11"/>
      <c r="AC131" s="11"/>
    </row>
    <row r="132" spans="1:29" s="15" customFormat="1" x14ac:dyDescent="0.25">
      <c r="A132" s="11"/>
      <c r="B132" s="12"/>
      <c r="C132" s="13"/>
      <c r="D132" s="13"/>
      <c r="E132" s="14"/>
      <c r="J132" s="11"/>
      <c r="K132" s="11"/>
      <c r="L132" s="11"/>
      <c r="M132" s="12"/>
      <c r="N132" s="12"/>
      <c r="O132" s="12"/>
      <c r="P132" s="12"/>
      <c r="Q132" s="17"/>
      <c r="R132" s="13"/>
      <c r="U132" s="36"/>
      <c r="V132" s="36"/>
      <c r="W132" s="13"/>
      <c r="Z132" s="11"/>
      <c r="AA132" s="11"/>
      <c r="AB132" s="11"/>
      <c r="AC132" s="11"/>
    </row>
    <row r="133" spans="1:29" s="15" customFormat="1" x14ac:dyDescent="0.25">
      <c r="A133" s="11"/>
      <c r="B133" s="12"/>
      <c r="C133" s="13"/>
      <c r="D133" s="13"/>
      <c r="E133" s="14"/>
      <c r="J133" s="11"/>
      <c r="K133" s="11"/>
      <c r="L133" s="11"/>
      <c r="M133" s="12"/>
      <c r="N133" s="12"/>
      <c r="O133" s="12"/>
      <c r="P133" s="12"/>
      <c r="Q133" s="17"/>
      <c r="R133" s="13"/>
      <c r="U133" s="36"/>
      <c r="V133" s="36"/>
      <c r="W133" s="13"/>
      <c r="Z133" s="11"/>
      <c r="AA133" s="11"/>
      <c r="AB133" s="11"/>
      <c r="AC133" s="11"/>
    </row>
    <row r="134" spans="1:29" s="15" customFormat="1" x14ac:dyDescent="0.25">
      <c r="A134" s="11"/>
      <c r="B134" s="12"/>
      <c r="C134" s="13"/>
      <c r="D134" s="13"/>
      <c r="E134" s="14"/>
      <c r="J134" s="11"/>
      <c r="K134" s="11"/>
      <c r="L134" s="11"/>
      <c r="M134" s="12"/>
      <c r="N134" s="12"/>
      <c r="O134" s="12"/>
      <c r="P134" s="12"/>
      <c r="Q134" s="17"/>
      <c r="R134" s="13"/>
      <c r="U134" s="36"/>
      <c r="V134" s="36"/>
      <c r="W134" s="13"/>
      <c r="Z134" s="11"/>
      <c r="AA134" s="11"/>
      <c r="AB134" s="11"/>
      <c r="AC134" s="11"/>
    </row>
    <row r="135" spans="1:29" s="15" customFormat="1" x14ac:dyDescent="0.25">
      <c r="A135" s="11"/>
      <c r="B135" s="12"/>
      <c r="C135" s="13"/>
      <c r="D135" s="13"/>
      <c r="E135" s="14"/>
      <c r="J135" s="11"/>
      <c r="K135" s="11"/>
      <c r="L135" s="11"/>
      <c r="M135" s="12"/>
      <c r="N135" s="12"/>
      <c r="O135" s="12"/>
      <c r="P135" s="12"/>
      <c r="Q135" s="17"/>
      <c r="R135" s="13"/>
      <c r="U135" s="36"/>
      <c r="V135" s="36"/>
      <c r="W135" s="13"/>
      <c r="Z135" s="11"/>
      <c r="AA135" s="11"/>
      <c r="AB135" s="11"/>
      <c r="AC135" s="11"/>
    </row>
    <row r="136" spans="1:29" s="15" customFormat="1" x14ac:dyDescent="0.25">
      <c r="A136" s="11"/>
      <c r="B136" s="12"/>
      <c r="C136" s="13"/>
      <c r="D136" s="13"/>
      <c r="E136" s="14"/>
      <c r="J136" s="11"/>
      <c r="K136" s="11"/>
      <c r="L136" s="11"/>
      <c r="M136" s="12"/>
      <c r="N136" s="12"/>
      <c r="O136" s="12"/>
      <c r="P136" s="12"/>
      <c r="Q136" s="17"/>
      <c r="R136" s="13"/>
      <c r="U136" s="36"/>
      <c r="V136" s="36"/>
      <c r="W136" s="13"/>
      <c r="Z136" s="11"/>
      <c r="AA136" s="11"/>
      <c r="AB136" s="11"/>
      <c r="AC136" s="11"/>
    </row>
    <row r="137" spans="1:29" s="15" customFormat="1" x14ac:dyDescent="0.25">
      <c r="A137" s="11"/>
      <c r="B137" s="12"/>
      <c r="C137" s="13"/>
      <c r="D137" s="13"/>
      <c r="E137" s="14"/>
      <c r="J137" s="11"/>
      <c r="K137" s="11"/>
      <c r="L137" s="11"/>
      <c r="M137" s="12"/>
      <c r="N137" s="12"/>
      <c r="O137" s="12"/>
      <c r="P137" s="12"/>
      <c r="Q137" s="17"/>
      <c r="R137" s="13"/>
      <c r="U137" s="36"/>
      <c r="V137" s="36"/>
      <c r="W137" s="13"/>
      <c r="Z137" s="11"/>
      <c r="AA137" s="11"/>
      <c r="AB137" s="11"/>
      <c r="AC137" s="11"/>
    </row>
    <row r="138" spans="1:29" s="15" customFormat="1" x14ac:dyDescent="0.25">
      <c r="A138" s="11"/>
      <c r="B138" s="12"/>
      <c r="C138" s="13"/>
      <c r="D138" s="13"/>
      <c r="E138" s="14"/>
      <c r="J138" s="11"/>
      <c r="K138" s="11"/>
      <c r="L138" s="11"/>
      <c r="M138" s="12"/>
      <c r="N138" s="12"/>
      <c r="O138" s="12"/>
      <c r="P138" s="12"/>
      <c r="Q138" s="17"/>
      <c r="R138" s="13"/>
      <c r="U138" s="36"/>
      <c r="V138" s="36"/>
      <c r="W138" s="13"/>
      <c r="Z138" s="11"/>
      <c r="AA138" s="11"/>
      <c r="AB138" s="11"/>
      <c r="AC138" s="11"/>
    </row>
    <row r="139" spans="1:29" s="15" customFormat="1" x14ac:dyDescent="0.25">
      <c r="A139" s="11"/>
      <c r="B139" s="12"/>
      <c r="C139" s="13"/>
      <c r="D139" s="13"/>
      <c r="E139" s="14"/>
      <c r="J139" s="11"/>
      <c r="K139" s="11"/>
      <c r="L139" s="11"/>
      <c r="M139" s="12"/>
      <c r="N139" s="12"/>
      <c r="O139" s="12"/>
      <c r="P139" s="12"/>
      <c r="Q139" s="17"/>
      <c r="R139" s="13"/>
      <c r="U139" s="36"/>
      <c r="V139" s="36"/>
      <c r="W139" s="13"/>
      <c r="Z139" s="11"/>
      <c r="AA139" s="11"/>
      <c r="AB139" s="11"/>
      <c r="AC139" s="11"/>
    </row>
    <row r="140" spans="1:29" x14ac:dyDescent="0.25">
      <c r="R140" s="13"/>
      <c r="U140" s="36"/>
      <c r="V140" s="36"/>
      <c r="W140" s="13"/>
    </row>
    <row r="141" spans="1:29" x14ac:dyDescent="0.25">
      <c r="R141" s="13"/>
      <c r="U141" s="36"/>
      <c r="V141" s="36"/>
      <c r="W141" s="13"/>
    </row>
    <row r="142" spans="1:29" x14ac:dyDescent="0.25">
      <c r="R142" s="13"/>
      <c r="U142" s="36"/>
      <c r="V142" s="36"/>
      <c r="W142" s="13"/>
    </row>
    <row r="143" spans="1:29" ht="26.25" x14ac:dyDescent="0.4">
      <c r="A143" s="112"/>
      <c r="R143" s="13"/>
      <c r="U143" s="36"/>
      <c r="V143" s="36"/>
      <c r="W143" s="13"/>
    </row>
    <row r="144" spans="1:29" x14ac:dyDescent="0.25">
      <c r="R144" s="13"/>
      <c r="U144" s="36"/>
      <c r="V144" s="36"/>
      <c r="W144" s="13"/>
    </row>
    <row r="145" spans="1:29" x14ac:dyDescent="0.25">
      <c r="R145" s="13"/>
      <c r="U145" s="36"/>
      <c r="V145" s="36"/>
      <c r="W145" s="13"/>
    </row>
    <row r="146" spans="1:29" x14ac:dyDescent="0.25">
      <c r="R146" s="13"/>
      <c r="U146" s="36"/>
      <c r="V146" s="36"/>
      <c r="W146" s="13"/>
    </row>
    <row r="147" spans="1:29" x14ac:dyDescent="0.25">
      <c r="R147" s="13"/>
      <c r="U147" s="36"/>
      <c r="V147" s="36"/>
      <c r="W147" s="13"/>
      <c r="AC147" s="110"/>
    </row>
    <row r="148" spans="1:29" x14ac:dyDescent="0.25">
      <c r="R148" s="13"/>
      <c r="U148" s="36"/>
      <c r="V148" s="36"/>
      <c r="W148" s="13"/>
    </row>
    <row r="149" spans="1:29" x14ac:dyDescent="0.25">
      <c r="R149" s="13"/>
      <c r="U149" s="36"/>
      <c r="V149" s="36"/>
      <c r="W149" s="13"/>
    </row>
    <row r="150" spans="1:29" x14ac:dyDescent="0.25">
      <c r="J150" s="100"/>
      <c r="R150" s="13"/>
      <c r="U150" s="36"/>
      <c r="V150" s="36"/>
      <c r="W150" s="13"/>
    </row>
    <row r="151" spans="1:29" x14ac:dyDescent="0.25">
      <c r="J151" s="100"/>
      <c r="R151" s="13"/>
      <c r="U151" s="36"/>
      <c r="V151" s="36"/>
      <c r="W151" s="13"/>
    </row>
    <row r="152" spans="1:29" x14ac:dyDescent="0.25">
      <c r="R152" s="13"/>
      <c r="U152" s="36"/>
      <c r="V152" s="36"/>
      <c r="W152" s="13"/>
    </row>
    <row r="153" spans="1:29" x14ac:dyDescent="0.25">
      <c r="R153" s="13"/>
      <c r="U153" s="36"/>
      <c r="V153" s="36"/>
      <c r="W153" s="13"/>
    </row>
    <row r="154" spans="1:29" x14ac:dyDescent="0.25">
      <c r="R154" s="13"/>
      <c r="U154" s="36"/>
      <c r="V154" s="36"/>
      <c r="W154" s="13"/>
    </row>
    <row r="155" spans="1:29" x14ac:dyDescent="0.25">
      <c r="R155" s="13"/>
      <c r="U155" s="36"/>
      <c r="V155" s="36"/>
      <c r="W155" s="13"/>
    </row>
    <row r="156" spans="1:29" s="15" customFormat="1" x14ac:dyDescent="0.25">
      <c r="A156" s="11"/>
      <c r="B156" s="12"/>
      <c r="C156" s="13"/>
      <c r="D156" s="13"/>
      <c r="E156" s="14"/>
      <c r="J156" s="11"/>
      <c r="K156" s="11"/>
      <c r="L156" s="11"/>
      <c r="M156" s="12"/>
      <c r="N156" s="12"/>
      <c r="O156" s="12"/>
      <c r="P156" s="12"/>
      <c r="Q156" s="17"/>
      <c r="R156" s="13"/>
      <c r="U156" s="36"/>
      <c r="V156" s="36"/>
      <c r="W156" s="13"/>
      <c r="Z156" s="11"/>
      <c r="AA156" s="11"/>
      <c r="AB156" s="11"/>
      <c r="AC156" s="11"/>
    </row>
    <row r="157" spans="1:29" s="15" customFormat="1" x14ac:dyDescent="0.25">
      <c r="A157" s="11"/>
      <c r="B157" s="12"/>
      <c r="C157" s="13"/>
      <c r="D157" s="13"/>
      <c r="E157" s="14"/>
      <c r="J157" s="11"/>
      <c r="K157" s="11"/>
      <c r="L157" s="11"/>
      <c r="M157" s="12"/>
      <c r="N157" s="12"/>
      <c r="O157" s="12"/>
      <c r="P157" s="12"/>
      <c r="Q157" s="17"/>
      <c r="R157" s="13"/>
      <c r="U157" s="36"/>
      <c r="V157" s="36"/>
      <c r="W157" s="13"/>
      <c r="Z157" s="11"/>
      <c r="AA157" s="11"/>
      <c r="AB157" s="11"/>
      <c r="AC157" s="11"/>
    </row>
    <row r="158" spans="1:29" s="15" customFormat="1" x14ac:dyDescent="0.25">
      <c r="A158" s="11"/>
      <c r="B158" s="12"/>
      <c r="C158" s="13"/>
      <c r="D158" s="13"/>
      <c r="E158" s="14"/>
      <c r="J158" s="11"/>
      <c r="K158" s="11"/>
      <c r="L158" s="11"/>
      <c r="M158" s="12"/>
      <c r="N158" s="12"/>
      <c r="O158" s="12"/>
      <c r="P158" s="12"/>
      <c r="Q158" s="17"/>
      <c r="R158" s="13"/>
      <c r="U158" s="36"/>
      <c r="V158" s="36"/>
      <c r="W158" s="13"/>
      <c r="Z158" s="11"/>
      <c r="AA158" s="11"/>
      <c r="AB158" s="11"/>
      <c r="AC158" s="11"/>
    </row>
    <row r="159" spans="1:29" s="15" customFormat="1" x14ac:dyDescent="0.25">
      <c r="A159" s="11"/>
      <c r="B159" s="12"/>
      <c r="C159" s="13"/>
      <c r="D159" s="13"/>
      <c r="E159" s="14"/>
      <c r="J159" s="11"/>
      <c r="K159" s="11"/>
      <c r="L159" s="11"/>
      <c r="M159" s="12"/>
      <c r="N159" s="12"/>
      <c r="O159" s="12"/>
      <c r="P159" s="12"/>
      <c r="Q159" s="17"/>
      <c r="R159" s="13"/>
      <c r="U159" s="36"/>
      <c r="V159" s="36"/>
      <c r="W159" s="13"/>
      <c r="Z159" s="11"/>
      <c r="AA159" s="11"/>
      <c r="AB159" s="11"/>
      <c r="AC159" s="11"/>
    </row>
    <row r="160" spans="1:29" s="15" customFormat="1" x14ac:dyDescent="0.25">
      <c r="A160" s="11"/>
      <c r="B160" s="12"/>
      <c r="C160" s="13"/>
      <c r="D160" s="13"/>
      <c r="E160" s="14"/>
      <c r="J160" s="11"/>
      <c r="K160" s="11"/>
      <c r="L160" s="11"/>
      <c r="M160" s="12"/>
      <c r="N160" s="12"/>
      <c r="O160" s="12"/>
      <c r="P160" s="12"/>
      <c r="Q160" s="17"/>
      <c r="R160" s="13"/>
      <c r="U160" s="36"/>
      <c r="V160" s="36"/>
      <c r="W160" s="13"/>
      <c r="Z160" s="11"/>
      <c r="AA160" s="11"/>
      <c r="AB160" s="11"/>
      <c r="AC160" s="11"/>
    </row>
    <row r="161" spans="1:29" s="15" customFormat="1" x14ac:dyDescent="0.25">
      <c r="A161" s="11"/>
      <c r="B161" s="12"/>
      <c r="C161" s="13"/>
      <c r="D161" s="13"/>
      <c r="E161" s="14"/>
      <c r="J161" s="11"/>
      <c r="K161" s="11"/>
      <c r="L161" s="11"/>
      <c r="M161" s="12"/>
      <c r="N161" s="12"/>
      <c r="O161" s="12"/>
      <c r="P161" s="12"/>
      <c r="Q161" s="17"/>
      <c r="R161" s="13"/>
      <c r="U161" s="36"/>
      <c r="V161" s="36"/>
      <c r="W161" s="13"/>
      <c r="Z161" s="11"/>
      <c r="AA161" s="11"/>
      <c r="AB161" s="11"/>
      <c r="AC161" s="11"/>
    </row>
    <row r="162" spans="1:29" s="15" customFormat="1" x14ac:dyDescent="0.25">
      <c r="A162" s="11"/>
      <c r="B162" s="12"/>
      <c r="C162" s="13"/>
      <c r="D162" s="13"/>
      <c r="E162" s="14"/>
      <c r="J162" s="11"/>
      <c r="K162" s="11"/>
      <c r="L162" s="11"/>
      <c r="M162" s="12"/>
      <c r="N162" s="12"/>
      <c r="O162" s="12"/>
      <c r="P162" s="12"/>
      <c r="Q162" s="17"/>
      <c r="R162" s="13"/>
      <c r="U162" s="36"/>
      <c r="V162" s="36"/>
      <c r="W162" s="13"/>
      <c r="Z162" s="11"/>
      <c r="AA162" s="11"/>
      <c r="AB162" s="11"/>
      <c r="AC162" s="11"/>
    </row>
    <row r="163" spans="1:29" s="15" customFormat="1" x14ac:dyDescent="0.25">
      <c r="A163" s="11"/>
      <c r="B163" s="12"/>
      <c r="C163" s="13"/>
      <c r="D163" s="13"/>
      <c r="E163" s="14"/>
      <c r="J163" s="11"/>
      <c r="K163" s="11"/>
      <c r="L163" s="11"/>
      <c r="M163" s="12"/>
      <c r="N163" s="12"/>
      <c r="O163" s="12"/>
      <c r="P163" s="12"/>
      <c r="Q163" s="17"/>
      <c r="R163" s="13"/>
      <c r="U163" s="36"/>
      <c r="V163" s="36"/>
      <c r="W163" s="13"/>
      <c r="Z163" s="11"/>
      <c r="AA163" s="11"/>
      <c r="AB163" s="11"/>
      <c r="AC163" s="11"/>
    </row>
    <row r="164" spans="1:29" s="15" customFormat="1" x14ac:dyDescent="0.25">
      <c r="A164" s="11"/>
      <c r="B164" s="12"/>
      <c r="C164" s="13"/>
      <c r="D164" s="13"/>
      <c r="E164" s="14"/>
      <c r="J164" s="11"/>
      <c r="K164" s="11"/>
      <c r="L164" s="11"/>
      <c r="M164" s="12"/>
      <c r="N164" s="12"/>
      <c r="O164" s="12"/>
      <c r="P164" s="12"/>
      <c r="Q164" s="17"/>
      <c r="R164" s="13"/>
      <c r="U164" s="36"/>
      <c r="V164" s="36"/>
      <c r="W164" s="13"/>
      <c r="Z164" s="11"/>
      <c r="AA164" s="11"/>
      <c r="AB164" s="11"/>
      <c r="AC164" s="11"/>
    </row>
    <row r="165" spans="1:29" s="15" customFormat="1" x14ac:dyDescent="0.25">
      <c r="A165" s="11"/>
      <c r="B165" s="12"/>
      <c r="C165" s="13"/>
      <c r="D165" s="13"/>
      <c r="E165" s="14"/>
      <c r="J165" s="11"/>
      <c r="K165" s="11"/>
      <c r="L165" s="11"/>
      <c r="M165" s="12"/>
      <c r="N165" s="12"/>
      <c r="O165" s="12"/>
      <c r="P165" s="12"/>
      <c r="Q165" s="17"/>
      <c r="R165" s="13"/>
      <c r="U165" s="36"/>
      <c r="V165" s="36"/>
      <c r="W165" s="13"/>
      <c r="Z165" s="11"/>
      <c r="AA165" s="11"/>
      <c r="AB165" s="11"/>
      <c r="AC165" s="11"/>
    </row>
    <row r="166" spans="1:29" s="15" customFormat="1" x14ac:dyDescent="0.25">
      <c r="A166" s="11"/>
      <c r="B166" s="12"/>
      <c r="C166" s="13"/>
      <c r="D166" s="13"/>
      <c r="E166" s="14"/>
      <c r="J166" s="11"/>
      <c r="K166" s="11"/>
      <c r="L166" s="11"/>
      <c r="M166" s="12"/>
      <c r="N166" s="12"/>
      <c r="O166" s="12"/>
      <c r="P166" s="12"/>
      <c r="Q166" s="17"/>
      <c r="R166" s="13"/>
      <c r="U166" s="36"/>
      <c r="V166" s="36"/>
      <c r="W166" s="13"/>
      <c r="Z166" s="11"/>
      <c r="AA166" s="11"/>
      <c r="AB166" s="11"/>
      <c r="AC166" s="11"/>
    </row>
    <row r="167" spans="1:29" s="15" customFormat="1" x14ac:dyDescent="0.25">
      <c r="A167" s="11"/>
      <c r="B167" s="12"/>
      <c r="C167" s="13"/>
      <c r="D167" s="13"/>
      <c r="E167" s="14"/>
      <c r="J167" s="11"/>
      <c r="K167" s="11"/>
      <c r="L167" s="11"/>
      <c r="M167" s="12"/>
      <c r="N167" s="12"/>
      <c r="O167" s="12"/>
      <c r="P167" s="12"/>
      <c r="Q167" s="17"/>
      <c r="R167" s="13"/>
      <c r="U167" s="36"/>
      <c r="V167" s="36"/>
      <c r="W167" s="13"/>
      <c r="Z167" s="11"/>
      <c r="AA167" s="11"/>
      <c r="AB167" s="11"/>
      <c r="AC167" s="11"/>
    </row>
    <row r="168" spans="1:29" s="15" customFormat="1" x14ac:dyDescent="0.25">
      <c r="A168" s="11"/>
      <c r="B168" s="12"/>
      <c r="C168" s="13"/>
      <c r="D168" s="13"/>
      <c r="E168" s="14"/>
      <c r="J168" s="11"/>
      <c r="K168" s="11"/>
      <c r="L168" s="11"/>
      <c r="M168" s="12"/>
      <c r="N168" s="12"/>
      <c r="O168" s="12"/>
      <c r="P168" s="12"/>
      <c r="Q168" s="17"/>
      <c r="R168" s="13"/>
      <c r="U168" s="36"/>
      <c r="V168" s="36"/>
      <c r="W168" s="13"/>
      <c r="Z168" s="11"/>
      <c r="AA168" s="11"/>
      <c r="AB168" s="11"/>
      <c r="AC168" s="11"/>
    </row>
    <row r="169" spans="1:29" s="15" customFormat="1" x14ac:dyDescent="0.25">
      <c r="A169" s="11"/>
      <c r="B169" s="12"/>
      <c r="C169" s="13"/>
      <c r="D169" s="13"/>
      <c r="E169" s="14"/>
      <c r="J169" s="11"/>
      <c r="K169" s="11"/>
      <c r="L169" s="11"/>
      <c r="M169" s="12"/>
      <c r="N169" s="12"/>
      <c r="O169" s="12"/>
      <c r="P169" s="12"/>
      <c r="Q169" s="17"/>
      <c r="R169" s="13"/>
      <c r="U169" s="36"/>
      <c r="V169" s="36"/>
      <c r="W169" s="13"/>
      <c r="Z169" s="11"/>
      <c r="AA169" s="11"/>
      <c r="AB169" s="11"/>
      <c r="AC169" s="11"/>
    </row>
    <row r="170" spans="1:29" s="15" customFormat="1" x14ac:dyDescent="0.25">
      <c r="A170" s="11"/>
      <c r="B170" s="12"/>
      <c r="C170" s="13"/>
      <c r="D170" s="13"/>
      <c r="E170" s="14"/>
      <c r="J170" s="11"/>
      <c r="K170" s="11"/>
      <c r="L170" s="11"/>
      <c r="M170" s="12"/>
      <c r="N170" s="12"/>
      <c r="O170" s="12"/>
      <c r="P170" s="12"/>
      <c r="Q170" s="17"/>
      <c r="R170" s="13"/>
      <c r="U170" s="36"/>
      <c r="V170" s="36"/>
      <c r="W170" s="13"/>
      <c r="Z170" s="11"/>
      <c r="AA170" s="11"/>
      <c r="AB170" s="11"/>
      <c r="AC170" s="11"/>
    </row>
    <row r="171" spans="1:29" s="15" customFormat="1" x14ac:dyDescent="0.25">
      <c r="A171" s="11"/>
      <c r="B171" s="12"/>
      <c r="C171" s="13"/>
      <c r="D171" s="13"/>
      <c r="E171" s="14"/>
      <c r="J171" s="11"/>
      <c r="K171" s="11"/>
      <c r="L171" s="11"/>
      <c r="M171" s="12"/>
      <c r="N171" s="12"/>
      <c r="O171" s="12"/>
      <c r="P171" s="12"/>
      <c r="Q171" s="17"/>
      <c r="R171" s="13"/>
      <c r="U171" s="36"/>
      <c r="V171" s="36"/>
      <c r="W171" s="13"/>
      <c r="Z171" s="11"/>
      <c r="AA171" s="11"/>
      <c r="AB171" s="11"/>
      <c r="AC171" s="11"/>
    </row>
    <row r="172" spans="1:29" x14ac:dyDescent="0.25">
      <c r="R172" s="13"/>
      <c r="U172" s="36"/>
      <c r="V172" s="36"/>
      <c r="W172" s="13"/>
    </row>
    <row r="173" spans="1:29" x14ac:dyDescent="0.25">
      <c r="R173" s="13"/>
      <c r="U173" s="36"/>
      <c r="V173" s="36"/>
      <c r="W173" s="13"/>
    </row>
    <row r="174" spans="1:29" x14ac:dyDescent="0.25">
      <c r="R174" s="13"/>
      <c r="U174" s="36"/>
      <c r="V174" s="36"/>
      <c r="W174" s="13"/>
    </row>
    <row r="175" spans="1:29" x14ac:dyDescent="0.25">
      <c r="R175" s="13"/>
      <c r="U175" s="36"/>
      <c r="V175" s="36"/>
      <c r="W175" s="13"/>
    </row>
    <row r="176" spans="1:29" x14ac:dyDescent="0.25">
      <c r="R176" s="13"/>
      <c r="U176" s="36"/>
      <c r="V176" s="36"/>
      <c r="W176" s="13"/>
    </row>
    <row r="177" spans="1:29" x14ac:dyDescent="0.25">
      <c r="R177" s="13"/>
      <c r="U177" s="36"/>
      <c r="V177" s="36"/>
      <c r="W177" s="13"/>
    </row>
    <row r="178" spans="1:29" x14ac:dyDescent="0.25">
      <c r="R178" s="13"/>
      <c r="U178" s="36"/>
      <c r="V178" s="36"/>
      <c r="W178" s="13"/>
    </row>
    <row r="179" spans="1:29" x14ac:dyDescent="0.25">
      <c r="R179" s="13"/>
      <c r="U179" s="36"/>
      <c r="V179" s="36"/>
      <c r="W179" s="13"/>
    </row>
    <row r="180" spans="1:29" x14ac:dyDescent="0.25">
      <c r="R180" s="13"/>
      <c r="U180" s="36"/>
      <c r="V180" s="36"/>
      <c r="W180" s="13"/>
    </row>
    <row r="181" spans="1:29" x14ac:dyDescent="0.25">
      <c r="R181" s="13"/>
      <c r="U181" s="36"/>
      <c r="V181" s="36"/>
    </row>
    <row r="182" spans="1:29" x14ac:dyDescent="0.25">
      <c r="R182" s="13"/>
      <c r="U182" s="36"/>
      <c r="V182" s="36"/>
    </row>
    <row r="183" spans="1:29" x14ac:dyDescent="0.25">
      <c r="R183" s="13"/>
      <c r="U183" s="36"/>
      <c r="V183" s="36"/>
    </row>
    <row r="184" spans="1:29" x14ac:dyDescent="0.25">
      <c r="R184" s="13"/>
      <c r="U184" s="36"/>
      <c r="V184" s="36"/>
    </row>
    <row r="185" spans="1:29" x14ac:dyDescent="0.25">
      <c r="R185" s="13"/>
      <c r="U185" s="36"/>
      <c r="V185" s="36"/>
    </row>
    <row r="186" spans="1:29" s="15" customFormat="1" x14ac:dyDescent="0.25">
      <c r="A186" s="11"/>
      <c r="B186" s="12"/>
      <c r="C186" s="13"/>
      <c r="D186" s="13"/>
      <c r="E186" s="14"/>
      <c r="J186" s="11"/>
      <c r="K186" s="11"/>
      <c r="L186" s="11"/>
      <c r="M186" s="12"/>
      <c r="N186" s="12"/>
      <c r="O186" s="12"/>
      <c r="P186" s="12"/>
      <c r="Q186" s="17"/>
      <c r="R186" s="13"/>
      <c r="U186" s="36"/>
      <c r="V186" s="36"/>
      <c r="W186" s="11"/>
      <c r="Z186" s="11"/>
      <c r="AA186" s="11"/>
      <c r="AB186" s="11"/>
      <c r="AC186" s="11"/>
    </row>
    <row r="187" spans="1:29" s="15" customFormat="1" x14ac:dyDescent="0.25">
      <c r="A187" s="11"/>
      <c r="B187" s="12"/>
      <c r="C187" s="13"/>
      <c r="D187" s="13"/>
      <c r="E187" s="14"/>
      <c r="J187" s="11"/>
      <c r="K187" s="11"/>
      <c r="L187" s="11"/>
      <c r="M187" s="12"/>
      <c r="N187" s="12"/>
      <c r="O187" s="12"/>
      <c r="P187" s="12"/>
      <c r="Q187" s="17"/>
      <c r="R187" s="13"/>
      <c r="U187" s="36"/>
      <c r="V187" s="36"/>
      <c r="W187" s="11"/>
      <c r="Z187" s="11"/>
      <c r="AA187" s="11"/>
      <c r="AB187" s="11"/>
      <c r="AC187" s="11"/>
    </row>
    <row r="188" spans="1:29" s="15" customFormat="1" x14ac:dyDescent="0.25">
      <c r="A188" s="11"/>
      <c r="B188" s="12"/>
      <c r="C188" s="13"/>
      <c r="D188" s="13"/>
      <c r="E188" s="14"/>
      <c r="J188" s="11"/>
      <c r="K188" s="11"/>
      <c r="L188" s="11"/>
      <c r="M188" s="12"/>
      <c r="N188" s="12"/>
      <c r="O188" s="12"/>
      <c r="P188" s="12"/>
      <c r="Q188" s="17"/>
      <c r="R188" s="13"/>
      <c r="U188" s="36"/>
      <c r="V188" s="36"/>
      <c r="W188" s="11"/>
      <c r="Z188" s="11"/>
      <c r="AA188" s="11"/>
      <c r="AB188" s="11"/>
      <c r="AC188" s="11"/>
    </row>
    <row r="189" spans="1:29" s="15" customFormat="1" x14ac:dyDescent="0.25">
      <c r="A189" s="11"/>
      <c r="B189" s="12"/>
      <c r="C189" s="13"/>
      <c r="D189" s="13"/>
      <c r="E189" s="14"/>
      <c r="J189" s="11"/>
      <c r="K189" s="11"/>
      <c r="L189" s="11"/>
      <c r="M189" s="12"/>
      <c r="N189" s="12"/>
      <c r="O189" s="12"/>
      <c r="P189" s="12"/>
      <c r="Q189" s="17"/>
      <c r="R189" s="13"/>
      <c r="U189" s="36"/>
      <c r="V189" s="36"/>
      <c r="W189" s="11"/>
      <c r="Z189" s="11"/>
      <c r="AA189" s="11"/>
      <c r="AB189" s="11"/>
      <c r="AC189" s="11"/>
    </row>
    <row r="190" spans="1:29" s="15" customFormat="1" x14ac:dyDescent="0.25">
      <c r="A190" s="11"/>
      <c r="B190" s="12"/>
      <c r="C190" s="13"/>
      <c r="D190" s="13"/>
      <c r="E190" s="14"/>
      <c r="J190" s="11"/>
      <c r="K190" s="11"/>
      <c r="L190" s="11"/>
      <c r="M190" s="12"/>
      <c r="N190" s="12"/>
      <c r="O190" s="12"/>
      <c r="P190" s="12"/>
      <c r="Q190" s="17"/>
      <c r="R190" s="13"/>
      <c r="U190" s="36"/>
      <c r="V190" s="36"/>
      <c r="W190" s="11"/>
      <c r="Z190" s="11"/>
      <c r="AA190" s="11"/>
      <c r="AB190" s="11"/>
      <c r="AC190" s="11"/>
    </row>
    <row r="191" spans="1:29" s="15" customFormat="1" x14ac:dyDescent="0.25">
      <c r="A191" s="11"/>
      <c r="B191" s="12"/>
      <c r="C191" s="13"/>
      <c r="D191" s="13"/>
      <c r="E191" s="14"/>
      <c r="J191" s="11"/>
      <c r="K191" s="11"/>
      <c r="L191" s="11"/>
      <c r="M191" s="12"/>
      <c r="N191" s="12"/>
      <c r="O191" s="12"/>
      <c r="P191" s="12"/>
      <c r="Q191" s="17"/>
      <c r="R191" s="13"/>
      <c r="U191" s="36"/>
      <c r="V191" s="36"/>
      <c r="W191" s="11"/>
      <c r="Z191" s="11"/>
      <c r="AA191" s="11"/>
      <c r="AB191" s="11"/>
      <c r="AC191" s="11"/>
    </row>
    <row r="192" spans="1:29" s="15" customFormat="1" x14ac:dyDescent="0.25">
      <c r="A192" s="11"/>
      <c r="B192" s="12"/>
      <c r="C192" s="13"/>
      <c r="D192" s="13"/>
      <c r="E192" s="14"/>
      <c r="J192" s="11"/>
      <c r="K192" s="11"/>
      <c r="L192" s="11"/>
      <c r="M192" s="12"/>
      <c r="N192" s="12"/>
      <c r="O192" s="12"/>
      <c r="P192" s="12"/>
      <c r="Q192" s="17"/>
      <c r="R192" s="13"/>
      <c r="U192" s="36"/>
      <c r="V192" s="36"/>
      <c r="W192" s="11"/>
      <c r="Z192" s="11"/>
      <c r="AA192" s="11"/>
      <c r="AB192" s="11"/>
      <c r="AC192" s="11"/>
    </row>
    <row r="193" spans="1:29" s="15" customFormat="1" x14ac:dyDescent="0.25">
      <c r="A193" s="11"/>
      <c r="B193" s="12"/>
      <c r="C193" s="13"/>
      <c r="D193" s="13"/>
      <c r="E193" s="14"/>
      <c r="J193" s="11"/>
      <c r="K193" s="11"/>
      <c r="L193" s="11"/>
      <c r="M193" s="12"/>
      <c r="N193" s="12"/>
      <c r="O193" s="12"/>
      <c r="P193" s="12"/>
      <c r="Q193" s="17"/>
      <c r="R193" s="13"/>
      <c r="U193" s="36"/>
      <c r="V193" s="36"/>
      <c r="W193" s="11"/>
      <c r="Z193" s="11"/>
      <c r="AA193" s="11"/>
      <c r="AB193" s="11"/>
      <c r="AC193" s="11"/>
    </row>
    <row r="194" spans="1:29" s="15" customFormat="1" x14ac:dyDescent="0.25">
      <c r="A194" s="11"/>
      <c r="B194" s="12"/>
      <c r="C194" s="13"/>
      <c r="D194" s="13"/>
      <c r="E194" s="14"/>
      <c r="J194" s="11"/>
      <c r="K194" s="11"/>
      <c r="L194" s="11"/>
      <c r="M194" s="12"/>
      <c r="N194" s="12"/>
      <c r="O194" s="12"/>
      <c r="P194" s="12"/>
      <c r="Q194" s="17"/>
      <c r="R194" s="13"/>
      <c r="U194" s="36"/>
      <c r="V194" s="36"/>
      <c r="W194" s="11"/>
      <c r="Z194" s="11"/>
      <c r="AA194" s="11"/>
      <c r="AB194" s="11"/>
      <c r="AC194" s="11"/>
    </row>
    <row r="195" spans="1:29" s="15" customFormat="1" x14ac:dyDescent="0.25">
      <c r="A195" s="11"/>
      <c r="B195" s="12"/>
      <c r="C195" s="13"/>
      <c r="D195" s="13"/>
      <c r="E195" s="14"/>
      <c r="J195" s="11"/>
      <c r="K195" s="11"/>
      <c r="L195" s="11"/>
      <c r="M195" s="12"/>
      <c r="N195" s="12"/>
      <c r="O195" s="12"/>
      <c r="P195" s="12"/>
      <c r="Q195" s="17"/>
      <c r="R195" s="13"/>
      <c r="U195" s="36"/>
      <c r="V195" s="36"/>
      <c r="W195" s="11"/>
      <c r="Z195" s="11"/>
      <c r="AA195" s="11"/>
      <c r="AB195" s="11"/>
      <c r="AC195" s="11"/>
    </row>
    <row r="196" spans="1:29" s="15" customFormat="1" x14ac:dyDescent="0.25">
      <c r="A196" s="11"/>
      <c r="B196" s="12"/>
      <c r="C196" s="13"/>
      <c r="D196" s="13"/>
      <c r="E196" s="14"/>
      <c r="J196" s="11"/>
      <c r="K196" s="11"/>
      <c r="L196" s="11"/>
      <c r="M196" s="12"/>
      <c r="N196" s="12"/>
      <c r="O196" s="12"/>
      <c r="P196" s="12"/>
      <c r="Q196" s="17"/>
      <c r="R196" s="13"/>
      <c r="U196" s="36"/>
      <c r="V196" s="36"/>
      <c r="Z196" s="11"/>
      <c r="AA196" s="11"/>
      <c r="AB196" s="11"/>
      <c r="AC196" s="11"/>
    </row>
    <row r="197" spans="1:29" s="15" customFormat="1" x14ac:dyDescent="0.25">
      <c r="A197" s="11"/>
      <c r="B197" s="12"/>
      <c r="C197" s="13"/>
      <c r="D197" s="13"/>
      <c r="E197" s="14"/>
      <c r="J197" s="11"/>
      <c r="K197" s="11"/>
      <c r="L197" s="11"/>
      <c r="M197" s="12"/>
      <c r="N197" s="12"/>
      <c r="O197" s="12"/>
      <c r="P197" s="12"/>
      <c r="Q197" s="17"/>
      <c r="R197" s="13"/>
      <c r="U197" s="36"/>
      <c r="V197" s="36"/>
      <c r="W197" s="11"/>
      <c r="Z197" s="11"/>
      <c r="AA197" s="11"/>
      <c r="AB197" s="11"/>
      <c r="AC197" s="11"/>
    </row>
    <row r="198" spans="1:29" s="15" customFormat="1" x14ac:dyDescent="0.25">
      <c r="A198" s="11"/>
      <c r="B198" s="12"/>
      <c r="C198" s="13"/>
      <c r="D198" s="13"/>
      <c r="E198" s="14"/>
      <c r="J198" s="11"/>
      <c r="K198" s="11"/>
      <c r="L198" s="11"/>
      <c r="M198" s="12"/>
      <c r="N198" s="12"/>
      <c r="O198" s="12"/>
      <c r="P198" s="12"/>
      <c r="Q198" s="17"/>
      <c r="R198" s="13"/>
      <c r="U198" s="36"/>
      <c r="V198" s="36"/>
      <c r="W198" s="11"/>
      <c r="Z198" s="11"/>
      <c r="AA198" s="11"/>
      <c r="AB198" s="11"/>
      <c r="AC198" s="11"/>
    </row>
    <row r="199" spans="1:29" s="15" customFormat="1" x14ac:dyDescent="0.25">
      <c r="A199" s="11"/>
      <c r="B199" s="12"/>
      <c r="C199" s="13"/>
      <c r="D199" s="13"/>
      <c r="E199" s="14"/>
      <c r="J199" s="11"/>
      <c r="K199" s="11"/>
      <c r="L199" s="11"/>
      <c r="M199" s="12"/>
      <c r="N199" s="12"/>
      <c r="O199" s="12"/>
      <c r="P199" s="12"/>
      <c r="Q199" s="17"/>
      <c r="R199" s="13"/>
      <c r="U199" s="36"/>
      <c r="V199" s="36"/>
      <c r="W199" s="11"/>
      <c r="Z199" s="11"/>
      <c r="AA199" s="11"/>
      <c r="AB199" s="11"/>
      <c r="AC199" s="11"/>
    </row>
    <row r="200" spans="1:29" s="15" customFormat="1" x14ac:dyDescent="0.25">
      <c r="A200" s="11"/>
      <c r="B200" s="12"/>
      <c r="C200" s="13"/>
      <c r="D200" s="13"/>
      <c r="E200" s="14"/>
      <c r="J200" s="11"/>
      <c r="K200" s="11"/>
      <c r="L200" s="11"/>
      <c r="M200" s="12"/>
      <c r="N200" s="12"/>
      <c r="O200" s="12"/>
      <c r="P200" s="12"/>
      <c r="Q200" s="17"/>
      <c r="R200" s="13"/>
      <c r="U200" s="36"/>
      <c r="V200" s="36"/>
      <c r="W200" s="11"/>
      <c r="Z200" s="11"/>
      <c r="AA200" s="11"/>
      <c r="AB200" s="11"/>
      <c r="AC200" s="11"/>
    </row>
    <row r="201" spans="1:29" s="15" customFormat="1" x14ac:dyDescent="0.25">
      <c r="A201" s="11"/>
      <c r="B201" s="12"/>
      <c r="C201" s="13"/>
      <c r="D201" s="13"/>
      <c r="E201" s="14"/>
      <c r="J201" s="11"/>
      <c r="K201" s="11"/>
      <c r="L201" s="11"/>
      <c r="M201" s="12"/>
      <c r="N201" s="12"/>
      <c r="O201" s="12"/>
      <c r="P201" s="12"/>
      <c r="Q201" s="17"/>
      <c r="R201" s="13"/>
      <c r="U201" s="36"/>
      <c r="V201" s="36"/>
      <c r="W201" s="11"/>
      <c r="Z201" s="11"/>
      <c r="AA201" s="11"/>
      <c r="AB201" s="11"/>
      <c r="AC201" s="11"/>
    </row>
    <row r="202" spans="1:29" x14ac:dyDescent="0.25">
      <c r="R202" s="13"/>
      <c r="U202" s="36"/>
      <c r="V202" s="36"/>
    </row>
    <row r="203" spans="1:29" x14ac:dyDescent="0.25">
      <c r="R203" s="13"/>
      <c r="U203" s="36"/>
      <c r="V203" s="36"/>
    </row>
    <row r="204" spans="1:29" s="15" customFormat="1" x14ac:dyDescent="0.25">
      <c r="A204" s="11"/>
      <c r="B204" s="12"/>
      <c r="C204" s="13"/>
      <c r="D204" s="13"/>
      <c r="E204" s="14"/>
      <c r="J204" s="11"/>
      <c r="K204" s="11"/>
      <c r="L204" s="11"/>
      <c r="M204" s="12"/>
      <c r="N204" s="12"/>
      <c r="O204" s="12"/>
      <c r="P204" s="12"/>
      <c r="Q204" s="17"/>
      <c r="R204" s="13"/>
      <c r="U204" s="36"/>
      <c r="V204" s="36"/>
      <c r="W204" s="11"/>
      <c r="Z204" s="11"/>
      <c r="AA204" s="11"/>
      <c r="AB204" s="11"/>
      <c r="AC204" s="11"/>
    </row>
    <row r="205" spans="1:29" s="15" customFormat="1" x14ac:dyDescent="0.25">
      <c r="A205" s="11"/>
      <c r="B205" s="12"/>
      <c r="C205" s="13"/>
      <c r="D205" s="13"/>
      <c r="E205" s="14"/>
      <c r="J205" s="11"/>
      <c r="K205" s="11"/>
      <c r="L205" s="11"/>
      <c r="M205" s="12"/>
      <c r="N205" s="12"/>
      <c r="O205" s="12"/>
      <c r="P205" s="12"/>
      <c r="Q205" s="17"/>
      <c r="R205" s="13"/>
      <c r="U205" s="36"/>
      <c r="V205" s="36"/>
      <c r="W205" s="11"/>
      <c r="Z205" s="11"/>
      <c r="AA205" s="11"/>
      <c r="AB205" s="11"/>
      <c r="AC205" s="11"/>
    </row>
    <row r="206" spans="1:29" s="15" customFormat="1" x14ac:dyDescent="0.25">
      <c r="A206" s="11"/>
      <c r="B206" s="12"/>
      <c r="C206" s="13"/>
      <c r="D206" s="13"/>
      <c r="E206" s="14"/>
      <c r="J206" s="11"/>
      <c r="K206" s="11"/>
      <c r="L206" s="11"/>
      <c r="M206" s="12"/>
      <c r="N206" s="12"/>
      <c r="O206" s="12"/>
      <c r="P206" s="12"/>
      <c r="Q206" s="17"/>
      <c r="R206" s="13"/>
      <c r="U206" s="36"/>
      <c r="V206" s="36"/>
      <c r="W206" s="11"/>
      <c r="Z206" s="11"/>
      <c r="AA206" s="11"/>
      <c r="AB206" s="11"/>
      <c r="AC206" s="11"/>
    </row>
    <row r="207" spans="1:29" s="15" customFormat="1" x14ac:dyDescent="0.25">
      <c r="A207" s="11"/>
      <c r="B207" s="12"/>
      <c r="C207" s="13"/>
      <c r="D207" s="13"/>
      <c r="E207" s="14"/>
      <c r="J207" s="11"/>
      <c r="K207" s="11"/>
      <c r="L207" s="11"/>
      <c r="M207" s="12"/>
      <c r="N207" s="12"/>
      <c r="O207" s="12"/>
      <c r="P207" s="12"/>
      <c r="Q207" s="17"/>
      <c r="R207" s="13"/>
      <c r="U207" s="36"/>
      <c r="V207" s="36"/>
      <c r="W207" s="11"/>
      <c r="Z207" s="11"/>
      <c r="AA207" s="11"/>
      <c r="AB207" s="11"/>
      <c r="AC207" s="11"/>
    </row>
    <row r="208" spans="1:29" s="15" customFormat="1" x14ac:dyDescent="0.25">
      <c r="A208" s="11"/>
      <c r="B208" s="12"/>
      <c r="C208" s="13"/>
      <c r="D208" s="13"/>
      <c r="E208" s="14"/>
      <c r="J208" s="11"/>
      <c r="K208" s="11"/>
      <c r="L208" s="11"/>
      <c r="M208" s="12"/>
      <c r="N208" s="12"/>
      <c r="O208" s="12"/>
      <c r="P208" s="12"/>
      <c r="Q208" s="17"/>
      <c r="R208" s="13"/>
      <c r="U208" s="36"/>
      <c r="V208" s="36"/>
      <c r="W208" s="11"/>
      <c r="Z208" s="11"/>
      <c r="AA208" s="11"/>
      <c r="AB208" s="11"/>
      <c r="AC208" s="11"/>
    </row>
    <row r="209" spans="1:29" s="15" customFormat="1" x14ac:dyDescent="0.25">
      <c r="A209" s="11"/>
      <c r="B209" s="12"/>
      <c r="C209" s="13"/>
      <c r="D209" s="13"/>
      <c r="E209" s="14"/>
      <c r="J209" s="11"/>
      <c r="K209" s="11"/>
      <c r="L209" s="11"/>
      <c r="M209" s="12"/>
      <c r="N209" s="12"/>
      <c r="O209" s="12"/>
      <c r="P209" s="12"/>
      <c r="Q209" s="17"/>
      <c r="R209" s="13"/>
      <c r="U209" s="36"/>
      <c r="V209" s="36"/>
      <c r="W209" s="11"/>
      <c r="Z209" s="11"/>
      <c r="AA209" s="11"/>
      <c r="AB209" s="11"/>
      <c r="AC209" s="11"/>
    </row>
    <row r="210" spans="1:29" s="15" customFormat="1" x14ac:dyDescent="0.25">
      <c r="A210" s="11"/>
      <c r="B210" s="12"/>
      <c r="C210" s="13"/>
      <c r="D210" s="13"/>
      <c r="E210" s="14"/>
      <c r="J210" s="11"/>
      <c r="K210" s="11"/>
      <c r="L210" s="11"/>
      <c r="M210" s="12"/>
      <c r="N210" s="12"/>
      <c r="O210" s="12"/>
      <c r="P210" s="12"/>
      <c r="Q210" s="17"/>
      <c r="R210" s="13"/>
      <c r="U210" s="36"/>
      <c r="V210" s="36"/>
      <c r="W210" s="11"/>
      <c r="Z210" s="11"/>
      <c r="AA210" s="11"/>
      <c r="AB210" s="11"/>
      <c r="AC210" s="11"/>
    </row>
    <row r="211" spans="1:29" s="15" customFormat="1" x14ac:dyDescent="0.25">
      <c r="A211" s="11"/>
      <c r="B211" s="12"/>
      <c r="C211" s="13"/>
      <c r="D211" s="13"/>
      <c r="E211" s="14"/>
      <c r="J211" s="11"/>
      <c r="K211" s="11"/>
      <c r="L211" s="11"/>
      <c r="M211" s="12"/>
      <c r="N211" s="12"/>
      <c r="O211" s="12"/>
      <c r="P211" s="12"/>
      <c r="Q211" s="17"/>
      <c r="R211" s="13"/>
      <c r="U211" s="36"/>
      <c r="V211" s="36"/>
      <c r="W211" s="11"/>
      <c r="Z211" s="11"/>
      <c r="AA211" s="11"/>
      <c r="AB211" s="11"/>
      <c r="AC211" s="11"/>
    </row>
    <row r="212" spans="1:29" s="15" customFormat="1" x14ac:dyDescent="0.25">
      <c r="A212" s="11"/>
      <c r="B212" s="12"/>
      <c r="C212" s="13"/>
      <c r="D212" s="13"/>
      <c r="E212" s="14"/>
      <c r="J212" s="11"/>
      <c r="K212" s="11"/>
      <c r="L212" s="11"/>
      <c r="M212" s="12"/>
      <c r="N212" s="12"/>
      <c r="O212" s="12"/>
      <c r="P212" s="12"/>
      <c r="Q212" s="17"/>
      <c r="R212" s="13"/>
      <c r="U212" s="36"/>
      <c r="V212" s="36"/>
      <c r="W212" s="11"/>
      <c r="Z212" s="11"/>
      <c r="AA212" s="11"/>
      <c r="AB212" s="11"/>
      <c r="AC212" s="11"/>
    </row>
    <row r="213" spans="1:29" s="15" customFormat="1" x14ac:dyDescent="0.25">
      <c r="A213" s="11"/>
      <c r="B213" s="12"/>
      <c r="C213" s="13"/>
      <c r="D213" s="13"/>
      <c r="E213" s="14"/>
      <c r="J213" s="11"/>
      <c r="K213" s="11"/>
      <c r="L213" s="11"/>
      <c r="M213" s="12"/>
      <c r="N213" s="12"/>
      <c r="O213" s="12"/>
      <c r="P213" s="12"/>
      <c r="Q213" s="17"/>
      <c r="R213" s="13"/>
      <c r="U213" s="36"/>
      <c r="V213" s="36"/>
      <c r="W213" s="11"/>
      <c r="Z213" s="11"/>
      <c r="AA213" s="11"/>
      <c r="AB213" s="11"/>
      <c r="AC213" s="11"/>
    </row>
    <row r="214" spans="1:29" s="15" customFormat="1" x14ac:dyDescent="0.25">
      <c r="A214" s="11"/>
      <c r="B214" s="12"/>
      <c r="C214" s="13"/>
      <c r="D214" s="13"/>
      <c r="E214" s="14"/>
      <c r="J214" s="11"/>
      <c r="K214" s="11"/>
      <c r="L214" s="11"/>
      <c r="M214" s="12"/>
      <c r="N214" s="12"/>
      <c r="O214" s="12"/>
      <c r="P214" s="12"/>
      <c r="Q214" s="17"/>
      <c r="R214" s="13"/>
      <c r="U214" s="36"/>
      <c r="V214" s="36"/>
      <c r="W214" s="11"/>
      <c r="Z214" s="11"/>
      <c r="AA214" s="11"/>
      <c r="AB214" s="11"/>
      <c r="AC214" s="11"/>
    </row>
    <row r="215" spans="1:29" s="15" customFormat="1" x14ac:dyDescent="0.25">
      <c r="A215" s="11"/>
      <c r="B215" s="12"/>
      <c r="C215" s="13"/>
      <c r="D215" s="13"/>
      <c r="E215" s="14"/>
      <c r="J215" s="11"/>
      <c r="K215" s="11"/>
      <c r="L215" s="11"/>
      <c r="M215" s="12"/>
      <c r="N215" s="12"/>
      <c r="O215" s="12"/>
      <c r="P215" s="12"/>
      <c r="Q215" s="17"/>
      <c r="R215" s="13"/>
      <c r="U215" s="36"/>
      <c r="V215" s="36"/>
      <c r="W215" s="11"/>
      <c r="Z215" s="11"/>
      <c r="AA215" s="11"/>
      <c r="AB215" s="11"/>
      <c r="AC215" s="11"/>
    </row>
    <row r="216" spans="1:29" s="15" customFormat="1" x14ac:dyDescent="0.25">
      <c r="A216" s="11"/>
      <c r="B216" s="12"/>
      <c r="C216" s="13"/>
      <c r="D216" s="13"/>
      <c r="E216" s="14"/>
      <c r="J216" s="11"/>
      <c r="K216" s="11"/>
      <c r="L216" s="11"/>
      <c r="M216" s="12"/>
      <c r="N216" s="12"/>
      <c r="O216" s="12"/>
      <c r="P216" s="12"/>
      <c r="Q216" s="17"/>
      <c r="R216" s="13"/>
      <c r="U216" s="36"/>
      <c r="V216" s="36"/>
      <c r="W216" s="11"/>
      <c r="Z216" s="11"/>
      <c r="AA216" s="11"/>
      <c r="AB216" s="11"/>
      <c r="AC216" s="11"/>
    </row>
    <row r="217" spans="1:29" s="15" customFormat="1" x14ac:dyDescent="0.25">
      <c r="A217" s="11"/>
      <c r="B217" s="12"/>
      <c r="C217" s="13"/>
      <c r="D217" s="13"/>
      <c r="E217" s="14"/>
      <c r="J217" s="11"/>
      <c r="K217" s="11"/>
      <c r="L217" s="11"/>
      <c r="M217" s="12"/>
      <c r="N217" s="12"/>
      <c r="O217" s="12"/>
      <c r="P217" s="12"/>
      <c r="Q217" s="17"/>
      <c r="R217" s="13"/>
      <c r="U217" s="36"/>
      <c r="V217" s="36"/>
      <c r="W217" s="11"/>
      <c r="Z217" s="11"/>
      <c r="AA217" s="11"/>
      <c r="AB217" s="11"/>
      <c r="AC217" s="11"/>
    </row>
    <row r="218" spans="1:29" s="15" customFormat="1" x14ac:dyDescent="0.25">
      <c r="A218" s="11"/>
      <c r="B218" s="12"/>
      <c r="C218" s="13"/>
      <c r="D218" s="13"/>
      <c r="E218" s="14"/>
      <c r="J218" s="11"/>
      <c r="K218" s="11"/>
      <c r="L218" s="11"/>
      <c r="M218" s="12"/>
      <c r="N218" s="12"/>
      <c r="O218" s="12"/>
      <c r="P218" s="12"/>
      <c r="Q218" s="17"/>
      <c r="R218" s="13"/>
      <c r="U218" s="36"/>
      <c r="V218" s="36"/>
      <c r="W218" s="11"/>
      <c r="Z218" s="11"/>
      <c r="AA218" s="11"/>
      <c r="AB218" s="11"/>
      <c r="AC218" s="11"/>
    </row>
    <row r="219" spans="1:29" s="15" customFormat="1" x14ac:dyDescent="0.25">
      <c r="A219" s="11"/>
      <c r="B219" s="12"/>
      <c r="C219" s="13"/>
      <c r="D219" s="13"/>
      <c r="E219" s="14"/>
      <c r="J219" s="11"/>
      <c r="K219" s="11"/>
      <c r="L219" s="11"/>
      <c r="M219" s="12"/>
      <c r="N219" s="12"/>
      <c r="O219" s="12"/>
      <c r="P219" s="12"/>
      <c r="Q219" s="17"/>
      <c r="R219" s="13"/>
      <c r="U219" s="36"/>
      <c r="V219" s="36"/>
      <c r="W219" s="11"/>
      <c r="Z219" s="11"/>
      <c r="AA219" s="11"/>
      <c r="AB219" s="11"/>
      <c r="AC219" s="11"/>
    </row>
    <row r="220" spans="1:29" s="15" customFormat="1" x14ac:dyDescent="0.25">
      <c r="A220" s="11"/>
      <c r="B220" s="12"/>
      <c r="C220" s="13"/>
      <c r="D220" s="13"/>
      <c r="E220" s="14"/>
      <c r="J220" s="11"/>
      <c r="K220" s="11"/>
      <c r="L220" s="11"/>
      <c r="M220" s="12"/>
      <c r="N220" s="12"/>
      <c r="O220" s="12"/>
      <c r="P220" s="12"/>
      <c r="Q220" s="17"/>
      <c r="R220" s="13"/>
      <c r="U220" s="36"/>
      <c r="V220" s="36"/>
      <c r="W220" s="11"/>
      <c r="Z220" s="11"/>
      <c r="AA220" s="11"/>
      <c r="AB220" s="11"/>
      <c r="AC220" s="11"/>
    </row>
    <row r="221" spans="1:29" s="15" customFormat="1" x14ac:dyDescent="0.25">
      <c r="A221" s="11"/>
      <c r="B221" s="12"/>
      <c r="C221" s="13"/>
      <c r="D221" s="13"/>
      <c r="E221" s="14"/>
      <c r="J221" s="11"/>
      <c r="K221" s="11"/>
      <c r="L221" s="11"/>
      <c r="M221" s="12"/>
      <c r="N221" s="12"/>
      <c r="O221" s="12"/>
      <c r="P221" s="12"/>
      <c r="Q221" s="17"/>
      <c r="R221" s="13"/>
      <c r="U221" s="36"/>
      <c r="V221" s="36"/>
      <c r="W221" s="11"/>
      <c r="Z221" s="11"/>
      <c r="AA221" s="11"/>
      <c r="AB221" s="11"/>
      <c r="AC221" s="11"/>
    </row>
    <row r="222" spans="1:29" s="15" customFormat="1" x14ac:dyDescent="0.25">
      <c r="A222" s="11"/>
      <c r="B222" s="12"/>
      <c r="C222" s="13"/>
      <c r="D222" s="13"/>
      <c r="E222" s="14"/>
      <c r="J222" s="11"/>
      <c r="K222" s="11"/>
      <c r="L222" s="11"/>
      <c r="M222" s="12"/>
      <c r="N222" s="12"/>
      <c r="O222" s="12"/>
      <c r="P222" s="12"/>
      <c r="Q222" s="17"/>
      <c r="R222" s="13"/>
      <c r="U222" s="36"/>
      <c r="V222" s="36"/>
      <c r="W222" s="11"/>
      <c r="Z222" s="11"/>
      <c r="AA222" s="11"/>
      <c r="AB222" s="11"/>
      <c r="AC222" s="11"/>
    </row>
    <row r="223" spans="1:29" s="15" customFormat="1" x14ac:dyDescent="0.25">
      <c r="A223" s="11"/>
      <c r="B223" s="12"/>
      <c r="C223" s="13"/>
      <c r="D223" s="13"/>
      <c r="E223" s="14"/>
      <c r="J223" s="11"/>
      <c r="K223" s="11"/>
      <c r="L223" s="11"/>
      <c r="M223" s="12"/>
      <c r="N223" s="12"/>
      <c r="O223" s="12"/>
      <c r="P223" s="12"/>
      <c r="Q223" s="17"/>
      <c r="R223" s="13"/>
      <c r="U223" s="36"/>
      <c r="V223" s="36"/>
      <c r="W223" s="11"/>
      <c r="Z223" s="11"/>
      <c r="AA223" s="11"/>
      <c r="AB223" s="11"/>
      <c r="AC223" s="11"/>
    </row>
    <row r="224" spans="1:29" s="15" customFormat="1" x14ac:dyDescent="0.25">
      <c r="A224" s="11"/>
      <c r="B224" s="12"/>
      <c r="C224" s="13"/>
      <c r="D224" s="13"/>
      <c r="E224" s="14"/>
      <c r="J224" s="11"/>
      <c r="K224" s="11"/>
      <c r="L224" s="11"/>
      <c r="M224" s="12"/>
      <c r="N224" s="12"/>
      <c r="O224" s="12"/>
      <c r="P224" s="12"/>
      <c r="Q224" s="17"/>
      <c r="R224" s="13"/>
      <c r="U224" s="36"/>
      <c r="V224" s="36"/>
      <c r="W224" s="11"/>
      <c r="Z224" s="11"/>
      <c r="AA224" s="11"/>
      <c r="AB224" s="11"/>
      <c r="AC224" s="11"/>
    </row>
  </sheetData>
  <conditionalFormatting sqref="W6">
    <cfRule type="expression" dxfId="766" priority="600" stopIfTrue="1">
      <formula>$A6="Pipe"</formula>
    </cfRule>
    <cfRule type="expression" dxfId="765" priority="601" stopIfTrue="1">
      <formula>OR($A6="Junction",$A6="Mtrvlv",$A6="Pump",$A6="Chkvlv",$A6="Trpvlv",$A6="Srvvlv",$A6="Rlfvlv")</formula>
    </cfRule>
    <cfRule type="expression" dxfId="764" priority="602" stopIfTrue="1">
      <formula>OR($A6="Tmdpvol",$A6="Snglvol",$A6="Relapnr",$A6="Init")</formula>
    </cfRule>
  </conditionalFormatting>
  <conditionalFormatting sqref="W7">
    <cfRule type="expression" priority="603" stopIfTrue="1">
      <formula>2</formula>
    </cfRule>
  </conditionalFormatting>
  <conditionalFormatting sqref="Q1288:Q1289 U1288:V1289 F704:L1132 A704:D1132 Q704:Q1132 U704:V1132">
    <cfRule type="expression" dxfId="763" priority="604" stopIfTrue="1">
      <formula>$A704="Pipe"</formula>
    </cfRule>
  </conditionalFormatting>
  <conditionalFormatting sqref="R1288:T1289">
    <cfRule type="expression" dxfId="762" priority="605" stopIfTrue="1">
      <formula>$A1288="Pipe"</formula>
    </cfRule>
  </conditionalFormatting>
  <conditionalFormatting sqref="P1288:P1289 U1288:V1289 H704:K1132 A704:B1132 U704:V1132 M704:P1132">
    <cfRule type="expression" dxfId="761" priority="606" stopIfTrue="1">
      <formula>$A704="Junction"</formula>
    </cfRule>
  </conditionalFormatting>
  <conditionalFormatting sqref="Q1288:T1289">
    <cfRule type="expression" dxfId="760" priority="607" stopIfTrue="1">
      <formula>$A1288="Junction"</formula>
    </cfRule>
  </conditionalFormatting>
  <conditionalFormatting sqref="T1288:V1289 H704:K1132 A704:B1132 T704:V1132 M704:P1132">
    <cfRule type="expression" dxfId="759" priority="608" stopIfTrue="1">
      <formula>$A704="Mtrvlv"</formula>
    </cfRule>
  </conditionalFormatting>
  <conditionalFormatting sqref="Q1288:S1289">
    <cfRule type="expression" dxfId="758" priority="609" stopIfTrue="1">
      <formula>$A1288="Mtrvlv"</formula>
    </cfRule>
  </conditionalFormatting>
  <conditionalFormatting sqref="T1288:V1289 H704:K1132 B704:B1132 T704:V1132 M704:P1132">
    <cfRule type="expression" dxfId="757" priority="610" stopIfTrue="1">
      <formula>$A704="Srvvlv"</formula>
    </cfRule>
  </conditionalFormatting>
  <conditionalFormatting sqref="Q1288:S1289">
    <cfRule type="expression" dxfId="756" priority="611" stopIfTrue="1">
      <formula>$A1288="Srvvlv"</formula>
    </cfRule>
  </conditionalFormatting>
  <conditionalFormatting sqref="T1288:V1289 H704:J1132 A704:A1132 N704:P1132 T704:T1132 V704:V1132">
    <cfRule type="expression" dxfId="755" priority="612" stopIfTrue="1">
      <formula>$A704="Chkvlv"</formula>
    </cfRule>
  </conditionalFormatting>
  <conditionalFormatting sqref="Q1288:S1289">
    <cfRule type="expression" dxfId="754" priority="613" stopIfTrue="1">
      <formula>$A1288="Chkvlv"</formula>
    </cfRule>
  </conditionalFormatting>
  <conditionalFormatting sqref="T1288:V1289 H704:K1132 A704:B1132 T704:V1132 M704:P1132">
    <cfRule type="expression" dxfId="753" priority="614" stopIfTrue="1">
      <formula>$A704="Inrvlv"</formula>
    </cfRule>
  </conditionalFormatting>
  <conditionalFormatting sqref="Q1288:S1289">
    <cfRule type="expression" dxfId="752" priority="615" stopIfTrue="1">
      <formula>$A1288="Inrvlv"</formula>
    </cfRule>
  </conditionalFormatting>
  <conditionalFormatting sqref="T1288:V1289 H704:K1132 B704:B1132 T704:V1132 M704:P1132">
    <cfRule type="expression" dxfId="751" priority="616" stopIfTrue="1">
      <formula>$A704="Tmdpjun"</formula>
    </cfRule>
  </conditionalFormatting>
  <conditionalFormatting sqref="Q1288:S1289">
    <cfRule type="expression" dxfId="750" priority="617" stopIfTrue="1">
      <formula>$A1288="Tmdpjun"</formula>
    </cfRule>
  </conditionalFormatting>
  <conditionalFormatting sqref="R1288:V1289 F704:K1132 A704:C1132 T704:V1132 M704:P1132">
    <cfRule type="expression" dxfId="749" priority="618" stopIfTrue="1">
      <formula>$A704="Pump"</formula>
    </cfRule>
  </conditionalFormatting>
  <conditionalFormatting sqref="Q1288:Q1289">
    <cfRule type="expression" dxfId="748" priority="619" stopIfTrue="1">
      <formula>$A1288="Pump"</formula>
    </cfRule>
  </conditionalFormatting>
  <conditionalFormatting sqref="Q1288:R1289 U1288:V1289 A704:C1132 F704:G1132 J704:K1132 Q704:Q1132 U704:V1132">
    <cfRule type="expression" dxfId="747" priority="620" stopIfTrue="1">
      <formula>$A704="Tmdpvol"</formula>
    </cfRule>
  </conditionalFormatting>
  <conditionalFormatting sqref="S1288:T1289">
    <cfRule type="expression" dxfId="746" priority="621" stopIfTrue="1">
      <formula>$A1288="Tmdpvol"</formula>
    </cfRule>
  </conditionalFormatting>
  <conditionalFormatting sqref="U1288:V1289 A704:A1132 F704:G1132 J704:J1132 V704:V1132">
    <cfRule type="expression" dxfId="745" priority="622" stopIfTrue="1">
      <formula>$A704="Snglvol"</formula>
    </cfRule>
  </conditionalFormatting>
  <conditionalFormatting sqref="Q1288:T1289">
    <cfRule type="expression" dxfId="744" priority="623" stopIfTrue="1">
      <formula>$A1288="Snglvol"</formula>
    </cfRule>
  </conditionalFormatting>
  <conditionalFormatting sqref="W5">
    <cfRule type="expression" dxfId="743" priority="624" stopIfTrue="1">
      <formula>$A4="Pipe"</formula>
    </cfRule>
    <cfRule type="expression" dxfId="742" priority="625" stopIfTrue="1">
      <formula>OR($A4="Junction",$A4="Mtrvlv",$A4="Pump",$A4="Chkvlv",$A4="Trpvlv",$A4="Srvvlv",$A4="Rlfvlv")</formula>
    </cfRule>
    <cfRule type="expression" dxfId="741" priority="626" stopIfTrue="1">
      <formula>OR($A4="Tmdpvol",$A4="Snglvol",$A4="Relapnr",$A4="Init")</formula>
    </cfRule>
  </conditionalFormatting>
  <conditionalFormatting sqref="A1288:A1289">
    <cfRule type="expression" dxfId="740" priority="627" stopIfTrue="1">
      <formula>$A1288="Pipe"</formula>
    </cfRule>
    <cfRule type="expression" dxfId="739" priority="639" stopIfTrue="1">
      <formula>$A1288="Junction"</formula>
    </cfRule>
    <cfRule type="expression" dxfId="738" priority="650" stopIfTrue="1">
      <formula>$A1288="Sngljun"</formula>
    </cfRule>
    <cfRule type="expression" dxfId="737" priority="664" stopIfTrue="1">
      <formula>$A1288="Mtrvlv"</formula>
    </cfRule>
    <cfRule type="expression" dxfId="736" priority="676" stopIfTrue="1">
      <formula>$A1288="Srvvlv"</formula>
    </cfRule>
    <cfRule type="expression" dxfId="735" priority="688" stopIfTrue="1">
      <formula>$A1288="Chkvlv"</formula>
    </cfRule>
    <cfRule type="expression" dxfId="734" priority="700" stopIfTrue="1">
      <formula>$A1288="Inrvlv"</formula>
    </cfRule>
    <cfRule type="expression" dxfId="733" priority="712" stopIfTrue="1">
      <formula>$A1288="Tmdpjun"</formula>
    </cfRule>
    <cfRule type="expression" dxfId="732" priority="724" stopIfTrue="1">
      <formula>$A1288="Pump"</formula>
    </cfRule>
    <cfRule type="expression" dxfId="731" priority="736" stopIfTrue="1">
      <formula>$A1288="Tmdpvol"</formula>
    </cfRule>
    <cfRule type="expression" dxfId="730" priority="748" stopIfTrue="1">
      <formula>$A1288="Snglvol"</formula>
    </cfRule>
    <cfRule type="expression" dxfId="729" priority="760" stopIfTrue="1">
      <formula>$A1288="Relapnr"</formula>
    </cfRule>
    <cfRule type="expression" dxfId="728" priority="762" stopIfTrue="1">
      <formula>$A1288="Init"</formula>
    </cfRule>
    <cfRule type="expression" dxfId="727" priority="765" stopIfTrue="1">
      <formula>$A1288="InitGas"</formula>
    </cfRule>
    <cfRule type="expression" dxfId="726" priority="768" stopIfTrue="1">
      <formula>$A1288="Timestep"</formula>
    </cfRule>
    <cfRule type="expression" dxfId="725" priority="773" stopIfTrue="1">
      <formula>$A1288="Replacements"</formula>
    </cfRule>
    <cfRule type="expression" dxfId="724" priority="775" stopIfTrue="1">
      <formula>$A1288="Triggerwords"</formula>
    </cfRule>
    <cfRule type="expression" dxfId="723" priority="777" stopIfTrue="1">
      <formula>$A1288="Custom"</formula>
    </cfRule>
  </conditionalFormatting>
  <conditionalFormatting sqref="B1288:B1289">
    <cfRule type="expression" dxfId="722" priority="628" stopIfTrue="1">
      <formula>$A1288="Pipe"</formula>
    </cfRule>
    <cfRule type="expression" dxfId="721" priority="640" stopIfTrue="1">
      <formula>$A1288="Junction"</formula>
    </cfRule>
    <cfRule type="expression" dxfId="720" priority="651" stopIfTrue="1">
      <formula>$A1288="Sngljun"</formula>
    </cfRule>
    <cfRule type="expression" dxfId="719" priority="665" stopIfTrue="1">
      <formula>$A1288="Mtrvlv"</formula>
    </cfRule>
    <cfRule type="expression" dxfId="718" priority="677" stopIfTrue="1">
      <formula>$A1288="Srvvlv"</formula>
    </cfRule>
    <cfRule type="expression" dxfId="717" priority="689" stopIfTrue="1">
      <formula>$A1288="Chkvlv"</formula>
    </cfRule>
    <cfRule type="expression" dxfId="716" priority="701" stopIfTrue="1">
      <formula>$A1288="Inrvlv"</formula>
    </cfRule>
    <cfRule type="expression" dxfId="715" priority="713" stopIfTrue="1">
      <formula>$A1288="Tmdpjun"</formula>
    </cfRule>
    <cfRule type="expression" dxfId="714" priority="725" stopIfTrue="1">
      <formula>$A1288="Pump"</formula>
    </cfRule>
    <cfRule type="expression" dxfId="713" priority="737" stopIfTrue="1">
      <formula>$A1288="Tmdpvol"</formula>
    </cfRule>
    <cfRule type="expression" dxfId="712" priority="749" stopIfTrue="1">
      <formula>$A1288="Snglvol"</formula>
    </cfRule>
    <cfRule type="expression" dxfId="711" priority="761" stopIfTrue="1">
      <formula>$A1288="Relapnr"</formula>
    </cfRule>
    <cfRule type="expression" dxfId="710" priority="763" stopIfTrue="1">
      <formula>$A1288="Init"</formula>
    </cfRule>
    <cfRule type="expression" dxfId="709" priority="766" stopIfTrue="1">
      <formula>$A1288="InitGas"</formula>
    </cfRule>
    <cfRule type="expression" dxfId="708" priority="769" stopIfTrue="1">
      <formula>$A1288="Timestep"</formula>
    </cfRule>
    <cfRule type="expression" dxfId="707" priority="774" stopIfTrue="1">
      <formula>$A1288="Replacements"</formula>
    </cfRule>
    <cfRule type="expression" dxfId="706" priority="776" stopIfTrue="1">
      <formula>$A1288="Triggerwords"</formula>
    </cfRule>
    <cfRule type="expression" dxfId="705" priority="778" stopIfTrue="1">
      <formula>$A1288="Custom"</formula>
    </cfRule>
  </conditionalFormatting>
  <conditionalFormatting sqref="C1288:C1289">
    <cfRule type="expression" dxfId="704" priority="629" stopIfTrue="1">
      <formula>$A1288="Pipe"</formula>
    </cfRule>
    <cfRule type="expression" dxfId="703" priority="641" stopIfTrue="1">
      <formula>$A1288="Junction"</formula>
    </cfRule>
    <cfRule type="expression" dxfId="702" priority="652" stopIfTrue="1">
      <formula>$A1288="Sngljun"</formula>
    </cfRule>
    <cfRule type="expression" dxfId="701" priority="666" stopIfTrue="1">
      <formula>$A1288="Mtrvlv"</formula>
    </cfRule>
    <cfRule type="expression" dxfId="700" priority="678" stopIfTrue="1">
      <formula>$A1288="Srvvlv"</formula>
    </cfRule>
    <cfRule type="expression" dxfId="699" priority="690" stopIfTrue="1">
      <formula>$A1288="Chkvlv"</formula>
    </cfRule>
    <cfRule type="expression" dxfId="698" priority="702" stopIfTrue="1">
      <formula>$A1288="Inrvlv"</formula>
    </cfRule>
    <cfRule type="expression" dxfId="697" priority="714" stopIfTrue="1">
      <formula>$A1288="Tmdpjun"</formula>
    </cfRule>
    <cfRule type="expression" dxfId="696" priority="726" stopIfTrue="1">
      <formula>$A1288="Pump"</formula>
    </cfRule>
    <cfRule type="expression" dxfId="695" priority="738" stopIfTrue="1">
      <formula>$A1288="Tmdpvol"</formula>
    </cfRule>
    <cfRule type="expression" dxfId="694" priority="750" stopIfTrue="1">
      <formula>$A1288="Snglvol"</formula>
    </cfRule>
    <cfRule type="expression" dxfId="693" priority="764" stopIfTrue="1">
      <formula>$A1288="Init"</formula>
    </cfRule>
    <cfRule type="expression" dxfId="692" priority="767" stopIfTrue="1">
      <formula>$A1288="InitGas"</formula>
    </cfRule>
    <cfRule type="expression" dxfId="691" priority="770" stopIfTrue="1">
      <formula>$A1288="Timestep"</formula>
    </cfRule>
  </conditionalFormatting>
  <conditionalFormatting sqref="D1288:D1289">
    <cfRule type="expression" dxfId="690" priority="630" stopIfTrue="1">
      <formula>$A1288="Pipe"</formula>
    </cfRule>
    <cfRule type="expression" dxfId="689" priority="642" stopIfTrue="1">
      <formula>$A1288="Junction"</formula>
    </cfRule>
    <cfRule type="expression" dxfId="688" priority="653" stopIfTrue="1">
      <formula>$A1288="Sngljun"</formula>
    </cfRule>
    <cfRule type="expression" dxfId="687" priority="667" stopIfTrue="1">
      <formula>$A1288="Mtrvlv"</formula>
    </cfRule>
    <cfRule type="expression" dxfId="686" priority="679" stopIfTrue="1">
      <formula>$A1288="Srvvlv"</formula>
    </cfRule>
    <cfRule type="expression" dxfId="685" priority="691" stopIfTrue="1">
      <formula>$A1288="Chkvlv"</formula>
    </cfRule>
    <cfRule type="expression" dxfId="684" priority="703" stopIfTrue="1">
      <formula>$A1288="Inrvlv"</formula>
    </cfRule>
    <cfRule type="expression" dxfId="683" priority="715" stopIfTrue="1">
      <formula>$A1288="Tmdpjun"</formula>
    </cfRule>
    <cfRule type="expression" dxfId="682" priority="727" stopIfTrue="1">
      <formula>$A1288="Pump"</formula>
    </cfRule>
    <cfRule type="expression" dxfId="681" priority="739" stopIfTrue="1">
      <formula>$A1288="Tmdpvol"</formula>
    </cfRule>
    <cfRule type="expression" dxfId="680" priority="751" stopIfTrue="1">
      <formula>$A1288="Snglvol"</formula>
    </cfRule>
    <cfRule type="expression" dxfId="679" priority="771" stopIfTrue="1">
      <formula>$A1288="Timestep"</formula>
    </cfRule>
  </conditionalFormatting>
  <conditionalFormatting sqref="E1288:E1289">
    <cfRule type="expression" dxfId="678" priority="631" stopIfTrue="1">
      <formula>$A1288="Pipe"</formula>
    </cfRule>
    <cfRule type="expression" dxfId="677" priority="643" stopIfTrue="1">
      <formula>$A1288="Junction"</formula>
    </cfRule>
    <cfRule type="expression" dxfId="676" priority="654" stopIfTrue="1">
      <formula>$A1288="Sngljun"</formula>
    </cfRule>
    <cfRule type="expression" dxfId="675" priority="668" stopIfTrue="1">
      <formula>$A1288="Mtrvlv"</formula>
    </cfRule>
    <cfRule type="expression" dxfId="674" priority="680" stopIfTrue="1">
      <formula>$A1288="Srvvlv"</formula>
    </cfRule>
    <cfRule type="expression" dxfId="673" priority="692" stopIfTrue="1">
      <formula>$A1288="Chkvlv"</formula>
    </cfRule>
    <cfRule type="expression" dxfId="672" priority="704" stopIfTrue="1">
      <formula>$A1288="Inrvlv"</formula>
    </cfRule>
    <cfRule type="expression" dxfId="671" priority="716" stopIfTrue="1">
      <formula>$A1288="Tmdpjun"</formula>
    </cfRule>
    <cfRule type="expression" dxfId="670" priority="728" stopIfTrue="1">
      <formula>$A1288="Pump"</formula>
    </cfRule>
    <cfRule type="expression" dxfId="669" priority="740" stopIfTrue="1">
      <formula>$A1288="Tmdpvol"</formula>
    </cfRule>
    <cfRule type="expression" dxfId="668" priority="752" stopIfTrue="1">
      <formula>$A1288="Snglvol"</formula>
    </cfRule>
    <cfRule type="expression" dxfId="667" priority="772" stopIfTrue="1">
      <formula>$A1288="Timestep"</formula>
    </cfRule>
  </conditionalFormatting>
  <conditionalFormatting sqref="F1288:G1289">
    <cfRule type="expression" dxfId="666" priority="632" stopIfTrue="1">
      <formula>$A1288="Pipe"</formula>
    </cfRule>
    <cfRule type="expression" dxfId="665" priority="644" stopIfTrue="1">
      <formula>$A1288="Junction"</formula>
    </cfRule>
    <cfRule type="expression" dxfId="664" priority="655" stopIfTrue="1">
      <formula>$A1288="Sngljun"</formula>
    </cfRule>
    <cfRule type="expression" dxfId="663" priority="669" stopIfTrue="1">
      <formula>$A1288="Mtrvlv"</formula>
    </cfRule>
    <cfRule type="expression" dxfId="662" priority="681" stopIfTrue="1">
      <formula>$A1288="Srvvlv"</formula>
    </cfRule>
    <cfRule type="expression" dxfId="661" priority="693" stopIfTrue="1">
      <formula>$A1288="Chkvlv"</formula>
    </cfRule>
    <cfRule type="expression" dxfId="660" priority="705" stopIfTrue="1">
      <formula>$A1288="Inrvlv"</formula>
    </cfRule>
    <cfRule type="expression" dxfId="659" priority="717" stopIfTrue="1">
      <formula>$A1288="Tmdpjun"</formula>
    </cfRule>
    <cfRule type="expression" dxfId="658" priority="729" stopIfTrue="1">
      <formula>$A1288="Pump"</formula>
    </cfRule>
    <cfRule type="expression" dxfId="657" priority="741" stopIfTrue="1">
      <formula>$A1288="Tmdpvol"</formula>
    </cfRule>
    <cfRule type="expression" dxfId="656" priority="753" stopIfTrue="1">
      <formula>$A1288="Snglvol"</formula>
    </cfRule>
  </conditionalFormatting>
  <conditionalFormatting sqref="H1288:I1289">
    <cfRule type="expression" dxfId="655" priority="633" stopIfTrue="1">
      <formula>$A1288="Pipe"</formula>
    </cfRule>
    <cfRule type="expression" dxfId="654" priority="645" stopIfTrue="1">
      <formula>$A1288="Junction"</formula>
    </cfRule>
    <cfRule type="expression" dxfId="653" priority="656" stopIfTrue="1">
      <formula>$A1288="Sngljun"</formula>
    </cfRule>
    <cfRule type="expression" dxfId="652" priority="670" stopIfTrue="1">
      <formula>$A1288="Mtrvlv"</formula>
    </cfRule>
    <cfRule type="expression" dxfId="651" priority="682" stopIfTrue="1">
      <formula>$A1288="Srvvlv"</formula>
    </cfRule>
    <cfRule type="expression" dxfId="650" priority="694" stopIfTrue="1">
      <formula>$A1288="Chkvlv"</formula>
    </cfRule>
    <cfRule type="expression" dxfId="649" priority="706" stopIfTrue="1">
      <formula>$A1288="Inrvlv"</formula>
    </cfRule>
    <cfRule type="expression" dxfId="648" priority="718" stopIfTrue="1">
      <formula>$A1288="Tmdpjun"</formula>
    </cfRule>
    <cfRule type="expression" dxfId="647" priority="730" stopIfTrue="1">
      <formula>$A1288="Pump"</formula>
    </cfRule>
    <cfRule type="expression" dxfId="646" priority="742" stopIfTrue="1">
      <formula>$A1288="Tmdpvol"</formula>
    </cfRule>
    <cfRule type="expression" dxfId="645" priority="754" stopIfTrue="1">
      <formula>$A1288="Snglvol"</formula>
    </cfRule>
  </conditionalFormatting>
  <conditionalFormatting sqref="J1288:K1289">
    <cfRule type="expression" dxfId="644" priority="634" stopIfTrue="1">
      <formula>$A1288="Pipe"</formula>
    </cfRule>
    <cfRule type="expression" dxfId="643" priority="646" stopIfTrue="1">
      <formula>$A1288="Junction"</formula>
    </cfRule>
    <cfRule type="expression" dxfId="642" priority="657" stopIfTrue="1">
      <formula>$A1288="Sngljun"</formula>
    </cfRule>
    <cfRule type="expression" dxfId="641" priority="671" stopIfTrue="1">
      <formula>$A1288="Mtrvlv"</formula>
    </cfRule>
    <cfRule type="expression" dxfId="640" priority="683" stopIfTrue="1">
      <formula>$A1288="Srvvlv"</formula>
    </cfRule>
    <cfRule type="expression" dxfId="639" priority="695" stopIfTrue="1">
      <formula>$A1288="Chkvlv"</formula>
    </cfRule>
    <cfRule type="expression" dxfId="638" priority="707" stopIfTrue="1">
      <formula>$A1288="Inrvlv"</formula>
    </cfRule>
    <cfRule type="expression" dxfId="637" priority="719" stopIfTrue="1">
      <formula>$A1288="Tmdpjun"</formula>
    </cfRule>
    <cfRule type="expression" dxfId="636" priority="731" stopIfTrue="1">
      <formula>$A1288="Pump"</formula>
    </cfRule>
    <cfRule type="expression" dxfId="635" priority="743" stopIfTrue="1">
      <formula>$A1288="Tmdpvol"</formula>
    </cfRule>
    <cfRule type="expression" dxfId="634" priority="755" stopIfTrue="1">
      <formula>$A1288="Snglvol"</formula>
    </cfRule>
  </conditionalFormatting>
  <conditionalFormatting sqref="L1288:L1289">
    <cfRule type="expression" dxfId="633" priority="635" stopIfTrue="1">
      <formula>$A1288="Pipe"</formula>
    </cfRule>
    <cfRule type="expression" dxfId="632" priority="647" stopIfTrue="1">
      <formula>$A1288="Junction"</formula>
    </cfRule>
    <cfRule type="expression" dxfId="631" priority="658" stopIfTrue="1">
      <formula>$A1288="Sngljun"</formula>
    </cfRule>
    <cfRule type="expression" dxfId="630" priority="672" stopIfTrue="1">
      <formula>$A1288="Mtrvlv"</formula>
    </cfRule>
    <cfRule type="expression" dxfId="629" priority="684" stopIfTrue="1">
      <formula>$A1288="Srvvlv"</formula>
    </cfRule>
    <cfRule type="expression" dxfId="628" priority="696" stopIfTrue="1">
      <formula>$A1288="Chkvlv"</formula>
    </cfRule>
    <cfRule type="expression" dxfId="627" priority="708" stopIfTrue="1">
      <formula>$A1288="Inrvlv"</formula>
    </cfRule>
    <cfRule type="expression" dxfId="626" priority="720" stopIfTrue="1">
      <formula>$A1288="Tmdpjun"</formula>
    </cfRule>
    <cfRule type="expression" dxfId="625" priority="732" stopIfTrue="1">
      <formula>$A1288="Pump"</formula>
    </cfRule>
    <cfRule type="expression" dxfId="624" priority="744" stopIfTrue="1">
      <formula>$A1288="Tmdpvol"</formula>
    </cfRule>
    <cfRule type="expression" dxfId="623" priority="756" stopIfTrue="1">
      <formula>$A1288="Snglvol"</formula>
    </cfRule>
  </conditionalFormatting>
  <conditionalFormatting sqref="M1288:N1289">
    <cfRule type="expression" dxfId="622" priority="636" stopIfTrue="1">
      <formula>$A1288="Pipe"</formula>
    </cfRule>
    <cfRule type="expression" dxfId="621" priority="648" stopIfTrue="1">
      <formula>$A1288="Junction"</formula>
    </cfRule>
    <cfRule type="expression" dxfId="620" priority="659" stopIfTrue="1">
      <formula>$A1288="Sngljun"</formula>
    </cfRule>
    <cfRule type="expression" dxfId="619" priority="673" stopIfTrue="1">
      <formula>$A1288="Mtrvlv"</formula>
    </cfRule>
    <cfRule type="expression" dxfId="618" priority="685" stopIfTrue="1">
      <formula>$A1288="Srvvlv"</formula>
    </cfRule>
    <cfRule type="expression" dxfId="617" priority="697" stopIfTrue="1">
      <formula>$A1288="Chkvlv"</formula>
    </cfRule>
    <cfRule type="expression" dxfId="616" priority="709" stopIfTrue="1">
      <formula>$A1288="Inrvlv"</formula>
    </cfRule>
    <cfRule type="expression" dxfId="615" priority="721" stopIfTrue="1">
      <formula>$A1288="Tmdpjun"</formula>
    </cfRule>
    <cfRule type="expression" dxfId="614" priority="733" stopIfTrue="1">
      <formula>$A1288="Pump"</formula>
    </cfRule>
    <cfRule type="expression" dxfId="613" priority="745" stopIfTrue="1">
      <formula>$A1288="Tmdpvol"</formula>
    </cfRule>
    <cfRule type="expression" dxfId="612" priority="757" stopIfTrue="1">
      <formula>$A1288="Snglvol"</formula>
    </cfRule>
  </conditionalFormatting>
  <conditionalFormatting sqref="O1288:O1289">
    <cfRule type="expression" dxfId="611" priority="637" stopIfTrue="1">
      <formula>$A1288="Pipe"</formula>
    </cfRule>
    <cfRule type="expression" dxfId="610" priority="674" stopIfTrue="1">
      <formula>$A1288="Mtrvlv"</formula>
    </cfRule>
    <cfRule type="expression" dxfId="609" priority="686" stopIfTrue="1">
      <formula>$A1288="Srvvlv"</formula>
    </cfRule>
    <cfRule type="expression" dxfId="608" priority="698" stopIfTrue="1">
      <formula>$A1288="Chkvlv"</formula>
    </cfRule>
    <cfRule type="expression" dxfId="607" priority="710" stopIfTrue="1">
      <formula>$A1288="Inrvlv"</formula>
    </cfRule>
    <cfRule type="expression" dxfId="606" priority="722" stopIfTrue="1">
      <formula>$A1288="Tmdpjun"</formula>
    </cfRule>
    <cfRule type="expression" dxfId="605" priority="734" stopIfTrue="1">
      <formula>$A1288="Pump"</formula>
    </cfRule>
    <cfRule type="expression" dxfId="604" priority="746" stopIfTrue="1">
      <formula>$A1288="Tmdpvol"</formula>
    </cfRule>
    <cfRule type="expression" dxfId="603" priority="758" stopIfTrue="1">
      <formula>$A1288="Snglvol"</formula>
    </cfRule>
  </conditionalFormatting>
  <conditionalFormatting sqref="P1288:P1289">
    <cfRule type="expression" dxfId="602" priority="638" stopIfTrue="1">
      <formula>$A1288="Pipe"</formula>
    </cfRule>
    <cfRule type="expression" dxfId="601" priority="661" stopIfTrue="1">
      <formula>$A1288="Sngljun"</formula>
    </cfRule>
    <cfRule type="expression" dxfId="600" priority="675" stopIfTrue="1">
      <formula>$A1288="Mtrvlv"</formula>
    </cfRule>
    <cfRule type="expression" dxfId="599" priority="687" stopIfTrue="1">
      <formula>$A1288="Srvvlv"</formula>
    </cfRule>
    <cfRule type="expression" dxfId="598" priority="699" stopIfTrue="1">
      <formula>$A1288="Chkvlv"</formula>
    </cfRule>
    <cfRule type="expression" dxfId="597" priority="711" stopIfTrue="1">
      <formula>$A1288="Inrvlv"</formula>
    </cfRule>
    <cfRule type="expression" dxfId="596" priority="723" stopIfTrue="1">
      <formula>$A1288="Tmdpjun"</formula>
    </cfRule>
    <cfRule type="expression" dxfId="595" priority="735" stopIfTrue="1">
      <formula>$A1288="Pump"</formula>
    </cfRule>
    <cfRule type="expression" dxfId="594" priority="747" stopIfTrue="1">
      <formula>$A1288="Tmdpvol"</formula>
    </cfRule>
    <cfRule type="expression" dxfId="593" priority="759" stopIfTrue="1">
      <formula>$A1288="Snglvol"</formula>
    </cfRule>
  </conditionalFormatting>
  <conditionalFormatting sqref="O1288:O1289">
    <cfRule type="expression" dxfId="592" priority="649" stopIfTrue="1">
      <formula>$A1288="Junction"</formula>
    </cfRule>
    <cfRule type="expression" dxfId="591" priority="660" stopIfTrue="1">
      <formula>$A1288="Sngljun"</formula>
    </cfRule>
  </conditionalFormatting>
  <conditionalFormatting sqref="Q1288:T1289">
    <cfRule type="expression" dxfId="590" priority="662" stopIfTrue="1">
      <formula>$A1288="Sngljun"</formula>
    </cfRule>
  </conditionalFormatting>
  <conditionalFormatting sqref="U1288:V1289 H704:K1132 A704:B1132 U704:V1132 M704:P1132">
    <cfRule type="expression" dxfId="589" priority="663" stopIfTrue="1">
      <formula>$A704="Sngljun"</formula>
    </cfRule>
  </conditionalFormatting>
  <conditionalFormatting sqref="A1133:A1287">
    <cfRule type="expression" dxfId="588" priority="779" stopIfTrue="1">
      <formula>$A1133="Pipe"</formula>
    </cfRule>
    <cfRule type="expression" dxfId="587" priority="801" stopIfTrue="1">
      <formula>$A1133="Junction"</formula>
    </cfRule>
    <cfRule type="expression" dxfId="586" priority="823" stopIfTrue="1">
      <formula>$A1133="Sngljun"</formula>
    </cfRule>
    <cfRule type="expression" dxfId="585" priority="845" stopIfTrue="1">
      <formula>$A1133="Mtrvlv"</formula>
    </cfRule>
    <cfRule type="expression" dxfId="584" priority="867" stopIfTrue="1">
      <formula>$A1133="Srvvlv"</formula>
    </cfRule>
    <cfRule type="expression" dxfId="583" priority="889" stopIfTrue="1">
      <formula>$A1133="Chkvlv"</formula>
    </cfRule>
    <cfRule type="expression" dxfId="582" priority="911" stopIfTrue="1">
      <formula>$A1133="Inrvlv"</formula>
    </cfRule>
    <cfRule type="expression" dxfId="581" priority="933" stopIfTrue="1">
      <formula>$A1133="Tmdpjun"</formula>
    </cfRule>
    <cfRule type="expression" dxfId="580" priority="955" stopIfTrue="1">
      <formula>$A1133="Pump"</formula>
    </cfRule>
    <cfRule type="expression" dxfId="579" priority="977" stopIfTrue="1">
      <formula>$A1133="Tmdpvol"</formula>
    </cfRule>
    <cfRule type="expression" dxfId="578" priority="999" stopIfTrue="1">
      <formula>$A1133="Snglvol"</formula>
    </cfRule>
    <cfRule type="expression" dxfId="577" priority="1021" stopIfTrue="1">
      <formula>$A1133="Relapnr"</formula>
    </cfRule>
    <cfRule type="expression" dxfId="576" priority="1023" stopIfTrue="1">
      <formula>$A1133="Init"</formula>
    </cfRule>
    <cfRule type="expression" dxfId="575" priority="1026" stopIfTrue="1">
      <formula>$A1133="InitGas"</formula>
    </cfRule>
    <cfRule type="expression" dxfId="574" priority="1029" stopIfTrue="1">
      <formula>$A1133="Timestep"</formula>
    </cfRule>
    <cfRule type="expression" dxfId="573" priority="1034" stopIfTrue="1">
      <formula>$A1133="Replacements"</formula>
    </cfRule>
    <cfRule type="expression" dxfId="572" priority="1036" stopIfTrue="1">
      <formula>$A1133="Triggerwords"</formula>
    </cfRule>
    <cfRule type="expression" dxfId="571" priority="1038" stopIfTrue="1">
      <formula>$A1133="Custom"</formula>
    </cfRule>
  </conditionalFormatting>
  <conditionalFormatting sqref="B1133:B1287">
    <cfRule type="expression" dxfId="570" priority="780" stopIfTrue="1">
      <formula>$A1133="Pipe"</formula>
    </cfRule>
    <cfRule type="expression" dxfId="569" priority="802" stopIfTrue="1">
      <formula>$A1133="Junction"</formula>
    </cfRule>
    <cfRule type="expression" dxfId="568" priority="824" stopIfTrue="1">
      <formula>$A1133="Sngljun"</formula>
    </cfRule>
    <cfRule type="expression" dxfId="567" priority="846" stopIfTrue="1">
      <formula>$A1133="Mtrvlv"</formula>
    </cfRule>
    <cfRule type="expression" dxfId="566" priority="868" stopIfTrue="1">
      <formula>$A1133="Srvvlv"</formula>
    </cfRule>
    <cfRule type="expression" dxfId="565" priority="890" stopIfTrue="1">
      <formula>$A1133="Chkvlv"</formula>
    </cfRule>
    <cfRule type="expression" dxfId="564" priority="912" stopIfTrue="1">
      <formula>$A1133="Inrvlv"</formula>
    </cfRule>
    <cfRule type="expression" dxfId="563" priority="934" stopIfTrue="1">
      <formula>$A1133="Tmdpjun"</formula>
    </cfRule>
    <cfRule type="expression" dxfId="562" priority="956" stopIfTrue="1">
      <formula>$A1133="Pump"</formula>
    </cfRule>
    <cfRule type="expression" dxfId="561" priority="978" stopIfTrue="1">
      <formula>$A1133="Tmdpvol"</formula>
    </cfRule>
    <cfRule type="expression" dxfId="560" priority="1000" stopIfTrue="1">
      <formula>$A1133="Snglvol"</formula>
    </cfRule>
    <cfRule type="expression" dxfId="559" priority="1022" stopIfTrue="1">
      <formula>$A1133="Relapnr"</formula>
    </cfRule>
    <cfRule type="expression" dxfId="558" priority="1024" stopIfTrue="1">
      <formula>$A1133="Init"</formula>
    </cfRule>
    <cfRule type="expression" dxfId="557" priority="1027" stopIfTrue="1">
      <formula>$A1133="InitGas"</formula>
    </cfRule>
    <cfRule type="expression" dxfId="556" priority="1030" stopIfTrue="1">
      <formula>$A1133="Timestep"</formula>
    </cfRule>
    <cfRule type="expression" dxfId="555" priority="1035" stopIfTrue="1">
      <formula>$A1133="Replacements"</formula>
    </cfRule>
    <cfRule type="expression" dxfId="554" priority="1037" stopIfTrue="1">
      <formula>$A1133="Triggerwords"</formula>
    </cfRule>
    <cfRule type="expression" dxfId="553" priority="1039" stopIfTrue="1">
      <formula>$A1133="Custom"</formula>
    </cfRule>
  </conditionalFormatting>
  <conditionalFormatting sqref="C1133:C1287">
    <cfRule type="expression" dxfId="552" priority="781" stopIfTrue="1">
      <formula>$A1133="Pipe"</formula>
    </cfRule>
    <cfRule type="expression" dxfId="551" priority="803" stopIfTrue="1">
      <formula>$A1133="Junction"</formula>
    </cfRule>
    <cfRule type="expression" dxfId="550" priority="825" stopIfTrue="1">
      <formula>$A1133="Sngljun"</formula>
    </cfRule>
    <cfRule type="expression" dxfId="549" priority="847" stopIfTrue="1">
      <formula>$A1133="Mtrvlv"</formula>
    </cfRule>
    <cfRule type="expression" dxfId="548" priority="869" stopIfTrue="1">
      <formula>$A1133="Srvvlv"</formula>
    </cfRule>
    <cfRule type="expression" dxfId="547" priority="891" stopIfTrue="1">
      <formula>$A1133="Chkvlv"</formula>
    </cfRule>
    <cfRule type="expression" dxfId="546" priority="913" stopIfTrue="1">
      <formula>$A1133="Inrvlv"</formula>
    </cfRule>
    <cfRule type="expression" dxfId="545" priority="935" stopIfTrue="1">
      <formula>$A1133="Tmdpjun"</formula>
    </cfRule>
    <cfRule type="expression" dxfId="544" priority="957" stopIfTrue="1">
      <formula>$A1133="Pump"</formula>
    </cfRule>
    <cfRule type="expression" dxfId="543" priority="979" stopIfTrue="1">
      <formula>$A1133="Tmdpvol"</formula>
    </cfRule>
    <cfRule type="expression" dxfId="542" priority="1001" stopIfTrue="1">
      <formula>$A1133="Snglvol"</formula>
    </cfRule>
    <cfRule type="expression" dxfId="541" priority="1025" stopIfTrue="1">
      <formula>$A1133="Init"</formula>
    </cfRule>
    <cfRule type="expression" dxfId="540" priority="1028" stopIfTrue="1">
      <formula>$A1133="InitGas"</formula>
    </cfRule>
    <cfRule type="expression" dxfId="539" priority="1031" stopIfTrue="1">
      <formula>$A1133="Timestep"</formula>
    </cfRule>
  </conditionalFormatting>
  <conditionalFormatting sqref="D1133:D1287">
    <cfRule type="expression" dxfId="538" priority="782" stopIfTrue="1">
      <formula>$A1133="Pipe"</formula>
    </cfRule>
    <cfRule type="expression" dxfId="537" priority="804" stopIfTrue="1">
      <formula>$A1133="Junction"</formula>
    </cfRule>
    <cfRule type="expression" dxfId="536" priority="826" stopIfTrue="1">
      <formula>$A1133="Sngljun"</formula>
    </cfRule>
    <cfRule type="expression" dxfId="535" priority="848" stopIfTrue="1">
      <formula>$A1133="Mtrvlv"</formula>
    </cfRule>
    <cfRule type="expression" dxfId="534" priority="870" stopIfTrue="1">
      <formula>$A1133="Srvvlv"</formula>
    </cfRule>
    <cfRule type="expression" dxfId="533" priority="892" stopIfTrue="1">
      <formula>$A1133="Chkvlv"</formula>
    </cfRule>
    <cfRule type="expression" dxfId="532" priority="914" stopIfTrue="1">
      <formula>$A1133="Inrvlv"</formula>
    </cfRule>
    <cfRule type="expression" dxfId="531" priority="936" stopIfTrue="1">
      <formula>$A1133="Tmdpjun"</formula>
    </cfRule>
    <cfRule type="expression" dxfId="530" priority="958" stopIfTrue="1">
      <formula>$A1133="Pump"</formula>
    </cfRule>
    <cfRule type="expression" dxfId="529" priority="980" stopIfTrue="1">
      <formula>$A1133="Tmdpvol"</formula>
    </cfRule>
    <cfRule type="expression" dxfId="528" priority="1002" stopIfTrue="1">
      <formula>$A1133="Snglvol"</formula>
    </cfRule>
    <cfRule type="expression" dxfId="527" priority="1032" stopIfTrue="1">
      <formula>$A1133="Timestep"</formula>
    </cfRule>
  </conditionalFormatting>
  <conditionalFormatting sqref="E1133:E1287">
    <cfRule type="expression" dxfId="526" priority="783" stopIfTrue="1">
      <formula>$A1133="Pipe"</formula>
    </cfRule>
    <cfRule type="expression" dxfId="525" priority="805" stopIfTrue="1">
      <formula>$A1133="Junction"</formula>
    </cfRule>
    <cfRule type="expression" dxfId="524" priority="827" stopIfTrue="1">
      <formula>$A1133="Sngljun"</formula>
    </cfRule>
    <cfRule type="expression" dxfId="523" priority="849" stopIfTrue="1">
      <formula>$A1133="Mtrvlv"</formula>
    </cfRule>
    <cfRule type="expression" dxfId="522" priority="871" stopIfTrue="1">
      <formula>$A1133="Srvvlv"</formula>
    </cfRule>
    <cfRule type="expression" dxfId="521" priority="893" stopIfTrue="1">
      <formula>$A1133="Chkvlv"</formula>
    </cfRule>
    <cfRule type="expression" dxfId="520" priority="915" stopIfTrue="1">
      <formula>$A1133="Inrvlv"</formula>
    </cfRule>
    <cfRule type="expression" dxfId="519" priority="937" stopIfTrue="1">
      <formula>$A1133="Tmdpjun"</formula>
    </cfRule>
    <cfRule type="expression" dxfId="518" priority="959" stopIfTrue="1">
      <formula>$A1133="Pump"</formula>
    </cfRule>
    <cfRule type="expression" dxfId="517" priority="981" stopIfTrue="1">
      <formula>$A1133="Tmdpvol"</formula>
    </cfRule>
    <cfRule type="expression" dxfId="516" priority="1003" stopIfTrue="1">
      <formula>$A1133="Snglvol"</formula>
    </cfRule>
    <cfRule type="expression" dxfId="515" priority="1033" stopIfTrue="1">
      <formula>$A1133="Timestep"</formula>
    </cfRule>
  </conditionalFormatting>
  <conditionalFormatting sqref="F1133:F1287">
    <cfRule type="expression" dxfId="514" priority="784" stopIfTrue="1">
      <formula>$A1133="Pipe"</formula>
    </cfRule>
    <cfRule type="expression" dxfId="513" priority="806" stopIfTrue="1">
      <formula>$A1133="Junction"</formula>
    </cfRule>
    <cfRule type="expression" dxfId="512" priority="828" stopIfTrue="1">
      <formula>$A1133="Sngljun"</formula>
    </cfRule>
    <cfRule type="expression" dxfId="511" priority="850" stopIfTrue="1">
      <formula>$A1133="Mtrvlv"</formula>
    </cfRule>
    <cfRule type="expression" dxfId="510" priority="872" stopIfTrue="1">
      <formula>$A1133="Srvvlv"</formula>
    </cfRule>
    <cfRule type="expression" dxfId="509" priority="894" stopIfTrue="1">
      <formula>$A1133="Chkvlv"</formula>
    </cfRule>
    <cfRule type="expression" dxfId="508" priority="916" stopIfTrue="1">
      <formula>$A1133="Inrvlv"</formula>
    </cfRule>
    <cfRule type="expression" dxfId="507" priority="938" stopIfTrue="1">
      <formula>$A1133="Tmdpjun"</formula>
    </cfRule>
    <cfRule type="expression" dxfId="506" priority="960" stopIfTrue="1">
      <formula>$A1133="Pump"</formula>
    </cfRule>
    <cfRule type="expression" dxfId="505" priority="982" stopIfTrue="1">
      <formula>$A1133="Tmdpvol"</formula>
    </cfRule>
    <cfRule type="expression" dxfId="504" priority="1004" stopIfTrue="1">
      <formula>$A1133="Snglvol"</formula>
    </cfRule>
  </conditionalFormatting>
  <conditionalFormatting sqref="G1133:G1287">
    <cfRule type="expression" dxfId="503" priority="785" stopIfTrue="1">
      <formula>$A1133="Pipe"</formula>
    </cfRule>
    <cfRule type="expression" dxfId="502" priority="807" stopIfTrue="1">
      <formula>$A1133="Junction"</formula>
    </cfRule>
    <cfRule type="expression" dxfId="501" priority="829" stopIfTrue="1">
      <formula>$A1133="Sngljun"</formula>
    </cfRule>
    <cfRule type="expression" dxfId="500" priority="851" stopIfTrue="1">
      <formula>$A1133="Mtrvlv"</formula>
    </cfRule>
    <cfRule type="expression" dxfId="499" priority="873" stopIfTrue="1">
      <formula>$A1133="Srvvlv"</formula>
    </cfRule>
    <cfRule type="expression" dxfId="498" priority="895" stopIfTrue="1">
      <formula>$A1133="Chkvlv"</formula>
    </cfRule>
    <cfRule type="expression" dxfId="497" priority="917" stopIfTrue="1">
      <formula>$A1133="Inrvlv"</formula>
    </cfRule>
    <cfRule type="expression" dxfId="496" priority="939" stopIfTrue="1">
      <formula>$A1133="Tmdpjun"</formula>
    </cfRule>
    <cfRule type="expression" dxfId="495" priority="961" stopIfTrue="1">
      <formula>$A1133="Pump"</formula>
    </cfRule>
    <cfRule type="expression" dxfId="494" priority="983" stopIfTrue="1">
      <formula>$A1133="Tmdpvol"</formula>
    </cfRule>
    <cfRule type="expression" dxfId="493" priority="1005" stopIfTrue="1">
      <formula>$A1133="Snglvol"</formula>
    </cfRule>
  </conditionalFormatting>
  <conditionalFormatting sqref="H1133:H1287">
    <cfRule type="expression" dxfId="492" priority="786" stopIfTrue="1">
      <formula>$A1133="Pipe"</formula>
    </cfRule>
    <cfRule type="expression" dxfId="491" priority="808" stopIfTrue="1">
      <formula>$A1133="Junction"</formula>
    </cfRule>
    <cfRule type="expression" dxfId="490" priority="830" stopIfTrue="1">
      <formula>$A1133="Sngljun"</formula>
    </cfRule>
    <cfRule type="expression" dxfId="489" priority="852" stopIfTrue="1">
      <formula>$A1133="Mtrvlv"</formula>
    </cfRule>
    <cfRule type="expression" dxfId="488" priority="874" stopIfTrue="1">
      <formula>$A1133="Srvvlv"</formula>
    </cfRule>
    <cfRule type="expression" dxfId="487" priority="896" stopIfTrue="1">
      <formula>$A1133="Chkvlv"</formula>
    </cfRule>
    <cfRule type="expression" dxfId="486" priority="918" stopIfTrue="1">
      <formula>$A1133="Inrvlv"</formula>
    </cfRule>
    <cfRule type="expression" dxfId="485" priority="940" stopIfTrue="1">
      <formula>$A1133="Tmdpjun"</formula>
    </cfRule>
    <cfRule type="expression" dxfId="484" priority="962" stopIfTrue="1">
      <formula>$A1133="Pump"</formula>
    </cfRule>
    <cfRule type="expression" dxfId="483" priority="984" stopIfTrue="1">
      <formula>$A1133="Tmdpvol"</formula>
    </cfRule>
    <cfRule type="expression" dxfId="482" priority="1006" stopIfTrue="1">
      <formula>$A1133="Snglvol"</formula>
    </cfRule>
  </conditionalFormatting>
  <conditionalFormatting sqref="I1133:I1287">
    <cfRule type="expression" dxfId="481" priority="787" stopIfTrue="1">
      <formula>$A1133="Pipe"</formula>
    </cfRule>
    <cfRule type="expression" dxfId="480" priority="809" stopIfTrue="1">
      <formula>$A1133="Junction"</formula>
    </cfRule>
    <cfRule type="expression" dxfId="479" priority="831" stopIfTrue="1">
      <formula>$A1133="Sngljun"</formula>
    </cfRule>
    <cfRule type="expression" dxfId="478" priority="853" stopIfTrue="1">
      <formula>$A1133="Mtrvlv"</formula>
    </cfRule>
    <cfRule type="expression" dxfId="477" priority="875" stopIfTrue="1">
      <formula>$A1133="Srvvlv"</formula>
    </cfRule>
    <cfRule type="expression" dxfId="476" priority="897" stopIfTrue="1">
      <formula>$A1133="Chkvlv"</formula>
    </cfRule>
    <cfRule type="expression" dxfId="475" priority="919" stopIfTrue="1">
      <formula>$A1133="Inrvlv"</formula>
    </cfRule>
    <cfRule type="expression" dxfId="474" priority="941" stopIfTrue="1">
      <formula>$A1133="Tmdpjun"</formula>
    </cfRule>
    <cfRule type="expression" dxfId="473" priority="963" stopIfTrue="1">
      <formula>$A1133="Pump"</formula>
    </cfRule>
    <cfRule type="expression" dxfId="472" priority="985" stopIfTrue="1">
      <formula>$A1133="Tmdpvol"</formula>
    </cfRule>
    <cfRule type="expression" dxfId="471" priority="1007" stopIfTrue="1">
      <formula>$A1133="Snglvol"</formula>
    </cfRule>
  </conditionalFormatting>
  <conditionalFormatting sqref="J1133:J1287">
    <cfRule type="expression" dxfId="470" priority="788" stopIfTrue="1">
      <formula>$A1133="Pipe"</formula>
    </cfRule>
    <cfRule type="expression" dxfId="469" priority="810" stopIfTrue="1">
      <formula>$A1133="Junction"</formula>
    </cfRule>
    <cfRule type="expression" dxfId="468" priority="832" stopIfTrue="1">
      <formula>$A1133="Sngljun"</formula>
    </cfRule>
    <cfRule type="expression" dxfId="467" priority="854" stopIfTrue="1">
      <formula>$A1133="Mtrvlv"</formula>
    </cfRule>
    <cfRule type="expression" dxfId="466" priority="876" stopIfTrue="1">
      <formula>$A1133="Srvvlv"</formula>
    </cfRule>
    <cfRule type="expression" dxfId="465" priority="898" stopIfTrue="1">
      <formula>$A1133="Chkvlv"</formula>
    </cfRule>
    <cfRule type="expression" dxfId="464" priority="920" stopIfTrue="1">
      <formula>$A1133="Inrvlv"</formula>
    </cfRule>
    <cfRule type="expression" dxfId="463" priority="942" stopIfTrue="1">
      <formula>$A1133="Tmdpjun"</formula>
    </cfRule>
    <cfRule type="expression" dxfId="462" priority="964" stopIfTrue="1">
      <formula>$A1133="Pump"</formula>
    </cfRule>
    <cfRule type="expression" dxfId="461" priority="986" stopIfTrue="1">
      <formula>$A1133="Tmdpvol"</formula>
    </cfRule>
    <cfRule type="expression" dxfId="460" priority="1008" stopIfTrue="1">
      <formula>$A1133="Snglvol"</formula>
    </cfRule>
  </conditionalFormatting>
  <conditionalFormatting sqref="K1133:K1287">
    <cfRule type="expression" dxfId="459" priority="789" stopIfTrue="1">
      <formula>$A1133="Pipe"</formula>
    </cfRule>
    <cfRule type="expression" dxfId="458" priority="811" stopIfTrue="1">
      <formula>$A1133="Junction"</formula>
    </cfRule>
    <cfRule type="expression" dxfId="457" priority="833" stopIfTrue="1">
      <formula>$A1133="Sngljun"</formula>
    </cfRule>
    <cfRule type="expression" dxfId="456" priority="855" stopIfTrue="1">
      <formula>$A1133="Mtrvlv"</formula>
    </cfRule>
    <cfRule type="expression" dxfId="455" priority="877" stopIfTrue="1">
      <formula>$A1133="Srvvlv"</formula>
    </cfRule>
    <cfRule type="expression" dxfId="454" priority="899" stopIfTrue="1">
      <formula>$A1133="Chkvlv"</formula>
    </cfRule>
    <cfRule type="expression" dxfId="453" priority="921" stopIfTrue="1">
      <formula>$A1133="Inrvlv"</formula>
    </cfRule>
    <cfRule type="expression" dxfId="452" priority="943" stopIfTrue="1">
      <formula>$A1133="Tmdpjun"</formula>
    </cfRule>
    <cfRule type="expression" dxfId="451" priority="965" stopIfTrue="1">
      <formula>$A1133="Pump"</formula>
    </cfRule>
    <cfRule type="expression" dxfId="450" priority="987" stopIfTrue="1">
      <formula>$A1133="Tmdpvol"</formula>
    </cfRule>
    <cfRule type="expression" dxfId="449" priority="1009" stopIfTrue="1">
      <formula>$A1133="Snglvol"</formula>
    </cfRule>
  </conditionalFormatting>
  <conditionalFormatting sqref="L1133:L1287">
    <cfRule type="expression" dxfId="448" priority="790" stopIfTrue="1">
      <formula>$A1133="Pipe"</formula>
    </cfRule>
    <cfRule type="expression" dxfId="447" priority="812" stopIfTrue="1">
      <formula>$A1133="Junction"</formula>
    </cfRule>
    <cfRule type="expression" dxfId="446" priority="834" stopIfTrue="1">
      <formula>$A1133="Sngljun"</formula>
    </cfRule>
    <cfRule type="expression" dxfId="445" priority="856" stopIfTrue="1">
      <formula>$A1133="Mtrvlv"</formula>
    </cfRule>
    <cfRule type="expression" dxfId="444" priority="878" stopIfTrue="1">
      <formula>$A1133="Srvvlv"</formula>
    </cfRule>
    <cfRule type="expression" dxfId="443" priority="900" stopIfTrue="1">
      <formula>$A1133="Chkvlv"</formula>
    </cfRule>
    <cfRule type="expression" dxfId="442" priority="922" stopIfTrue="1">
      <formula>$A1133="Inrvlv"</formula>
    </cfRule>
    <cfRule type="expression" dxfId="441" priority="988" stopIfTrue="1">
      <formula>$A1133="Tmdpvol"</formula>
    </cfRule>
  </conditionalFormatting>
  <conditionalFormatting sqref="M1133:M1287">
    <cfRule type="expression" dxfId="440" priority="791" stopIfTrue="1">
      <formula>$A1133="Pipe"</formula>
    </cfRule>
    <cfRule type="expression" dxfId="439" priority="813" stopIfTrue="1">
      <formula>$A1133="Junction"</formula>
    </cfRule>
    <cfRule type="expression" dxfId="438" priority="835" stopIfTrue="1">
      <formula>$A1133="Sngljun"</formula>
    </cfRule>
    <cfRule type="expression" dxfId="437" priority="857" stopIfTrue="1">
      <formula>$A1133="Mtrvlv"</formula>
    </cfRule>
    <cfRule type="expression" dxfId="436" priority="879" stopIfTrue="1">
      <formula>$A1133="Srvvlv"</formula>
    </cfRule>
    <cfRule type="expression" dxfId="435" priority="901" stopIfTrue="1">
      <formula>$A1133="Chkvlv"</formula>
    </cfRule>
  </conditionalFormatting>
  <conditionalFormatting sqref="N1133:N1287">
    <cfRule type="expression" dxfId="434" priority="792" stopIfTrue="1">
      <formula>$A1133="Pipe"</formula>
    </cfRule>
    <cfRule type="expression" dxfId="433" priority="814" stopIfTrue="1">
      <formula>$A1133="Junction"</formula>
    </cfRule>
    <cfRule type="expression" dxfId="432" priority="836" stopIfTrue="1">
      <formula>$A1133="Sngljun"</formula>
    </cfRule>
    <cfRule type="expression" dxfId="431" priority="858" stopIfTrue="1">
      <formula>$A1133="Mtrvlv"</formula>
    </cfRule>
    <cfRule type="expression" dxfId="430" priority="880" stopIfTrue="1">
      <formula>$A1133="Srvvlv"</formula>
    </cfRule>
  </conditionalFormatting>
  <conditionalFormatting sqref="O1133:O1287">
    <cfRule type="expression" dxfId="429" priority="793" stopIfTrue="1">
      <formula>$A1133="Pipe"</formula>
    </cfRule>
    <cfRule type="expression" dxfId="428" priority="815" stopIfTrue="1">
      <formula>$A1133="Junction"</formula>
    </cfRule>
    <cfRule type="expression" dxfId="427" priority="837" stopIfTrue="1">
      <formula>$A1133="Sngljun"</formula>
    </cfRule>
    <cfRule type="expression" dxfId="426" priority="859" stopIfTrue="1">
      <formula>$A1133="Mtrvlv"</formula>
    </cfRule>
  </conditionalFormatting>
  <conditionalFormatting sqref="P1133:P1287">
    <cfRule type="expression" dxfId="425" priority="794" stopIfTrue="1">
      <formula>$A1133="Pipe"</formula>
    </cfRule>
    <cfRule type="expression" dxfId="424" priority="816" stopIfTrue="1">
      <formula>$A1133="Junction"</formula>
    </cfRule>
    <cfRule type="expression" dxfId="423" priority="838" stopIfTrue="1">
      <formula>$A1133="Sngljun"</formula>
    </cfRule>
  </conditionalFormatting>
  <conditionalFormatting sqref="Q1133:Q1287">
    <cfRule type="expression" dxfId="422" priority="795" stopIfTrue="1">
      <formula>$A1133="Pipe"</formula>
    </cfRule>
    <cfRule type="expression" dxfId="421" priority="817" stopIfTrue="1">
      <formula>$A1133="Junction"</formula>
    </cfRule>
  </conditionalFormatting>
  <conditionalFormatting sqref="R1133:R1287">
    <cfRule type="expression" dxfId="420" priority="796" stopIfTrue="1">
      <formula>$A1133="Pipe"</formula>
    </cfRule>
  </conditionalFormatting>
  <conditionalFormatting sqref="S1133:S1287">
    <cfRule type="expression" dxfId="419" priority="797" stopIfTrue="1">
      <formula>$A1133="Pipe"</formula>
    </cfRule>
  </conditionalFormatting>
  <conditionalFormatting sqref="T1133:T1287">
    <cfRule type="expression" dxfId="418" priority="798" stopIfTrue="1">
      <formula>$A1133="Pipe"</formula>
    </cfRule>
  </conditionalFormatting>
  <conditionalFormatting sqref="U1133:U1287">
    <cfRule type="expression" dxfId="417" priority="799" stopIfTrue="1">
      <formula>$A1133="Pipe"</formula>
    </cfRule>
  </conditionalFormatting>
  <conditionalFormatting sqref="V1133:V1287">
    <cfRule type="expression" dxfId="416" priority="800" stopIfTrue="1">
      <formula>$A1133="Pipe"</formula>
    </cfRule>
  </conditionalFormatting>
  <conditionalFormatting sqref="R1133:R1287">
    <cfRule type="expression" dxfId="415" priority="818" stopIfTrue="1">
      <formula>$A1133="Junction"</formula>
    </cfRule>
  </conditionalFormatting>
  <conditionalFormatting sqref="S1133:S1287">
    <cfRule type="expression" dxfId="414" priority="819" stopIfTrue="1">
      <formula>$A1133="Junction"</formula>
    </cfRule>
  </conditionalFormatting>
  <conditionalFormatting sqref="T1133:T1287">
    <cfRule type="expression" dxfId="413" priority="820" stopIfTrue="1">
      <formula>$A1133="Junction"</formula>
    </cfRule>
  </conditionalFormatting>
  <conditionalFormatting sqref="U1133:U1287">
    <cfRule type="expression" dxfId="412" priority="821" stopIfTrue="1">
      <formula>$A1133="Junction"</formula>
    </cfRule>
  </conditionalFormatting>
  <conditionalFormatting sqref="V1133:V1287">
    <cfRule type="expression" dxfId="411" priority="822" stopIfTrue="1">
      <formula>$A1133="Junction"</formula>
    </cfRule>
  </conditionalFormatting>
  <conditionalFormatting sqref="Q1133:Q1287">
    <cfRule type="expression" dxfId="410" priority="839" stopIfTrue="1">
      <formula>$A1133="Sngljun"</formula>
    </cfRule>
  </conditionalFormatting>
  <conditionalFormatting sqref="R1133:R1287">
    <cfRule type="expression" dxfId="409" priority="840" stopIfTrue="1">
      <formula>$A1133="Sngljun"</formula>
    </cfRule>
  </conditionalFormatting>
  <conditionalFormatting sqref="S1133:S1287">
    <cfRule type="expression" dxfId="408" priority="841" stopIfTrue="1">
      <formula>$A1133="Sngljun"</formula>
    </cfRule>
  </conditionalFormatting>
  <conditionalFormatting sqref="T1133:T1287">
    <cfRule type="expression" dxfId="407" priority="842" stopIfTrue="1">
      <formula>$A1133="Sngljun"</formula>
    </cfRule>
  </conditionalFormatting>
  <conditionalFormatting sqref="U1133:U1287">
    <cfRule type="expression" dxfId="406" priority="843" stopIfTrue="1">
      <formula>$A1133="Sngljun"</formula>
    </cfRule>
  </conditionalFormatting>
  <conditionalFormatting sqref="V1133:V1287">
    <cfRule type="expression" dxfId="405" priority="844" stopIfTrue="1">
      <formula>$A1133="Sngljun"</formula>
    </cfRule>
  </conditionalFormatting>
  <conditionalFormatting sqref="P1133:P1287">
    <cfRule type="expression" dxfId="404" priority="860" stopIfTrue="1">
      <formula>$A1133="Mtrvlv"</formula>
    </cfRule>
  </conditionalFormatting>
  <conditionalFormatting sqref="Q1133:Q1287">
    <cfRule type="expression" dxfId="403" priority="861" stopIfTrue="1">
      <formula>$A1133="Mtrvlv"</formula>
    </cfRule>
  </conditionalFormatting>
  <conditionalFormatting sqref="R1133:R1287">
    <cfRule type="expression" dxfId="402" priority="862" stopIfTrue="1">
      <formula>$A1133="Mtrvlv"</formula>
    </cfRule>
  </conditionalFormatting>
  <conditionalFormatting sqref="S1133:S1287">
    <cfRule type="expression" dxfId="401" priority="863" stopIfTrue="1">
      <formula>$A1133="Mtrvlv"</formula>
    </cfRule>
  </conditionalFormatting>
  <conditionalFormatting sqref="T1133:T1287">
    <cfRule type="expression" dxfId="400" priority="864" stopIfTrue="1">
      <formula>$A1133="Mtrvlv"</formula>
    </cfRule>
  </conditionalFormatting>
  <conditionalFormatting sqref="U1133:U1287">
    <cfRule type="expression" dxfId="399" priority="865" stopIfTrue="1">
      <formula>$A1133="Mtrvlv"</formula>
    </cfRule>
  </conditionalFormatting>
  <conditionalFormatting sqref="V1133:V1287">
    <cfRule type="expression" dxfId="398" priority="866" stopIfTrue="1">
      <formula>$A1133="Mtrvlv"</formula>
    </cfRule>
  </conditionalFormatting>
  <conditionalFormatting sqref="O1133:O1287">
    <cfRule type="expression" dxfId="397" priority="881" stopIfTrue="1">
      <formula>$A1133="Srvvlv"</formula>
    </cfRule>
  </conditionalFormatting>
  <conditionalFormatting sqref="P1133:P1287">
    <cfRule type="expression" dxfId="396" priority="882" stopIfTrue="1">
      <formula>$A1133="Srvvlv"</formula>
    </cfRule>
  </conditionalFormatting>
  <conditionalFormatting sqref="Q1133:Q1287">
    <cfRule type="expression" dxfId="395" priority="883" stopIfTrue="1">
      <formula>$A1133="Srvvlv"</formula>
    </cfRule>
  </conditionalFormatting>
  <conditionalFormatting sqref="R1133:R1287">
    <cfRule type="expression" dxfId="394" priority="884" stopIfTrue="1">
      <formula>$A1133="Srvvlv"</formula>
    </cfRule>
  </conditionalFormatting>
  <conditionalFormatting sqref="S1133:S1287">
    <cfRule type="expression" dxfId="393" priority="885" stopIfTrue="1">
      <formula>$A1133="Srvvlv"</formula>
    </cfRule>
  </conditionalFormatting>
  <conditionalFormatting sqref="T1133:T1287">
    <cfRule type="expression" dxfId="392" priority="886" stopIfTrue="1">
      <formula>$A1133="Srvvlv"</formula>
    </cfRule>
  </conditionalFormatting>
  <conditionalFormatting sqref="U1133:U1287">
    <cfRule type="expression" dxfId="391" priority="887" stopIfTrue="1">
      <formula>$A1133="Srvvlv"</formula>
    </cfRule>
  </conditionalFormatting>
  <conditionalFormatting sqref="V1133:V1287">
    <cfRule type="expression" dxfId="390" priority="888" stopIfTrue="1">
      <formula>$A1133="Srvvlv"</formula>
    </cfRule>
  </conditionalFormatting>
  <conditionalFormatting sqref="N1133:N1287">
    <cfRule type="expression" dxfId="389" priority="902" stopIfTrue="1">
      <formula>$A1133="Chkvlv"</formula>
    </cfRule>
  </conditionalFormatting>
  <conditionalFormatting sqref="O1133:O1287">
    <cfRule type="expression" dxfId="388" priority="903" stopIfTrue="1">
      <formula>$A1133="Chkvlv"</formula>
    </cfRule>
  </conditionalFormatting>
  <conditionalFormatting sqref="P1133:P1287">
    <cfRule type="expression" dxfId="387" priority="904" stopIfTrue="1">
      <formula>$A1133="Chkvlv"</formula>
    </cfRule>
  </conditionalFormatting>
  <conditionalFormatting sqref="Q1133:Q1287">
    <cfRule type="expression" dxfId="386" priority="905" stopIfTrue="1">
      <formula>$A1133="Chkvlv"</formula>
    </cfRule>
  </conditionalFormatting>
  <conditionalFormatting sqref="R1133:R1287">
    <cfRule type="expression" dxfId="385" priority="906" stopIfTrue="1">
      <formula>$A1133="Chkvlv"</formula>
    </cfRule>
  </conditionalFormatting>
  <conditionalFormatting sqref="S1133:S1287">
    <cfRule type="expression" dxfId="384" priority="907" stopIfTrue="1">
      <formula>$A1133="Chkvlv"</formula>
    </cfRule>
  </conditionalFormatting>
  <conditionalFormatting sqref="T1133:T1287">
    <cfRule type="expression" dxfId="383" priority="908" stopIfTrue="1">
      <formula>$A1133="Chkvlv"</formula>
    </cfRule>
  </conditionalFormatting>
  <conditionalFormatting sqref="U1133:U1287">
    <cfRule type="expression" dxfId="382" priority="909" stopIfTrue="1">
      <formula>$A1133="Chkvlv"</formula>
    </cfRule>
  </conditionalFormatting>
  <conditionalFormatting sqref="V1133:V1287">
    <cfRule type="expression" dxfId="381" priority="910" stopIfTrue="1">
      <formula>$A1133="Chkvlv"</formula>
    </cfRule>
  </conditionalFormatting>
  <conditionalFormatting sqref="M1133:M1287">
    <cfRule type="expression" dxfId="380" priority="923" stopIfTrue="1">
      <formula>$A1133="Inrvlv"</formula>
    </cfRule>
    <cfRule type="expression" dxfId="379" priority="989" stopIfTrue="1">
      <formula>$A1133="Tmdpvol"</formula>
    </cfRule>
    <cfRule type="expression" dxfId="378" priority="1011" stopIfTrue="1">
      <formula>$A1133="Snglvol"</formula>
    </cfRule>
  </conditionalFormatting>
  <conditionalFormatting sqref="N1133:N1287">
    <cfRule type="expression" dxfId="377" priority="924" stopIfTrue="1">
      <formula>$A1133="Inrvlv"</formula>
    </cfRule>
  </conditionalFormatting>
  <conditionalFormatting sqref="O1133:O1287">
    <cfRule type="expression" dxfId="376" priority="925" stopIfTrue="1">
      <formula>$A1133="Inrvlv"</formula>
    </cfRule>
  </conditionalFormatting>
  <conditionalFormatting sqref="P1133:P1287">
    <cfRule type="expression" dxfId="375" priority="926" stopIfTrue="1">
      <formula>$A1133="Inrvlv"</formula>
    </cfRule>
  </conditionalFormatting>
  <conditionalFormatting sqref="Q1133:Q1287">
    <cfRule type="expression" dxfId="374" priority="927" stopIfTrue="1">
      <formula>$A1133="Inrvlv"</formula>
    </cfRule>
  </conditionalFormatting>
  <conditionalFormatting sqref="R1133:R1287">
    <cfRule type="expression" dxfId="373" priority="928" stopIfTrue="1">
      <formula>$A1133="Inrvlv"</formula>
    </cfRule>
  </conditionalFormatting>
  <conditionalFormatting sqref="S1133:S1287">
    <cfRule type="expression" dxfId="372" priority="929" stopIfTrue="1">
      <formula>$A1133="Inrvlv"</formula>
    </cfRule>
  </conditionalFormatting>
  <conditionalFormatting sqref="T1133:T1287">
    <cfRule type="expression" dxfId="371" priority="930" stopIfTrue="1">
      <formula>$A1133="Inrvlv"</formula>
    </cfRule>
  </conditionalFormatting>
  <conditionalFormatting sqref="U1133:U1287">
    <cfRule type="expression" dxfId="370" priority="931" stopIfTrue="1">
      <formula>$A1133="Inrvlv"</formula>
    </cfRule>
  </conditionalFormatting>
  <conditionalFormatting sqref="V1133:V1287">
    <cfRule type="expression" dxfId="369" priority="932" stopIfTrue="1">
      <formula>$A1133="Inrvlv"</formula>
    </cfRule>
  </conditionalFormatting>
  <conditionalFormatting sqref="L1133:L1287">
    <cfRule type="expression" dxfId="368" priority="944" stopIfTrue="1">
      <formula>$A1133="Tmdpjun"</formula>
    </cfRule>
    <cfRule type="expression" dxfId="367" priority="1010" stopIfTrue="1">
      <formula>$A1133="Snglvol"</formula>
    </cfRule>
  </conditionalFormatting>
  <conditionalFormatting sqref="M1133:M1287">
    <cfRule type="expression" dxfId="366" priority="945" stopIfTrue="1">
      <formula>$A1133="Tmdpjun"</formula>
    </cfRule>
  </conditionalFormatting>
  <conditionalFormatting sqref="N1133:N1287">
    <cfRule type="expression" dxfId="365" priority="946" stopIfTrue="1">
      <formula>$A1133="Tmdpjun"</formula>
    </cfRule>
  </conditionalFormatting>
  <conditionalFormatting sqref="O1133:O1287">
    <cfRule type="expression" dxfId="364" priority="947" stopIfTrue="1">
      <formula>$A1133="Tmdpjun"</formula>
    </cfRule>
  </conditionalFormatting>
  <conditionalFormatting sqref="P1133:P1287">
    <cfRule type="expression" dxfId="363" priority="948" stopIfTrue="1">
      <formula>$A1133="Tmdpjun"</formula>
    </cfRule>
  </conditionalFormatting>
  <conditionalFormatting sqref="Q1133:Q1287">
    <cfRule type="expression" dxfId="362" priority="949" stopIfTrue="1">
      <formula>$A1133="Tmdpjun"</formula>
    </cfRule>
  </conditionalFormatting>
  <conditionalFormatting sqref="R1133:R1287">
    <cfRule type="expression" dxfId="361" priority="950" stopIfTrue="1">
      <formula>$A1133="Tmdpjun"</formula>
    </cfRule>
  </conditionalFormatting>
  <conditionalFormatting sqref="S1133:S1287">
    <cfRule type="expression" dxfId="360" priority="951" stopIfTrue="1">
      <formula>$A1133="Tmdpjun"</formula>
    </cfRule>
  </conditionalFormatting>
  <conditionalFormatting sqref="T1133:T1287">
    <cfRule type="expression" dxfId="359" priority="952" stopIfTrue="1">
      <formula>$A1133="Tmdpjun"</formula>
    </cfRule>
  </conditionalFormatting>
  <conditionalFormatting sqref="U1133:U1287">
    <cfRule type="expression" dxfId="358" priority="953" stopIfTrue="1">
      <formula>$A1133="Tmdpjun"</formula>
    </cfRule>
  </conditionalFormatting>
  <conditionalFormatting sqref="V1133:V1287">
    <cfRule type="expression" dxfId="357" priority="954" stopIfTrue="1">
      <formula>$A1133="Tmdpjun"</formula>
    </cfRule>
  </conditionalFormatting>
  <conditionalFormatting sqref="L1133:L1287">
    <cfRule type="expression" dxfId="356" priority="966" stopIfTrue="1">
      <formula>$A1133="Pump"</formula>
    </cfRule>
  </conditionalFormatting>
  <conditionalFormatting sqref="M1133:M1287">
    <cfRule type="expression" dxfId="355" priority="967" stopIfTrue="1">
      <formula>$A1133="Pump"</formula>
    </cfRule>
  </conditionalFormatting>
  <conditionalFormatting sqref="N1133:N1287">
    <cfRule type="expression" dxfId="354" priority="968" stopIfTrue="1">
      <formula>$A1133="Pump"</formula>
    </cfRule>
  </conditionalFormatting>
  <conditionalFormatting sqref="O1133:O1287">
    <cfRule type="expression" dxfId="353" priority="969" stopIfTrue="1">
      <formula>$A1133="Pump"</formula>
    </cfRule>
  </conditionalFormatting>
  <conditionalFormatting sqref="P1133:P1287">
    <cfRule type="expression" dxfId="352" priority="970" stopIfTrue="1">
      <formula>$A1133="Pump"</formula>
    </cfRule>
  </conditionalFormatting>
  <conditionalFormatting sqref="Q1133:Q1287">
    <cfRule type="expression" dxfId="351" priority="971" stopIfTrue="1">
      <formula>$A1133="Pump"</formula>
    </cfRule>
  </conditionalFormatting>
  <conditionalFormatting sqref="R1133:R1287">
    <cfRule type="expression" dxfId="350" priority="972" stopIfTrue="1">
      <formula>$A1133="Pump"</formula>
    </cfRule>
  </conditionalFormatting>
  <conditionalFormatting sqref="S1133:S1287">
    <cfRule type="expression" dxfId="349" priority="973" stopIfTrue="1">
      <formula>$A1133="Pump"</formula>
    </cfRule>
  </conditionalFormatting>
  <conditionalFormatting sqref="T1133:T1287">
    <cfRule type="expression" dxfId="348" priority="974" stopIfTrue="1">
      <formula>$A1133="Pump"</formula>
    </cfRule>
  </conditionalFormatting>
  <conditionalFormatting sqref="U1133:U1287">
    <cfRule type="expression" dxfId="347" priority="975" stopIfTrue="1">
      <formula>$A1133="Pump"</formula>
    </cfRule>
  </conditionalFormatting>
  <conditionalFormatting sqref="V1133:V1287">
    <cfRule type="expression" dxfId="346" priority="976" stopIfTrue="1">
      <formula>$A1133="Pump"</formula>
    </cfRule>
  </conditionalFormatting>
  <conditionalFormatting sqref="N1133:N1287">
    <cfRule type="expression" dxfId="345" priority="990" stopIfTrue="1">
      <formula>$A1133="Tmdpvol"</formula>
    </cfRule>
  </conditionalFormatting>
  <conditionalFormatting sqref="O1133:O1287">
    <cfRule type="expression" dxfId="344" priority="991" stopIfTrue="1">
      <formula>$A1133="Tmdpvol"</formula>
    </cfRule>
  </conditionalFormatting>
  <conditionalFormatting sqref="P1133:P1287">
    <cfRule type="expression" dxfId="343" priority="992" stopIfTrue="1">
      <formula>$A1133="Tmdpvol"</formula>
    </cfRule>
  </conditionalFormatting>
  <conditionalFormatting sqref="Q1133:Q1287">
    <cfRule type="expression" dxfId="342" priority="993" stopIfTrue="1">
      <formula>$A1133="Tmdpvol"</formula>
    </cfRule>
  </conditionalFormatting>
  <conditionalFormatting sqref="R1133:R1287">
    <cfRule type="expression" dxfId="341" priority="994" stopIfTrue="1">
      <formula>$A1133="Tmdpvol"</formula>
    </cfRule>
  </conditionalFormatting>
  <conditionalFormatting sqref="S1133:S1287">
    <cfRule type="expression" dxfId="340" priority="995" stopIfTrue="1">
      <formula>$A1133="Tmdpvol"</formula>
    </cfRule>
  </conditionalFormatting>
  <conditionalFormatting sqref="T1133:T1287">
    <cfRule type="expression" dxfId="339" priority="996" stopIfTrue="1">
      <formula>$A1133="Tmdpvol"</formula>
    </cfRule>
  </conditionalFormatting>
  <conditionalFormatting sqref="U1133:U1287">
    <cfRule type="expression" dxfId="338" priority="997" stopIfTrue="1">
      <formula>$A1133="Tmdpvol"</formula>
    </cfRule>
  </conditionalFormatting>
  <conditionalFormatting sqref="V1133:V1287">
    <cfRule type="expression" dxfId="337" priority="998" stopIfTrue="1">
      <formula>$A1133="Tmdpvol"</formula>
    </cfRule>
  </conditionalFormatting>
  <conditionalFormatting sqref="N1133:N1287">
    <cfRule type="expression" dxfId="336" priority="1012" stopIfTrue="1">
      <formula>$A1133="Snglvol"</formula>
    </cfRule>
  </conditionalFormatting>
  <conditionalFormatting sqref="O1133:O1287">
    <cfRule type="expression" dxfId="335" priority="1013" stopIfTrue="1">
      <formula>$A1133="Snglvol"</formula>
    </cfRule>
  </conditionalFormatting>
  <conditionalFormatting sqref="P1133:P1287">
    <cfRule type="expression" dxfId="334" priority="1014" stopIfTrue="1">
      <formula>$A1133="Snglvol"</formula>
    </cfRule>
  </conditionalFormatting>
  <conditionalFormatting sqref="Q1133:Q1287">
    <cfRule type="expression" dxfId="333" priority="1015" stopIfTrue="1">
      <formula>$A1133="Snglvol"</formula>
    </cfRule>
  </conditionalFormatting>
  <conditionalFormatting sqref="R1133:R1287">
    <cfRule type="expression" dxfId="332" priority="1016" stopIfTrue="1">
      <formula>$A1133="Snglvol"</formula>
    </cfRule>
  </conditionalFormatting>
  <conditionalFormatting sqref="S1133:S1287">
    <cfRule type="expression" dxfId="331" priority="1017" stopIfTrue="1">
      <formula>$A1133="Snglvol"</formula>
    </cfRule>
  </conditionalFormatting>
  <conditionalFormatting sqref="T1133:T1287">
    <cfRule type="expression" dxfId="330" priority="1018" stopIfTrue="1">
      <formula>$A1133="Snglvol"</formula>
    </cfRule>
  </conditionalFormatting>
  <conditionalFormatting sqref="U1133:U1287">
    <cfRule type="expression" dxfId="329" priority="1019" stopIfTrue="1">
      <formula>$A1133="Snglvol"</formula>
    </cfRule>
  </conditionalFormatting>
  <conditionalFormatting sqref="V1133:V1287">
    <cfRule type="expression" dxfId="328" priority="1020" stopIfTrue="1">
      <formula>$A1133="Snglvol"</formula>
    </cfRule>
  </conditionalFormatting>
  <conditionalFormatting sqref="E704:E1132">
    <cfRule type="expression" dxfId="327" priority="1040" stopIfTrue="1">
      <formula>$A704="Pipe"</formula>
    </cfRule>
  </conditionalFormatting>
  <conditionalFormatting sqref="R704:T1132 M704:P1132">
    <cfRule type="expression" dxfId="326" priority="1041" stopIfTrue="1">
      <formula>$A704="Pipe"</formula>
    </cfRule>
  </conditionalFormatting>
  <conditionalFormatting sqref="C704:C1132">
    <cfRule type="expression" dxfId="325" priority="1042" stopIfTrue="1">
      <formula>$A704="Junction"</formula>
    </cfRule>
    <cfRule type="expression" dxfId="324" priority="1077" stopIfTrue="1">
      <formula>$A704="Snglvol"</formula>
    </cfRule>
    <cfRule type="expression" dxfId="323" priority="1091" stopIfTrue="1">
      <formula>$A704="InitGas"</formula>
    </cfRule>
    <cfRule type="expression" dxfId="322" priority="1104" stopIfTrue="1">
      <formula>$A704="Tripvar"</formula>
    </cfRule>
  </conditionalFormatting>
  <conditionalFormatting sqref="D704:D1132 F704:G1132 L704:L1132 Q704:T1132">
    <cfRule type="expression" dxfId="321" priority="1043" stopIfTrue="1">
      <formula>$A704="Junction"</formula>
    </cfRule>
  </conditionalFormatting>
  <conditionalFormatting sqref="E704:E1132">
    <cfRule type="expression" dxfId="320" priority="1044" stopIfTrue="1">
      <formula>$A704="Junction"</formula>
    </cfRule>
  </conditionalFormatting>
  <conditionalFormatting sqref="C704:D1132 F704:G1132 L704:L1132 Q704:T1132">
    <cfRule type="expression" dxfId="319" priority="1045" stopIfTrue="1">
      <formula>$A704="Sngljun"</formula>
    </cfRule>
  </conditionalFormatting>
  <conditionalFormatting sqref="E704:E1132">
    <cfRule type="expression" dxfId="318" priority="1046" stopIfTrue="1">
      <formula>$A704="Sngljun"</formula>
    </cfRule>
  </conditionalFormatting>
  <conditionalFormatting sqref="C704:D1132 F704:G1132 L704:L1132 Q704:S1132">
    <cfRule type="expression" dxfId="317" priority="1047" stopIfTrue="1">
      <formula>$A704="Mtrvlv"</formula>
    </cfRule>
  </conditionalFormatting>
  <conditionalFormatting sqref="E704:E1132">
    <cfRule type="expression" dxfId="316" priority="1048" stopIfTrue="1">
      <formula>$A704="Mtrvlv"</formula>
    </cfRule>
  </conditionalFormatting>
  <conditionalFormatting sqref="A704:A1132">
    <cfRule type="expression" dxfId="315" priority="1049" stopIfTrue="1">
      <formula>$A704="Srvvlv"</formula>
    </cfRule>
    <cfRule type="expression" dxfId="314" priority="1063" stopIfTrue="1">
      <formula>$A704="Tmdpjun"</formula>
    </cfRule>
  </conditionalFormatting>
  <conditionalFormatting sqref="C704:D1132 F704:G1132 L704:L1132 Q704:Q1132 S704:S1132">
    <cfRule type="expression" dxfId="313" priority="1050" stopIfTrue="1">
      <formula>$A704="Srvvlv"</formula>
    </cfRule>
  </conditionalFormatting>
  <conditionalFormatting sqref="E704:E1132">
    <cfRule type="expression" dxfId="312" priority="1051" stopIfTrue="1">
      <formula>$A704="Srvvlv"</formula>
    </cfRule>
  </conditionalFormatting>
  <conditionalFormatting sqref="R704:R1132">
    <cfRule type="expression" dxfId="311" priority="1052" stopIfTrue="1">
      <formula>$A704="Srvvlv"</formula>
    </cfRule>
    <cfRule type="expression" dxfId="310" priority="1066" stopIfTrue="1">
      <formula>$A704="Tmdpjun"</formula>
    </cfRule>
    <cfRule type="expression" dxfId="309" priority="1070" stopIfTrue="1">
      <formula>$A704="Pump"</formula>
    </cfRule>
    <cfRule type="expression" dxfId="308" priority="1074" stopIfTrue="1">
      <formula>$A704="Tmdpvol"</formula>
    </cfRule>
    <cfRule type="expression" dxfId="307" priority="1082" stopIfTrue="1">
      <formula>$A704="Snglvol"</formula>
    </cfRule>
  </conditionalFormatting>
  <conditionalFormatting sqref="B704:B1132">
    <cfRule type="expression" dxfId="306" priority="1053" stopIfTrue="1">
      <formula>$A704="Chkvlv"</formula>
    </cfRule>
    <cfRule type="expression" dxfId="305" priority="1085" stopIfTrue="1">
      <formula>$A704="Relapnr"</formula>
    </cfRule>
    <cfRule type="expression" dxfId="304" priority="1090" stopIfTrue="1">
      <formula>$A704="InitGas"</formula>
    </cfRule>
    <cfRule type="expression" dxfId="303" priority="1097" stopIfTrue="1">
      <formula>$A704="Replacements"</formula>
    </cfRule>
    <cfRule type="expression" dxfId="302" priority="1101" stopIfTrue="1">
      <formula>$A704="Custom"</formula>
    </cfRule>
    <cfRule type="expression" dxfId="301" priority="1107" stopIfTrue="1">
      <formula>$A704="Triplog"</formula>
    </cfRule>
  </conditionalFormatting>
  <conditionalFormatting sqref="F704:G1132 L704:L1132 Q704:S1132 C704:C1132">
    <cfRule type="expression" dxfId="300" priority="1054" stopIfTrue="1">
      <formula>$A704="Chkvlv"</formula>
    </cfRule>
  </conditionalFormatting>
  <conditionalFormatting sqref="D704:D1132">
    <cfRule type="expression" dxfId="299" priority="1055" stopIfTrue="1">
      <formula>$A704="Chkvlv"</formula>
    </cfRule>
    <cfRule type="expression" dxfId="298" priority="1109" stopIfTrue="1">
      <formula>$A704="Triplog"</formula>
    </cfRule>
  </conditionalFormatting>
  <conditionalFormatting sqref="E704:E1132">
    <cfRule type="expression" dxfId="297" priority="1056" stopIfTrue="1">
      <formula>$A704="Chkvlv"</formula>
    </cfRule>
  </conditionalFormatting>
  <conditionalFormatting sqref="K704:K1132 U704:U1132">
    <cfRule type="expression" dxfId="296" priority="1057" stopIfTrue="1">
      <formula>$A704="Chkvlv"</formula>
    </cfRule>
    <cfRule type="expression" dxfId="295" priority="1080" stopIfTrue="1">
      <formula>$A704="Snglvol"</formula>
    </cfRule>
  </conditionalFormatting>
  <conditionalFormatting sqref="M704:M1132">
    <cfRule type="expression" dxfId="294" priority="1058" stopIfTrue="1">
      <formula>$A704="Chkvlv"</formula>
    </cfRule>
    <cfRule type="expression" dxfId="293" priority="1081" stopIfTrue="1">
      <formula>$A704="Snglvol"</formula>
    </cfRule>
  </conditionalFormatting>
  <conditionalFormatting sqref="C704:C1132">
    <cfRule type="expression" dxfId="292" priority="1059" stopIfTrue="1">
      <formula>$A704="Inrvlv"</formula>
    </cfRule>
    <cfRule type="expression" dxfId="291" priority="1088" stopIfTrue="1">
      <formula>$A704="Init"</formula>
    </cfRule>
    <cfRule type="expression" dxfId="290" priority="1094" stopIfTrue="1">
      <formula>$A704="Timestep"</formula>
    </cfRule>
    <cfRule type="expression" dxfId="289" priority="1108" stopIfTrue="1">
      <formula>$A704="Triplog"</formula>
    </cfRule>
  </conditionalFormatting>
  <conditionalFormatting sqref="D704:D1132 F704:G1132 L704:L1132 Q704:R1132">
    <cfRule type="expression" dxfId="288" priority="1060" stopIfTrue="1">
      <formula>$A704="Inrvlv"</formula>
    </cfRule>
  </conditionalFormatting>
  <conditionalFormatting sqref="E704:E1132">
    <cfRule type="expression" dxfId="287" priority="1061" stopIfTrue="1">
      <formula>$A704="Inrvlv"</formula>
    </cfRule>
  </conditionalFormatting>
  <conditionalFormatting sqref="S704:S1132">
    <cfRule type="expression" dxfId="286" priority="1062" stopIfTrue="1">
      <formula>$A704="Inrvlv"</formula>
    </cfRule>
    <cfRule type="expression" dxfId="285" priority="1067" stopIfTrue="1">
      <formula>$A704="Tmdpjun"</formula>
    </cfRule>
    <cfRule type="expression" dxfId="284" priority="1071" stopIfTrue="1">
      <formula>$A704="Pump"</formula>
    </cfRule>
    <cfRule type="expression" dxfId="283" priority="1075" stopIfTrue="1">
      <formula>$A704="Tmdpvol"</formula>
    </cfRule>
    <cfRule type="expression" dxfId="282" priority="1083" stopIfTrue="1">
      <formula>$A704="Snglvol"</formula>
    </cfRule>
  </conditionalFormatting>
  <conditionalFormatting sqref="C704:D1132 F704:G1132 L704:L1132 Q704:Q1132">
    <cfRule type="expression" dxfId="281" priority="1064" stopIfTrue="1">
      <formula>$A704="Tmdpjun"</formula>
    </cfRule>
  </conditionalFormatting>
  <conditionalFormatting sqref="E704:E1132">
    <cfRule type="expression" dxfId="280" priority="1065" stopIfTrue="1">
      <formula>$A704="Tmdpjun"</formula>
    </cfRule>
  </conditionalFormatting>
  <conditionalFormatting sqref="D704:D1132 L704:L1132 Q704:Q1132">
    <cfRule type="expression" dxfId="279" priority="1068" stopIfTrue="1">
      <formula>$A704="Pump"</formula>
    </cfRule>
  </conditionalFormatting>
  <conditionalFormatting sqref="E704:E1132">
    <cfRule type="expression" dxfId="278" priority="1069" stopIfTrue="1">
      <formula>$A704="Pump"</formula>
    </cfRule>
  </conditionalFormatting>
  <conditionalFormatting sqref="D704:D1132 H704:I1132 T704:T1132 L704:P1132">
    <cfRule type="expression" dxfId="277" priority="1072" stopIfTrue="1">
      <formula>$A704="Tmdpvol"</formula>
    </cfRule>
  </conditionalFormatting>
  <conditionalFormatting sqref="E704:E1132">
    <cfRule type="expression" dxfId="276" priority="1073" stopIfTrue="1">
      <formula>$A704="Tmdpvol"</formula>
    </cfRule>
  </conditionalFormatting>
  <conditionalFormatting sqref="B704:B1132">
    <cfRule type="expression" dxfId="275" priority="1076" stopIfTrue="1">
      <formula>$A704="Snglvol"</formula>
    </cfRule>
    <cfRule type="expression" dxfId="274" priority="1087" stopIfTrue="1">
      <formula>$A704="Init"</formula>
    </cfRule>
    <cfRule type="expression" dxfId="273" priority="1093" stopIfTrue="1">
      <formula>$A704="Timestep"</formula>
    </cfRule>
    <cfRule type="expression" dxfId="272" priority="1099" stopIfTrue="1">
      <formula>$A704="Triggerwords"</formula>
    </cfRule>
    <cfRule type="expression" dxfId="271" priority="1103" stopIfTrue="1">
      <formula>$A704="Tripvar"</formula>
    </cfRule>
  </conditionalFormatting>
  <conditionalFormatting sqref="D704:D1132 H704:I1132 L704:L1132 N704:Q1132 T704:T1132">
    <cfRule type="expression" dxfId="270" priority="1078" stopIfTrue="1">
      <formula>$A704="Snglvol"</formula>
    </cfRule>
  </conditionalFormatting>
  <conditionalFormatting sqref="E704:E1132">
    <cfRule type="expression" dxfId="269" priority="1079" stopIfTrue="1">
      <formula>$A704="Snglvol"</formula>
    </cfRule>
  </conditionalFormatting>
  <conditionalFormatting sqref="A704:A1132">
    <cfRule type="expression" dxfId="268" priority="1084" stopIfTrue="1">
      <formula>$A704="Relapnr"</formula>
    </cfRule>
  </conditionalFormatting>
  <conditionalFormatting sqref="A704:A1132">
    <cfRule type="expression" dxfId="267" priority="1086" stopIfTrue="1">
      <formula>$A704="Init"</formula>
    </cfRule>
  </conditionalFormatting>
  <conditionalFormatting sqref="A704:A1132">
    <cfRule type="expression" dxfId="266" priority="1089" stopIfTrue="1">
      <formula>$A704="InitGas"</formula>
    </cfRule>
  </conditionalFormatting>
  <conditionalFormatting sqref="D704:D1132 A704:A1132">
    <cfRule type="expression" dxfId="265" priority="1092" stopIfTrue="1">
      <formula>$A704="Timestep"</formula>
    </cfRule>
  </conditionalFormatting>
  <conditionalFormatting sqref="E704:E1132">
    <cfRule type="expression" dxfId="264" priority="1095" stopIfTrue="1">
      <formula>$A704="Timestep"</formula>
    </cfRule>
  </conditionalFormatting>
  <conditionalFormatting sqref="A704:A1132">
    <cfRule type="expression" dxfId="263" priority="1096" stopIfTrue="1">
      <formula>$A704="Replacements"</formula>
    </cfRule>
  </conditionalFormatting>
  <conditionalFormatting sqref="A704:A1132">
    <cfRule type="expression" dxfId="262" priority="1098" stopIfTrue="1">
      <formula>$A704="Triggerwords"</formula>
    </cfRule>
  </conditionalFormatting>
  <conditionalFormatting sqref="A704:A1132">
    <cfRule type="expression" dxfId="261" priority="1100" stopIfTrue="1">
      <formula>$A704="Custom"</formula>
    </cfRule>
  </conditionalFormatting>
  <conditionalFormatting sqref="D704:D1132 F704:I1132 A704:A1132">
    <cfRule type="expression" dxfId="260" priority="1102" stopIfTrue="1">
      <formula>$A704="Tripvar"</formula>
    </cfRule>
  </conditionalFormatting>
  <conditionalFormatting sqref="E704:E1132">
    <cfRule type="expression" dxfId="259" priority="1105" stopIfTrue="1">
      <formula>$A704="Tripvar"</formula>
    </cfRule>
  </conditionalFormatting>
  <conditionalFormatting sqref="F704:F1132 A704:A1132">
    <cfRule type="expression" dxfId="258" priority="1106" stopIfTrue="1">
      <formula>$A704="Triplog"</formula>
    </cfRule>
  </conditionalFormatting>
  <conditionalFormatting sqref="E704:E1132">
    <cfRule type="expression" dxfId="257" priority="1110" stopIfTrue="1">
      <formula>$A704="Triplog"</formula>
    </cfRule>
  </conditionalFormatting>
  <conditionalFormatting sqref="A1:L2">
    <cfRule type="expression" dxfId="256" priority="599">
      <formula>$A1="Pipe"</formula>
    </cfRule>
  </conditionalFormatting>
  <conditionalFormatting sqref="Q1:Q2">
    <cfRule type="expression" dxfId="255" priority="598">
      <formula>$A1="Pipe"</formula>
    </cfRule>
  </conditionalFormatting>
  <conditionalFormatting sqref="U1:V2">
    <cfRule type="expression" dxfId="254" priority="597">
      <formula>$A1="Pipe"</formula>
    </cfRule>
  </conditionalFormatting>
  <conditionalFormatting sqref="M1:P2">
    <cfRule type="expression" dxfId="253" priority="596">
      <formula>$A1="Pipe"</formula>
    </cfRule>
  </conditionalFormatting>
  <conditionalFormatting sqref="R1:T2">
    <cfRule type="expression" dxfId="252" priority="595">
      <formula>$A1="Pipe"</formula>
    </cfRule>
  </conditionalFormatting>
  <conditionalFormatting sqref="A1:C2">
    <cfRule type="expression" dxfId="251" priority="594">
      <formula>$A1="Tmdpvol"</formula>
    </cfRule>
  </conditionalFormatting>
  <conditionalFormatting sqref="E1:G2">
    <cfRule type="expression" dxfId="250" priority="593">
      <formula>$A1="Tmdpvol"</formula>
    </cfRule>
  </conditionalFormatting>
  <conditionalFormatting sqref="J1:K2">
    <cfRule type="expression" dxfId="249" priority="592">
      <formula>$A1="Tmdpvol"</formula>
    </cfRule>
  </conditionalFormatting>
  <conditionalFormatting sqref="Q1:R2">
    <cfRule type="expression" dxfId="248" priority="591">
      <formula>$A1="Tmdpvol"</formula>
    </cfRule>
  </conditionalFormatting>
  <conditionalFormatting sqref="U1:V2">
    <cfRule type="expression" dxfId="247" priority="590">
      <formula>$A1="Tmdpvol"</formula>
    </cfRule>
  </conditionalFormatting>
  <conditionalFormatting sqref="D1:D2">
    <cfRule type="expression" dxfId="246" priority="589">
      <formula>$A1="Tmdpvol"</formula>
    </cfRule>
  </conditionalFormatting>
  <conditionalFormatting sqref="H1:I2">
    <cfRule type="expression" dxfId="245" priority="588">
      <formula>$A1="Tmdpvol"</formula>
    </cfRule>
  </conditionalFormatting>
  <conditionalFormatting sqref="L1:P2">
    <cfRule type="expression" dxfId="244" priority="587">
      <formula>$A1="Tmdpvol"</formula>
    </cfRule>
  </conditionalFormatting>
  <conditionalFormatting sqref="S1:T2">
    <cfRule type="expression" dxfId="243" priority="586">
      <formula>$A1="Tmdpvol"</formula>
    </cfRule>
  </conditionalFormatting>
  <conditionalFormatting sqref="A1:C2">
    <cfRule type="expression" dxfId="242" priority="585">
      <formula>$A1="Snglvol"</formula>
    </cfRule>
  </conditionalFormatting>
  <conditionalFormatting sqref="E1:G2">
    <cfRule type="expression" dxfId="241" priority="584">
      <formula>$A1="Snglvol"</formula>
    </cfRule>
  </conditionalFormatting>
  <conditionalFormatting sqref="J1:K2">
    <cfRule type="expression" dxfId="240" priority="583">
      <formula>$A1="Snglvol"</formula>
    </cfRule>
  </conditionalFormatting>
  <conditionalFormatting sqref="Q1:R2">
    <cfRule type="expression" dxfId="239" priority="582">
      <formula>$A1="Snglvol"</formula>
    </cfRule>
  </conditionalFormatting>
  <conditionalFormatting sqref="U1:V2">
    <cfRule type="expression" dxfId="238" priority="581">
      <formula>$A1="Snglvol"</formula>
    </cfRule>
  </conditionalFormatting>
  <conditionalFormatting sqref="D1:D2">
    <cfRule type="expression" dxfId="237" priority="580">
      <formula>$A1="Snglvol"</formula>
    </cfRule>
  </conditionalFormatting>
  <conditionalFormatting sqref="H1:I2">
    <cfRule type="expression" dxfId="236" priority="579">
      <formula>$A1="Snglvol"</formula>
    </cfRule>
  </conditionalFormatting>
  <conditionalFormatting sqref="L1:T2">
    <cfRule type="expression" dxfId="235" priority="578">
      <formula>$A1="Snglvol"</formula>
    </cfRule>
  </conditionalFormatting>
  <conditionalFormatting sqref="A1:B2">
    <cfRule type="expression" dxfId="234" priority="577">
      <formula>OR($A1="Sngljun",$A1="Junction")</formula>
    </cfRule>
  </conditionalFormatting>
  <conditionalFormatting sqref="E1:E2">
    <cfRule type="expression" dxfId="233" priority="576">
      <formula>OR($A1="Sngljun",$A1="Junction")</formula>
    </cfRule>
  </conditionalFormatting>
  <conditionalFormatting sqref="H1:K2">
    <cfRule type="expression" dxfId="232" priority="575">
      <formula>OR($A1="Sngljun",$A1="Junction")</formula>
    </cfRule>
  </conditionalFormatting>
  <conditionalFormatting sqref="M1:P2">
    <cfRule type="expression" dxfId="231" priority="574">
      <formula>OR($A1="Sngljun",$A1="Junction")</formula>
    </cfRule>
  </conditionalFormatting>
  <conditionalFormatting sqref="U1:V2">
    <cfRule type="expression" dxfId="230" priority="573">
      <formula>OR($A1="Sngljun",$A1="Junction")</formula>
    </cfRule>
  </conditionalFormatting>
  <conditionalFormatting sqref="C1:D2">
    <cfRule type="expression" dxfId="229" priority="572">
      <formula>OR($A1="Sngljun",$A1="Junction")</formula>
    </cfRule>
  </conditionalFormatting>
  <conditionalFormatting sqref="F1:G2">
    <cfRule type="expression" dxfId="228" priority="571">
      <formula>OR($A1="Sngljun",$A1="Junction")</formula>
    </cfRule>
  </conditionalFormatting>
  <conditionalFormatting sqref="L1:L2">
    <cfRule type="expression" dxfId="227" priority="570">
      <formula>OR($A1="Sngljun",$A1="Junction")</formula>
    </cfRule>
  </conditionalFormatting>
  <conditionalFormatting sqref="Q1:T2">
    <cfRule type="expression" dxfId="226" priority="569">
      <formula>OR($A1="Sngljun",$A1="Junction")</formula>
    </cfRule>
  </conditionalFormatting>
  <conditionalFormatting sqref="A1:B2">
    <cfRule type="expression" dxfId="225" priority="568">
      <formula>OR($A1="Mtrvlv",$A1="Srvvlv",$A1="Trpvlv",$A1="Chkvlv",$A1="Inrvlv",$A1="Tmdpjun")</formula>
    </cfRule>
  </conditionalFormatting>
  <conditionalFormatting sqref="E1:E2">
    <cfRule type="expression" dxfId="224" priority="567">
      <formula>OR($A1="Mtrvlv",$A1="Srvvlv",$A1="Trpvlv",$A1="Chkvlv",$A1="Inrvlv",$A1="Tmdpjun")</formula>
    </cfRule>
  </conditionalFormatting>
  <conditionalFormatting sqref="H1:K2">
    <cfRule type="expression" dxfId="223" priority="566">
      <formula>OR($A1="Mtrvlv",$A1="Srvvlv",$A1="Trpvlv",$A1="Chkvlv",$A1="Inrvlv",$A1="Tmdpjun")</formula>
    </cfRule>
  </conditionalFormatting>
  <conditionalFormatting sqref="M1:P2">
    <cfRule type="expression" dxfId="222" priority="565">
      <formula>OR($A1="Mtrvlv",$A1="Srvvlv",$A1="Trpvlv",$A1="Chkvlv",$A1="Inrvlv",$A1="Tmdpjun")</formula>
    </cfRule>
  </conditionalFormatting>
  <conditionalFormatting sqref="T1:V2">
    <cfRule type="expression" dxfId="221" priority="564">
      <formula>OR($A1="Mtrvlv",$A1="Srvvlv",$A1="Trpvlv",$A1="Chkvlv",$A1="Inrvlv",$A1="Tmdpjun")</formula>
    </cfRule>
  </conditionalFormatting>
  <conditionalFormatting sqref="C1:D2">
    <cfRule type="expression" dxfId="220" priority="563">
      <formula>OR($A1="Mtrvlv",$A1="Srvvlv",$A1="Trpvlv",$A1="Chkvlv",$A1="Inrvlv",$A1="Tmdpjun")</formula>
    </cfRule>
  </conditionalFormatting>
  <conditionalFormatting sqref="F1:G2">
    <cfRule type="expression" dxfId="219" priority="562">
      <formula>OR($A1="Mtrvlv",$A1="Srvvlv",$A1="Trpvlv",$A1="Chkvlv",$A1="Inrvlv",$A1="Tmdpjun")</formula>
    </cfRule>
  </conditionalFormatting>
  <conditionalFormatting sqref="L1:L2">
    <cfRule type="expression" dxfId="218" priority="561">
      <formula>OR($A1="Mtrvlv",$A1="Srvvlv",$A1="Trpvlv",$A1="Chkvlv",$A1="Inrvlv",$A1="Tmdpjun")</formula>
    </cfRule>
  </conditionalFormatting>
  <conditionalFormatting sqref="Q1:S2">
    <cfRule type="expression" dxfId="217" priority="560">
      <formula>OR($A1="Mtrvlv",$A1="Srvvlv",$A1="Trpvlv",$A1="Chkvlv",$A1="Inrvlv",$A1="Tmdpjun")</formula>
    </cfRule>
  </conditionalFormatting>
  <conditionalFormatting sqref="A1:B2">
    <cfRule type="expression" dxfId="216" priority="559">
      <formula>$A1="Pump"</formula>
    </cfRule>
  </conditionalFormatting>
  <conditionalFormatting sqref="E1:E2">
    <cfRule type="expression" dxfId="215" priority="558">
      <formula>$A1="Pump"</formula>
    </cfRule>
  </conditionalFormatting>
  <conditionalFormatting sqref="H1:K2">
    <cfRule type="expression" dxfId="214" priority="557">
      <formula>$A1="Pump"</formula>
    </cfRule>
  </conditionalFormatting>
  <conditionalFormatting sqref="M1:P2">
    <cfRule type="expression" dxfId="213" priority="556">
      <formula>$A1="Pump"</formula>
    </cfRule>
  </conditionalFormatting>
  <conditionalFormatting sqref="R1:V2">
    <cfRule type="expression" dxfId="212" priority="555">
      <formula>$A1="Pump"</formula>
    </cfRule>
  </conditionalFormatting>
  <conditionalFormatting sqref="C1:D2">
    <cfRule type="expression" dxfId="211" priority="554">
      <formula>$A1="Pump"</formula>
    </cfRule>
  </conditionalFormatting>
  <conditionalFormatting sqref="F1:G2">
    <cfRule type="expression" dxfId="210" priority="553">
      <formula>$A1="Pump"</formula>
    </cfRule>
  </conditionalFormatting>
  <conditionalFormatting sqref="L1:L2">
    <cfRule type="expression" dxfId="209" priority="552">
      <formula>$A1="Pump"</formula>
    </cfRule>
  </conditionalFormatting>
  <conditionalFormatting sqref="Q1:Q2">
    <cfRule type="expression" dxfId="208" priority="551">
      <formula>$A1="Pump"</formula>
    </cfRule>
  </conditionalFormatting>
  <conditionalFormatting sqref="A1:B2">
    <cfRule type="expression" dxfId="207" priority="550">
      <formula>$A1="Relapnr"</formula>
    </cfRule>
  </conditionalFormatting>
  <conditionalFormatting sqref="A1:C2">
    <cfRule type="expression" dxfId="206" priority="549">
      <formula>OR($A1="Init",$A1="InitGas")</formula>
    </cfRule>
  </conditionalFormatting>
  <conditionalFormatting sqref="A1:E2">
    <cfRule type="expression" dxfId="205" priority="548">
      <formula>$A1="Timestep"</formula>
    </cfRule>
  </conditionalFormatting>
  <conditionalFormatting sqref="A1:B2">
    <cfRule type="expression" dxfId="204" priority="547">
      <formula>OR($A1="Replacements",$A1="Triggerwords")</formula>
    </cfRule>
  </conditionalFormatting>
  <conditionalFormatting sqref="A1:B2">
    <cfRule type="expression" dxfId="203" priority="546">
      <formula>$A1="Custom"</formula>
    </cfRule>
  </conditionalFormatting>
  <conditionalFormatting sqref="A1:I2">
    <cfRule type="expression" dxfId="202" priority="545">
      <formula>$A1="Tripvar"</formula>
    </cfRule>
  </conditionalFormatting>
  <conditionalFormatting sqref="A1:F2">
    <cfRule type="expression" dxfId="201" priority="544">
      <formula>$A1="Triplog"</formula>
    </cfRule>
  </conditionalFormatting>
  <conditionalFormatting sqref="A3:L15">
    <cfRule type="expression" dxfId="200" priority="428">
      <formula>$A3="Pipe"</formula>
    </cfRule>
  </conditionalFormatting>
  <conditionalFormatting sqref="M3:P15">
    <cfRule type="expression" dxfId="199" priority="425">
      <formula>$A3="Pipe"</formula>
    </cfRule>
  </conditionalFormatting>
  <conditionalFormatting sqref="A3:C15">
    <cfRule type="expression" dxfId="198" priority="423">
      <formula>$A3="Tmdpvol"</formula>
    </cfRule>
  </conditionalFormatting>
  <conditionalFormatting sqref="E3:G15">
    <cfRule type="expression" dxfId="197" priority="422">
      <formula>$A3="Tmdpvol"</formula>
    </cfRule>
  </conditionalFormatting>
  <conditionalFormatting sqref="J3:K15">
    <cfRule type="expression" dxfId="196" priority="421">
      <formula>$A3="Tmdpvol"</formula>
    </cfRule>
  </conditionalFormatting>
  <conditionalFormatting sqref="D3:D15">
    <cfRule type="expression" dxfId="195" priority="418">
      <formula>$A3="Tmdpvol"</formula>
    </cfRule>
  </conditionalFormatting>
  <conditionalFormatting sqref="H3:I15">
    <cfRule type="expression" dxfId="194" priority="417">
      <formula>$A3="Tmdpvol"</formula>
    </cfRule>
  </conditionalFormatting>
  <conditionalFormatting sqref="L3:P15">
    <cfRule type="expression" dxfId="193" priority="416">
      <formula>$A3="Tmdpvol"</formula>
    </cfRule>
  </conditionalFormatting>
  <conditionalFormatting sqref="A3:C15">
    <cfRule type="expression" dxfId="192" priority="414">
      <formula>$A3="Snglvol"</formula>
    </cfRule>
  </conditionalFormatting>
  <conditionalFormatting sqref="E3:G15">
    <cfRule type="expression" dxfId="191" priority="413">
      <formula>$A3="Snglvol"</formula>
    </cfRule>
  </conditionalFormatting>
  <conditionalFormatting sqref="J3:K15">
    <cfRule type="expression" dxfId="190" priority="412">
      <formula>$A3="Snglvol"</formula>
    </cfRule>
  </conditionalFormatting>
  <conditionalFormatting sqref="D3:D15">
    <cfRule type="expression" dxfId="189" priority="409">
      <formula>$A3="Snglvol"</formula>
    </cfRule>
  </conditionalFormatting>
  <conditionalFormatting sqref="H3:I15">
    <cfRule type="expression" dxfId="188" priority="408">
      <formula>$A3="Snglvol"</formula>
    </cfRule>
  </conditionalFormatting>
  <conditionalFormatting sqref="A3:B15">
    <cfRule type="expression" dxfId="187" priority="406">
      <formula>OR($A3="Sngljun",$A3="Junction")</formula>
    </cfRule>
  </conditionalFormatting>
  <conditionalFormatting sqref="E3:E15">
    <cfRule type="expression" dxfId="186" priority="405">
      <formula>OR($A3="Sngljun",$A3="Junction")</formula>
    </cfRule>
  </conditionalFormatting>
  <conditionalFormatting sqref="H3:K15">
    <cfRule type="expression" dxfId="185" priority="404">
      <formula>OR($A3="Sngljun",$A3="Junction")</formula>
    </cfRule>
  </conditionalFormatting>
  <conditionalFormatting sqref="C3:D15">
    <cfRule type="expression" dxfId="184" priority="401">
      <formula>OR($A3="Sngljun",$A3="Junction")</formula>
    </cfRule>
  </conditionalFormatting>
  <conditionalFormatting sqref="F3:G15">
    <cfRule type="expression" dxfId="183" priority="400">
      <formula>OR($A3="Sngljun",$A3="Junction")</formula>
    </cfRule>
  </conditionalFormatting>
  <conditionalFormatting sqref="L3:L15">
    <cfRule type="expression" dxfId="182" priority="399">
      <formula>OR($A3="Sngljun",$A3="Junction")</formula>
    </cfRule>
  </conditionalFormatting>
  <conditionalFormatting sqref="A3:B15">
    <cfRule type="expression" dxfId="181" priority="397">
      <formula>OR($A3="Mtrvlv",$A3="Srvvlv",$A3="Trpvlv",$A3="Chkvlv",$A3="Inrvlv",$A3="Tmdpjun")</formula>
    </cfRule>
  </conditionalFormatting>
  <conditionalFormatting sqref="E3:E15">
    <cfRule type="expression" dxfId="180" priority="396">
      <formula>OR($A3="Mtrvlv",$A3="Srvvlv",$A3="Trpvlv",$A3="Chkvlv",$A3="Inrvlv",$A3="Tmdpjun")</formula>
    </cfRule>
  </conditionalFormatting>
  <conditionalFormatting sqref="H3:K15">
    <cfRule type="expression" dxfId="179" priority="395">
      <formula>OR($A3="Mtrvlv",$A3="Srvvlv",$A3="Trpvlv",$A3="Chkvlv",$A3="Inrvlv",$A3="Tmdpjun")</formula>
    </cfRule>
  </conditionalFormatting>
  <conditionalFormatting sqref="M3:P15">
    <cfRule type="expression" dxfId="178" priority="394">
      <formula>OR($A3="Mtrvlv",$A3="Srvvlv",$A3="Trpvlv",$A3="Chkvlv",$A3="Inrvlv",$A3="Tmdpjun")</formula>
    </cfRule>
  </conditionalFormatting>
  <conditionalFormatting sqref="C3:D15">
    <cfRule type="expression" dxfId="177" priority="392">
      <formula>OR($A3="Mtrvlv",$A3="Srvvlv",$A3="Trpvlv",$A3="Chkvlv",$A3="Inrvlv",$A3="Tmdpjun")</formula>
    </cfRule>
  </conditionalFormatting>
  <conditionalFormatting sqref="F3:G15">
    <cfRule type="expression" dxfId="176" priority="391">
      <formula>OR($A3="Mtrvlv",$A3="Srvvlv",$A3="Trpvlv",$A3="Chkvlv",$A3="Inrvlv",$A3="Tmdpjun")</formula>
    </cfRule>
  </conditionalFormatting>
  <conditionalFormatting sqref="L3:L15">
    <cfRule type="expression" dxfId="175" priority="390">
      <formula>OR($A3="Mtrvlv",$A3="Srvvlv",$A3="Trpvlv",$A3="Chkvlv",$A3="Inrvlv",$A3="Tmdpjun")</formula>
    </cfRule>
  </conditionalFormatting>
  <conditionalFormatting sqref="A3:C15">
    <cfRule type="expression" dxfId="174" priority="388">
      <formula>$A3="Pump"</formula>
    </cfRule>
  </conditionalFormatting>
  <conditionalFormatting sqref="E3:K15">
    <cfRule type="expression" dxfId="173" priority="387">
      <formula>$A3="Pump"</formula>
    </cfRule>
  </conditionalFormatting>
  <conditionalFormatting sqref="M3:P15">
    <cfRule type="expression" dxfId="172" priority="386">
      <formula>$A3="Pump"</formula>
    </cfRule>
  </conditionalFormatting>
  <conditionalFormatting sqref="D3:D15">
    <cfRule type="expression" dxfId="171" priority="384">
      <formula>$A3="Pump"</formula>
    </cfRule>
  </conditionalFormatting>
  <conditionalFormatting sqref="L3:L15">
    <cfRule type="expression" dxfId="170" priority="383">
      <formula>$A3="Pump"</formula>
    </cfRule>
  </conditionalFormatting>
  <conditionalFormatting sqref="Q3:Q15">
    <cfRule type="expression" dxfId="169" priority="382">
      <formula>$A3="Pump"</formula>
    </cfRule>
  </conditionalFormatting>
  <conditionalFormatting sqref="A3:B15">
    <cfRule type="expression" dxfId="168" priority="381">
      <formula>$A3="Relapnr"</formula>
    </cfRule>
  </conditionalFormatting>
  <conditionalFormatting sqref="A3:C15">
    <cfRule type="expression" dxfId="167" priority="380">
      <formula>OR($A3="Init",$A3="InitGas")</formula>
    </cfRule>
  </conditionalFormatting>
  <conditionalFormatting sqref="A3:E15">
    <cfRule type="expression" dxfId="166" priority="379">
      <formula>$A3="Timestep"</formula>
    </cfRule>
  </conditionalFormatting>
  <conditionalFormatting sqref="A3:B15">
    <cfRule type="expression" dxfId="165" priority="378">
      <formula>OR($A3="Replacements",$A3="Triggerwords")</formula>
    </cfRule>
  </conditionalFormatting>
  <conditionalFormatting sqref="A3:B15">
    <cfRule type="expression" dxfId="164" priority="377">
      <formula>$A3="Custom"</formula>
    </cfRule>
  </conditionalFormatting>
  <conditionalFormatting sqref="A3:I15">
    <cfRule type="expression" dxfId="163" priority="376">
      <formula>$A3="Tripvar"</formula>
    </cfRule>
  </conditionalFormatting>
  <conditionalFormatting sqref="A3:F15">
    <cfRule type="expression" dxfId="162" priority="375">
      <formula>$A3="Triplog"</formula>
    </cfRule>
  </conditionalFormatting>
  <conditionalFormatting sqref="Q3:Q15">
    <cfRule type="expression" dxfId="161" priority="427">
      <formula>$A3="Pipe"</formula>
    </cfRule>
  </conditionalFormatting>
  <conditionalFormatting sqref="U3:V15">
    <cfRule type="expression" dxfId="160" priority="426">
      <formula>$A3="Pipe"</formula>
    </cfRule>
  </conditionalFormatting>
  <conditionalFormatting sqref="R3:T15">
    <cfRule type="expression" dxfId="159" priority="424">
      <formula>$A3="Pipe"</formula>
    </cfRule>
  </conditionalFormatting>
  <conditionalFormatting sqref="Q3:R15">
    <cfRule type="expression" dxfId="158" priority="420">
      <formula>$A3="Tmdpvol"</formula>
    </cfRule>
  </conditionalFormatting>
  <conditionalFormatting sqref="U3:V15">
    <cfRule type="expression" dxfId="157" priority="419">
      <formula>$A3="Tmdpvol"</formula>
    </cfRule>
  </conditionalFormatting>
  <conditionalFormatting sqref="S3:T15">
    <cfRule type="expression" dxfId="156" priority="415">
      <formula>$A3="Tmdpvol"</formula>
    </cfRule>
  </conditionalFormatting>
  <conditionalFormatting sqref="Q3:R15">
    <cfRule type="expression" dxfId="155" priority="411">
      <formula>$A3="Snglvol"</formula>
    </cfRule>
  </conditionalFormatting>
  <conditionalFormatting sqref="U3:V15">
    <cfRule type="expression" dxfId="154" priority="410">
      <formula>$A3="Snglvol"</formula>
    </cfRule>
  </conditionalFormatting>
  <conditionalFormatting sqref="L3:T15">
    <cfRule type="expression" dxfId="153" priority="407">
      <formula>$A3="Snglvol"</formula>
    </cfRule>
  </conditionalFormatting>
  <conditionalFormatting sqref="M3:P15">
    <cfRule type="expression" dxfId="152" priority="403">
      <formula>OR($A3="Sngljun",$A3="Junction")</formula>
    </cfRule>
  </conditionalFormatting>
  <conditionalFormatting sqref="U3:V15">
    <cfRule type="expression" dxfId="151" priority="402">
      <formula>OR($A3="Sngljun",$A3="Junction")</formula>
    </cfRule>
  </conditionalFormatting>
  <conditionalFormatting sqref="Q3:T15">
    <cfRule type="expression" dxfId="150" priority="398">
      <formula>OR($A3="Sngljun",$A3="Junction")</formula>
    </cfRule>
  </conditionalFormatting>
  <conditionalFormatting sqref="T3:V15">
    <cfRule type="expression" dxfId="149" priority="393">
      <formula>OR($A3="Mtrvlv",$A3="Srvvlv",$A3="Trpvlv",$A3="Chkvlv",$A3="Inrvlv",$A3="Tmdpjun")</formula>
    </cfRule>
  </conditionalFormatting>
  <conditionalFormatting sqref="Q3:S15">
    <cfRule type="expression" dxfId="148" priority="389">
      <formula>OR($A3="Mtrvlv",$A3="Srvvlv",$A3="Trpvlv",$A3="Chkvlv",$A3="Inrvlv",$A3="Tmdpjun")</formula>
    </cfRule>
  </conditionalFormatting>
  <conditionalFormatting sqref="R3:V15">
    <cfRule type="expression" dxfId="147" priority="385">
      <formula>$A3="Pump"</formula>
    </cfRule>
  </conditionalFormatting>
  <conditionalFormatting sqref="M3:M15">
    <cfRule type="expression" dxfId="146" priority="374">
      <formula>AND(OR($A3="Junction", $A3="Sngljun", $A3="Mtrvlv", $A3="Srvvlv", $A3="Chkvlv", $A3="Inrvlv", $A3="Pump"),$M3=$B1,$O3=2,ISTEXT($M1))</formula>
    </cfRule>
  </conditionalFormatting>
  <conditionalFormatting sqref="N3:N15">
    <cfRule type="expression" dxfId="145" priority="373">
      <formula>AND(OR($A3="Junction", $A3="Sngljun", $A3="Mtrvlv", $A3="Srvvlv", $A3="Chkvlv", $A3="Inrvlv", $A3="Pump"),$N3=$B5,$P3=1,ISTEXT($N5))</formula>
    </cfRule>
  </conditionalFormatting>
  <conditionalFormatting sqref="M702:M703">
    <cfRule type="expression" dxfId="144" priority="206">
      <formula>AND(OR($A702="Junction", $A702="Sngljun", $A702="Mtrvlv", $A702="Srvvlv", $A702="Chkvlv", $A702="Inrvlv", $A702="Pump"),$M702=$B700,$O702=2,ISTEXT($M700))</formula>
    </cfRule>
  </conditionalFormatting>
  <conditionalFormatting sqref="N702:N703">
    <cfRule type="expression" dxfId="143" priority="205">
      <formula>AND(OR($A702="Junction", $A702="Sngljun", $A702="Mtrvlv", $A702="Srvvlv", $A702="Chkvlv", $A702="Inrvlv", $A702="Pump"),$N702=$B704,$P702=1,ISTEXT($N704))</formula>
    </cfRule>
  </conditionalFormatting>
  <conditionalFormatting sqref="A702:L703">
    <cfRule type="expression" dxfId="142" priority="127">
      <formula>$A702="Pipe"</formula>
    </cfRule>
  </conditionalFormatting>
  <conditionalFormatting sqref="Q702:Q703">
    <cfRule type="expression" dxfId="141" priority="126">
      <formula>$A702="Pipe"</formula>
    </cfRule>
  </conditionalFormatting>
  <conditionalFormatting sqref="U702:V703">
    <cfRule type="expression" dxfId="140" priority="125">
      <formula>$A702="Pipe"</formula>
    </cfRule>
  </conditionalFormatting>
  <conditionalFormatting sqref="M702:P703">
    <cfRule type="expression" dxfId="139" priority="124">
      <formula>$A702="Pipe"</formula>
    </cfRule>
  </conditionalFormatting>
  <conditionalFormatting sqref="R702:T703">
    <cfRule type="expression" dxfId="138" priority="123">
      <formula>$A702="Pipe"</formula>
    </cfRule>
  </conditionalFormatting>
  <conditionalFormatting sqref="A702:C703">
    <cfRule type="expression" dxfId="137" priority="122">
      <formula>$A702="Tmdpvol"</formula>
    </cfRule>
  </conditionalFormatting>
  <conditionalFormatting sqref="E702:G703">
    <cfRule type="expression" dxfId="136" priority="121">
      <formula>$A702="Tmdpvol"</formula>
    </cfRule>
  </conditionalFormatting>
  <conditionalFormatting sqref="J702:K703">
    <cfRule type="expression" dxfId="135" priority="120">
      <formula>$A702="Tmdpvol"</formula>
    </cfRule>
  </conditionalFormatting>
  <conditionalFormatting sqref="Q702:R703">
    <cfRule type="expression" dxfId="134" priority="119">
      <formula>$A702="Tmdpvol"</formula>
    </cfRule>
  </conditionalFormatting>
  <conditionalFormatting sqref="U702:V703">
    <cfRule type="expression" dxfId="133" priority="118">
      <formula>$A702="Tmdpvol"</formula>
    </cfRule>
  </conditionalFormatting>
  <conditionalFormatting sqref="D702:D703">
    <cfRule type="expression" dxfId="132" priority="117">
      <formula>$A702="Tmdpvol"</formula>
    </cfRule>
  </conditionalFormatting>
  <conditionalFormatting sqref="H702:I703">
    <cfRule type="expression" dxfId="131" priority="116">
      <formula>$A702="Tmdpvol"</formula>
    </cfRule>
  </conditionalFormatting>
  <conditionalFormatting sqref="L702:P703">
    <cfRule type="expression" dxfId="130" priority="115">
      <formula>$A702="Tmdpvol"</formula>
    </cfRule>
  </conditionalFormatting>
  <conditionalFormatting sqref="S702:T703">
    <cfRule type="expression" dxfId="129" priority="114">
      <formula>$A702="Tmdpvol"</formula>
    </cfRule>
  </conditionalFormatting>
  <conditionalFormatting sqref="A702:C703">
    <cfRule type="expression" dxfId="128" priority="113">
      <formula>$A702="Snglvol"</formula>
    </cfRule>
  </conditionalFormatting>
  <conditionalFormatting sqref="E702:G703">
    <cfRule type="expression" dxfId="127" priority="112">
      <formula>$A702="Snglvol"</formula>
    </cfRule>
  </conditionalFormatting>
  <conditionalFormatting sqref="J702:K703">
    <cfRule type="expression" dxfId="126" priority="111">
      <formula>$A702="Snglvol"</formula>
    </cfRule>
  </conditionalFormatting>
  <conditionalFormatting sqref="Q702:R703">
    <cfRule type="expression" dxfId="125" priority="110">
      <formula>$A702="Snglvol"</formula>
    </cfRule>
  </conditionalFormatting>
  <conditionalFormatting sqref="U702:V703">
    <cfRule type="expression" dxfId="124" priority="109">
      <formula>$A702="Snglvol"</formula>
    </cfRule>
  </conditionalFormatting>
  <conditionalFormatting sqref="D702:D703">
    <cfRule type="expression" dxfId="123" priority="108">
      <formula>$A702="Snglvol"</formula>
    </cfRule>
  </conditionalFormatting>
  <conditionalFormatting sqref="H702:I703">
    <cfRule type="expression" dxfId="122" priority="107">
      <formula>$A702="Snglvol"</formula>
    </cfRule>
  </conditionalFormatting>
  <conditionalFormatting sqref="L702:T703">
    <cfRule type="expression" dxfId="121" priority="106">
      <formula>$A702="Snglvol"</formula>
    </cfRule>
  </conditionalFormatting>
  <conditionalFormatting sqref="A702:B703">
    <cfRule type="expression" dxfId="120" priority="105">
      <formula>OR($A702="Sngljun",$A702="Junction")</formula>
    </cfRule>
  </conditionalFormatting>
  <conditionalFormatting sqref="E702:E703">
    <cfRule type="expression" dxfId="119" priority="104">
      <formula>OR($A702="Sngljun",$A702="Junction")</formula>
    </cfRule>
  </conditionalFormatting>
  <conditionalFormatting sqref="H702:K703">
    <cfRule type="expression" dxfId="118" priority="103">
      <formula>OR($A702="Sngljun",$A702="Junction")</formula>
    </cfRule>
  </conditionalFormatting>
  <conditionalFormatting sqref="M702:P703">
    <cfRule type="expression" dxfId="117" priority="102">
      <formula>OR($A702="Sngljun",$A702="Junction")</formula>
    </cfRule>
  </conditionalFormatting>
  <conditionalFormatting sqref="U702:V703">
    <cfRule type="expression" dxfId="116" priority="101">
      <formula>OR($A702="Sngljun",$A702="Junction")</formula>
    </cfRule>
  </conditionalFormatting>
  <conditionalFormatting sqref="C702:D703">
    <cfRule type="expression" dxfId="115" priority="100">
      <formula>OR($A702="Sngljun",$A702="Junction")</formula>
    </cfRule>
  </conditionalFormatting>
  <conditionalFormatting sqref="F702:G703">
    <cfRule type="expression" dxfId="114" priority="99">
      <formula>OR($A702="Sngljun",$A702="Junction")</formula>
    </cfRule>
  </conditionalFormatting>
  <conditionalFormatting sqref="L702:L703">
    <cfRule type="expression" dxfId="113" priority="98">
      <formula>OR($A702="Sngljun",$A702="Junction")</formula>
    </cfRule>
  </conditionalFormatting>
  <conditionalFormatting sqref="Q702:T703">
    <cfRule type="expression" dxfId="112" priority="97">
      <formula>OR($A702="Sngljun",$A702="Junction")</formula>
    </cfRule>
  </conditionalFormatting>
  <conditionalFormatting sqref="A702:B703">
    <cfRule type="expression" dxfId="111" priority="96">
      <formula>OR($A702="Mtrvlv",$A702="Srvvlv",$A702="Trpvlv",$A702="Chkvlv",$A702="Inrvlv",$A702="Tmdpjun")</formula>
    </cfRule>
  </conditionalFormatting>
  <conditionalFormatting sqref="E702:E703">
    <cfRule type="expression" dxfId="110" priority="95">
      <formula>OR($A702="Mtrvlv",$A702="Srvvlv",$A702="Trpvlv",$A702="Chkvlv",$A702="Inrvlv",$A702="Tmdpjun")</formula>
    </cfRule>
  </conditionalFormatting>
  <conditionalFormatting sqref="H702:K703">
    <cfRule type="expression" dxfId="109" priority="94">
      <formula>OR($A702="Mtrvlv",$A702="Srvvlv",$A702="Trpvlv",$A702="Chkvlv",$A702="Inrvlv",$A702="Tmdpjun")</formula>
    </cfRule>
  </conditionalFormatting>
  <conditionalFormatting sqref="M702:P703">
    <cfRule type="expression" dxfId="108" priority="93">
      <formula>OR($A702="Mtrvlv",$A702="Srvvlv",$A702="Trpvlv",$A702="Chkvlv",$A702="Inrvlv",$A702="Tmdpjun")</formula>
    </cfRule>
  </conditionalFormatting>
  <conditionalFormatting sqref="T702:V703">
    <cfRule type="expression" dxfId="107" priority="92">
      <formula>OR($A702="Mtrvlv",$A702="Srvvlv",$A702="Trpvlv",$A702="Chkvlv",$A702="Inrvlv",$A702="Tmdpjun")</formula>
    </cfRule>
  </conditionalFormatting>
  <conditionalFormatting sqref="C702:D703">
    <cfRule type="expression" dxfId="106" priority="91">
      <formula>OR($A702="Mtrvlv",$A702="Srvvlv",$A702="Trpvlv",$A702="Chkvlv",$A702="Inrvlv",$A702="Tmdpjun")</formula>
    </cfRule>
  </conditionalFormatting>
  <conditionalFormatting sqref="F702:G703">
    <cfRule type="expression" dxfId="105" priority="90">
      <formula>OR($A702="Mtrvlv",$A702="Srvvlv",$A702="Trpvlv",$A702="Chkvlv",$A702="Inrvlv",$A702="Tmdpjun")</formula>
    </cfRule>
  </conditionalFormatting>
  <conditionalFormatting sqref="L702:L703">
    <cfRule type="expression" dxfId="104" priority="89">
      <formula>OR($A702="Mtrvlv",$A702="Srvvlv",$A702="Trpvlv",$A702="Chkvlv",$A702="Inrvlv",$A702="Tmdpjun")</formula>
    </cfRule>
  </conditionalFormatting>
  <conditionalFormatting sqref="Q702:S703">
    <cfRule type="expression" dxfId="103" priority="88">
      <formula>OR($A702="Mtrvlv",$A702="Srvvlv",$A702="Trpvlv",$A702="Chkvlv",$A702="Inrvlv",$A702="Tmdpjun")</formula>
    </cfRule>
  </conditionalFormatting>
  <conditionalFormatting sqref="A702:C703">
    <cfRule type="expression" dxfId="102" priority="87">
      <formula>$A702="Pump"</formula>
    </cfRule>
  </conditionalFormatting>
  <conditionalFormatting sqref="E702:K703">
    <cfRule type="expression" dxfId="101" priority="86">
      <formula>$A702="Pump"</formula>
    </cfRule>
  </conditionalFormatting>
  <conditionalFormatting sqref="M702:P703">
    <cfRule type="expression" dxfId="100" priority="85">
      <formula>$A702="Pump"</formula>
    </cfRule>
  </conditionalFormatting>
  <conditionalFormatting sqref="R702:V703">
    <cfRule type="expression" dxfId="99" priority="84">
      <formula>$A702="Pump"</formula>
    </cfRule>
  </conditionalFormatting>
  <conditionalFormatting sqref="D702:D703">
    <cfRule type="expression" dxfId="98" priority="83">
      <formula>$A702="Pump"</formula>
    </cfRule>
  </conditionalFormatting>
  <conditionalFormatting sqref="L702:L703">
    <cfRule type="expression" dxfId="97" priority="82">
      <formula>$A702="Pump"</formula>
    </cfRule>
  </conditionalFormatting>
  <conditionalFormatting sqref="Q702:Q703">
    <cfRule type="expression" dxfId="96" priority="81">
      <formula>$A702="Pump"</formula>
    </cfRule>
  </conditionalFormatting>
  <conditionalFormatting sqref="A702:B703">
    <cfRule type="expression" dxfId="95" priority="80">
      <formula>$A702="Relapnr"</formula>
    </cfRule>
  </conditionalFormatting>
  <conditionalFormatting sqref="A702:C703">
    <cfRule type="expression" dxfId="94" priority="79">
      <formula>OR($A702="Init",$A702="InitGas")</formula>
    </cfRule>
  </conditionalFormatting>
  <conditionalFormatting sqref="A702:E703">
    <cfRule type="expression" dxfId="93" priority="78">
      <formula>$A702="Timestep"</formula>
    </cfRule>
  </conditionalFormatting>
  <conditionalFormatting sqref="A702:B703">
    <cfRule type="expression" dxfId="92" priority="77">
      <formula>OR($A702="Replacements",$A702="Triggerwords")</formula>
    </cfRule>
  </conditionalFormatting>
  <conditionalFormatting sqref="A702:B703">
    <cfRule type="expression" dxfId="91" priority="76">
      <formula>$A702="Custom"</formula>
    </cfRule>
  </conditionalFormatting>
  <conditionalFormatting sqref="A702:I703">
    <cfRule type="expression" dxfId="90" priority="75">
      <formula>$A702="Tripvar"</formula>
    </cfRule>
  </conditionalFormatting>
  <conditionalFormatting sqref="A702:F703">
    <cfRule type="expression" dxfId="89" priority="74">
      <formula>$A702="Triplog"</formula>
    </cfRule>
  </conditionalFormatting>
  <conditionalFormatting sqref="A16:L701">
    <cfRule type="expression" dxfId="88" priority="56">
      <formula>$A16="Pipe"</formula>
    </cfRule>
  </conditionalFormatting>
  <conditionalFormatting sqref="Q16:Q701">
    <cfRule type="expression" dxfId="87" priority="55">
      <formula>$A16="Pipe"</formula>
    </cfRule>
  </conditionalFormatting>
  <conditionalFormatting sqref="U16:V701">
    <cfRule type="expression" dxfId="86" priority="54">
      <formula>$A16="Pipe"</formula>
    </cfRule>
  </conditionalFormatting>
  <conditionalFormatting sqref="M16:P701">
    <cfRule type="expression" dxfId="85" priority="53">
      <formula>$A16="Pipe"</formula>
    </cfRule>
  </conditionalFormatting>
  <conditionalFormatting sqref="R16:T701">
    <cfRule type="expression" dxfId="84" priority="52">
      <formula>$A16="Pipe"</formula>
    </cfRule>
  </conditionalFormatting>
  <conditionalFormatting sqref="A16:C701">
    <cfRule type="expression" dxfId="83" priority="51">
      <formula>$A16="Tmdpvol"</formula>
    </cfRule>
  </conditionalFormatting>
  <conditionalFormatting sqref="E16:G701">
    <cfRule type="expression" dxfId="82" priority="50">
      <formula>$A16="Tmdpvol"</formula>
    </cfRule>
  </conditionalFormatting>
  <conditionalFormatting sqref="J16:K701">
    <cfRule type="expression" dxfId="81" priority="49">
      <formula>$A16="Tmdpvol"</formula>
    </cfRule>
  </conditionalFormatting>
  <conditionalFormatting sqref="Q16:R701">
    <cfRule type="expression" dxfId="80" priority="48">
      <formula>$A16="Tmdpvol"</formula>
    </cfRule>
  </conditionalFormatting>
  <conditionalFormatting sqref="U16:V701">
    <cfRule type="expression" dxfId="79" priority="47">
      <formula>$A16="Tmdpvol"</formula>
    </cfRule>
  </conditionalFormatting>
  <conditionalFormatting sqref="D16:D701">
    <cfRule type="expression" dxfId="78" priority="46">
      <formula>$A16="Tmdpvol"</formula>
    </cfRule>
  </conditionalFormatting>
  <conditionalFormatting sqref="H16:I701">
    <cfRule type="expression" dxfId="77" priority="45">
      <formula>$A16="Tmdpvol"</formula>
    </cfRule>
  </conditionalFormatting>
  <conditionalFormatting sqref="L16:P701">
    <cfRule type="expression" dxfId="76" priority="44">
      <formula>$A16="Tmdpvol"</formula>
    </cfRule>
  </conditionalFormatting>
  <conditionalFormatting sqref="S16:T701">
    <cfRule type="expression" dxfId="75" priority="43">
      <formula>$A16="Tmdpvol"</formula>
    </cfRule>
  </conditionalFormatting>
  <conditionalFormatting sqref="A16:C701">
    <cfRule type="expression" dxfId="74" priority="42">
      <formula>$A16="Snglvol"</formula>
    </cfRule>
  </conditionalFormatting>
  <conditionalFormatting sqref="E16:G701">
    <cfRule type="expression" dxfId="73" priority="41">
      <formula>$A16="Snglvol"</formula>
    </cfRule>
  </conditionalFormatting>
  <conditionalFormatting sqref="J16:K701">
    <cfRule type="expression" dxfId="72" priority="40">
      <formula>$A16="Snglvol"</formula>
    </cfRule>
  </conditionalFormatting>
  <conditionalFormatting sqref="Q16:R701">
    <cfRule type="expression" dxfId="71" priority="39">
      <formula>$A16="Snglvol"</formula>
    </cfRule>
  </conditionalFormatting>
  <conditionalFormatting sqref="U16:V701">
    <cfRule type="expression" dxfId="70" priority="38">
      <formula>$A16="Snglvol"</formula>
    </cfRule>
  </conditionalFormatting>
  <conditionalFormatting sqref="D16:D701">
    <cfRule type="expression" dxfId="69" priority="37">
      <formula>$A16="Snglvol"</formula>
    </cfRule>
  </conditionalFormatting>
  <conditionalFormatting sqref="H16:I701">
    <cfRule type="expression" dxfId="68" priority="36">
      <formula>$A16="Snglvol"</formula>
    </cfRule>
  </conditionalFormatting>
  <conditionalFormatting sqref="L16:T701">
    <cfRule type="expression" dxfId="67" priority="35">
      <formula>$A16="Snglvol"</formula>
    </cfRule>
  </conditionalFormatting>
  <conditionalFormatting sqref="A16:B701">
    <cfRule type="expression" dxfId="66" priority="34">
      <formula>OR($A16="Sngljun",$A16="Junction")</formula>
    </cfRule>
  </conditionalFormatting>
  <conditionalFormatting sqref="E16:E701">
    <cfRule type="expression" dxfId="65" priority="33">
      <formula>OR($A16="Sngljun",$A16="Junction")</formula>
    </cfRule>
  </conditionalFormatting>
  <conditionalFormatting sqref="H16:K701">
    <cfRule type="expression" dxfId="64" priority="32">
      <formula>OR($A16="Sngljun",$A16="Junction")</formula>
    </cfRule>
  </conditionalFormatting>
  <conditionalFormatting sqref="M16:P701">
    <cfRule type="expression" dxfId="63" priority="31">
      <formula>OR($A16="Sngljun",$A16="Junction")</formula>
    </cfRule>
  </conditionalFormatting>
  <conditionalFormatting sqref="U16:V701">
    <cfRule type="expression" dxfId="62" priority="30">
      <formula>OR($A16="Sngljun",$A16="Junction")</formula>
    </cfRule>
  </conditionalFormatting>
  <conditionalFormatting sqref="C16:D701">
    <cfRule type="expression" dxfId="61" priority="29">
      <formula>OR($A16="Sngljun",$A16="Junction")</formula>
    </cfRule>
  </conditionalFormatting>
  <conditionalFormatting sqref="F16:G701">
    <cfRule type="expression" dxfId="60" priority="28">
      <formula>OR($A16="Sngljun",$A16="Junction")</formula>
    </cfRule>
  </conditionalFormatting>
  <conditionalFormatting sqref="L16:L701">
    <cfRule type="expression" dxfId="59" priority="27">
      <formula>OR($A16="Sngljun",$A16="Junction")</formula>
    </cfRule>
  </conditionalFormatting>
  <conditionalFormatting sqref="Q16:T701">
    <cfRule type="expression" dxfId="58" priority="26">
      <formula>OR($A16="Sngljun",$A16="Junction")</formula>
    </cfRule>
  </conditionalFormatting>
  <conditionalFormatting sqref="A16:B701">
    <cfRule type="expression" dxfId="57" priority="25">
      <formula>OR($A16="Mtrvlv",$A16="Srvvlv",$A16="Trpvlv",$A16="Chkvlv",$A16="Inrvlv",$A16="Tmdpjun")</formula>
    </cfRule>
  </conditionalFormatting>
  <conditionalFormatting sqref="E16:E701">
    <cfRule type="expression" dxfId="56" priority="24">
      <formula>OR($A16="Mtrvlv",$A16="Srvvlv",$A16="Trpvlv",$A16="Chkvlv",$A16="Inrvlv",$A16="Tmdpjun")</formula>
    </cfRule>
  </conditionalFormatting>
  <conditionalFormatting sqref="H16:K701">
    <cfRule type="expression" dxfId="55" priority="23">
      <formula>OR($A16="Mtrvlv",$A16="Srvvlv",$A16="Trpvlv",$A16="Chkvlv",$A16="Inrvlv",$A16="Tmdpjun")</formula>
    </cfRule>
  </conditionalFormatting>
  <conditionalFormatting sqref="M16:P701">
    <cfRule type="expression" dxfId="54" priority="22">
      <formula>OR($A16="Mtrvlv",$A16="Srvvlv",$A16="Trpvlv",$A16="Chkvlv",$A16="Inrvlv",$A16="Tmdpjun")</formula>
    </cfRule>
  </conditionalFormatting>
  <conditionalFormatting sqref="T16:V701">
    <cfRule type="expression" dxfId="53" priority="21">
      <formula>OR($A16="Mtrvlv",$A16="Srvvlv",$A16="Trpvlv",$A16="Chkvlv",$A16="Inrvlv",$A16="Tmdpjun")</formula>
    </cfRule>
  </conditionalFormatting>
  <conditionalFormatting sqref="C16:D701">
    <cfRule type="expression" dxfId="52" priority="20">
      <formula>OR($A16="Mtrvlv",$A16="Srvvlv",$A16="Trpvlv",$A16="Chkvlv",$A16="Inrvlv",$A16="Tmdpjun")</formula>
    </cfRule>
  </conditionalFormatting>
  <conditionalFormatting sqref="F16:G701">
    <cfRule type="expression" dxfId="51" priority="19">
      <formula>OR($A16="Mtrvlv",$A16="Srvvlv",$A16="Trpvlv",$A16="Chkvlv",$A16="Inrvlv",$A16="Tmdpjun")</formula>
    </cfRule>
  </conditionalFormatting>
  <conditionalFormatting sqref="L16:L701">
    <cfRule type="expression" dxfId="50" priority="18">
      <formula>OR($A16="Mtrvlv",$A16="Srvvlv",$A16="Trpvlv",$A16="Chkvlv",$A16="Inrvlv",$A16="Tmdpjun")</formula>
    </cfRule>
  </conditionalFormatting>
  <conditionalFormatting sqref="Q16:S701">
    <cfRule type="expression" dxfId="49" priority="17">
      <formula>OR($A16="Mtrvlv",$A16="Srvvlv",$A16="Trpvlv",$A16="Chkvlv",$A16="Inrvlv",$A16="Tmdpjun")</formula>
    </cfRule>
  </conditionalFormatting>
  <conditionalFormatting sqref="A16:C701">
    <cfRule type="expression" dxfId="48" priority="16">
      <formula>$A16="Pump"</formula>
    </cfRule>
  </conditionalFormatting>
  <conditionalFormatting sqref="E16:K701">
    <cfRule type="expression" dxfId="47" priority="15">
      <formula>$A16="Pump"</formula>
    </cfRule>
  </conditionalFormatting>
  <conditionalFormatting sqref="M16:P701">
    <cfRule type="expression" dxfId="46" priority="14">
      <formula>$A16="Pump"</formula>
    </cfRule>
  </conditionalFormatting>
  <conditionalFormatting sqref="R16:V701">
    <cfRule type="expression" dxfId="45" priority="13">
      <formula>$A16="Pump"</formula>
    </cfRule>
  </conditionalFormatting>
  <conditionalFormatting sqref="D16:D701">
    <cfRule type="expression" dxfId="44" priority="12">
      <formula>$A16="Pump"</formula>
    </cfRule>
  </conditionalFormatting>
  <conditionalFormatting sqref="L16:L701">
    <cfRule type="expression" dxfId="43" priority="11">
      <formula>$A16="Pump"</formula>
    </cfRule>
  </conditionalFormatting>
  <conditionalFormatting sqref="Q16:Q701">
    <cfRule type="expression" dxfId="42" priority="10">
      <formula>$A16="Pump"</formula>
    </cfRule>
  </conditionalFormatting>
  <conditionalFormatting sqref="A16:B701">
    <cfRule type="expression" dxfId="41" priority="9">
      <formula>$A16="Relapnr"</formula>
    </cfRule>
  </conditionalFormatting>
  <conditionalFormatting sqref="A16:C701">
    <cfRule type="expression" dxfId="40" priority="8">
      <formula>OR($A16="Init",$A16="InitGas")</formula>
    </cfRule>
  </conditionalFormatting>
  <conditionalFormatting sqref="A16:E701">
    <cfRule type="expression" dxfId="39" priority="7">
      <formula>$A16="Timestep"</formula>
    </cfRule>
  </conditionalFormatting>
  <conditionalFormatting sqref="A16:B701">
    <cfRule type="expression" dxfId="38" priority="6">
      <formula>OR($A16="Replacements",$A16="Triggerwords")</formula>
    </cfRule>
  </conditionalFormatting>
  <conditionalFormatting sqref="A16:B701">
    <cfRule type="expression" dxfId="37" priority="5">
      <formula>$A16="Custom"</formula>
    </cfRule>
  </conditionalFormatting>
  <conditionalFormatting sqref="A16:I701">
    <cfRule type="expression" dxfId="36" priority="4">
      <formula>$A16="Tripvar"</formula>
    </cfRule>
  </conditionalFormatting>
  <conditionalFormatting sqref="A16:F701">
    <cfRule type="expression" dxfId="35" priority="3">
      <formula>$A16="Triplog"</formula>
    </cfRule>
  </conditionalFormatting>
  <conditionalFormatting sqref="M16:M701">
    <cfRule type="expression" dxfId="34" priority="2">
      <formula>AND(OR($A16="Junction", $A16="Sngljun", $A16="Mtrvlv", $A16="Srvvlv", $A16="Chkvlv", $A16="Inrvlv", $A16="Pump"),$M16=$B14,$O16=2,ISTEXT($M14))</formula>
    </cfRule>
  </conditionalFormatting>
  <conditionalFormatting sqref="N16:N701">
    <cfRule type="expression" dxfId="33" priority="1">
      <formula>AND(OR($A16="Junction", $A16="Sngljun", $A16="Mtrvlv", $A16="Srvvlv", $A16="Chkvlv", $A16="Inrvlv", $A16="Pump"),$N16=$B18,$P16=1,ISTEXT($N18))</formula>
    </cfRule>
  </conditionalFormatting>
  <dataValidations disablePrompts="1" count="2">
    <dataValidation type="list" allowBlank="1" showInputMessage="1" showErrorMessage="1" sqref="B15" xr:uid="{5AEEC19B-469F-4D48-9335-D2BA4982198B}">
      <formula1>"0,1"</formula1>
    </dataValidation>
    <dataValidation type="list" allowBlank="1" showInputMessage="1" showErrorMessage="1" sqref="B13" xr:uid="{B5132E1A-EBE1-45B0-9864-300CE4EDD555}">
      <formula1>"0,1,2"</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CreateInputFile">
                <anchor>
                  <from>
                    <xdr:col>16</xdr:col>
                    <xdr:colOff>209550</xdr:colOff>
                    <xdr:row>0</xdr:row>
                    <xdr:rowOff>438150</xdr:rowOff>
                  </from>
                  <to>
                    <xdr:col>19</xdr:col>
                    <xdr:colOff>361950</xdr:colOff>
                    <xdr:row>1</xdr:row>
                    <xdr:rowOff>171450</xdr:rowOff>
                  </to>
                </anchor>
              </controlPr>
            </control>
          </mc:Choice>
        </mc:AlternateContent>
        <mc:AlternateContent xmlns:mc="http://schemas.openxmlformats.org/markup-compatibility/2006">
          <mc:Choice Requires="x14">
            <control shapeId="35842" r:id="rId5" name="Button 2">
              <controlPr defaultSize="0" print="0" autoFill="0" autoPict="0" macro="[0]!CreateInputFiles">
                <anchor>
                  <from>
                    <xdr:col>19</xdr:col>
                    <xdr:colOff>419100</xdr:colOff>
                    <xdr:row>0</xdr:row>
                    <xdr:rowOff>447675</xdr:rowOff>
                  </from>
                  <to>
                    <xdr:col>21</xdr:col>
                    <xdr:colOff>628650</xdr:colOff>
                    <xdr:row>1</xdr:row>
                    <xdr:rowOff>180975</xdr:rowOff>
                  </to>
                </anchor>
              </controlPr>
            </control>
          </mc:Choice>
        </mc:AlternateContent>
        <mc:AlternateContent xmlns:mc="http://schemas.openxmlformats.org/markup-compatibility/2006">
          <mc:Choice Requires="x14">
            <control shapeId="35843" r:id="rId6" name="Button 3">
              <controlPr defaultSize="0" print="0" autoFill="0" autoPict="0" macro="[0]!AddFlowPath">
                <anchor>
                  <from>
                    <xdr:col>0</xdr:col>
                    <xdr:colOff>57150</xdr:colOff>
                    <xdr:row>0</xdr:row>
                    <xdr:rowOff>342900</xdr:rowOff>
                  </from>
                  <to>
                    <xdr:col>0</xdr:col>
                    <xdr:colOff>781050</xdr:colOff>
                    <xdr:row>1</xdr:row>
                    <xdr:rowOff>76200</xdr:rowOff>
                  </to>
                </anchor>
              </controlPr>
            </control>
          </mc:Choice>
        </mc:AlternateContent>
        <mc:AlternateContent xmlns:mc="http://schemas.openxmlformats.org/markup-compatibility/2006">
          <mc:Choice Requires="x14">
            <control shapeId="35844" r:id="rId7" name="Button 4">
              <controlPr defaultSize="0" print="0" autoFill="0" autoPict="0" macro="[0]!AddPipe">
                <anchor>
                  <from>
                    <xdr:col>0</xdr:col>
                    <xdr:colOff>847725</xdr:colOff>
                    <xdr:row>0</xdr:row>
                    <xdr:rowOff>342900</xdr:rowOff>
                  </from>
                  <to>
                    <xdr:col>1</xdr:col>
                    <xdr:colOff>552450</xdr:colOff>
                    <xdr:row>1</xdr:row>
                    <xdr:rowOff>76200</xdr:rowOff>
                  </to>
                </anchor>
              </controlPr>
            </control>
          </mc:Choice>
        </mc:AlternateContent>
        <mc:AlternateContent xmlns:mc="http://schemas.openxmlformats.org/markup-compatibility/2006">
          <mc:Choice Requires="x14">
            <control shapeId="35845" r:id="rId8" name="Button 5">
              <controlPr defaultSize="0" print="0" autoFill="0" autoPict="0" macro="[0]!addJunction">
                <anchor>
                  <from>
                    <xdr:col>1</xdr:col>
                    <xdr:colOff>628650</xdr:colOff>
                    <xdr:row>0</xdr:row>
                    <xdr:rowOff>342900</xdr:rowOff>
                  </from>
                  <to>
                    <xdr:col>2</xdr:col>
                    <xdr:colOff>485775</xdr:colOff>
                    <xdr:row>1</xdr:row>
                    <xdr:rowOff>76200</xdr:rowOff>
                  </to>
                </anchor>
              </controlPr>
            </control>
          </mc:Choice>
        </mc:AlternateContent>
        <mc:AlternateContent xmlns:mc="http://schemas.openxmlformats.org/markup-compatibility/2006">
          <mc:Choice Requires="x14">
            <control shapeId="35846" r:id="rId9" name="Button 6">
              <controlPr defaultSize="0" print="0" autoFill="0" autoPict="0" macro="[0]!addTmdpvol">
                <anchor>
                  <from>
                    <xdr:col>2</xdr:col>
                    <xdr:colOff>561975</xdr:colOff>
                    <xdr:row>0</xdr:row>
                    <xdr:rowOff>342900</xdr:rowOff>
                  </from>
                  <to>
                    <xdr:col>4</xdr:col>
                    <xdr:colOff>95250</xdr:colOff>
                    <xdr:row>1</xdr:row>
                    <xdr:rowOff>76200</xdr:rowOff>
                  </to>
                </anchor>
              </controlPr>
            </control>
          </mc:Choice>
        </mc:AlternateContent>
        <mc:AlternateContent xmlns:mc="http://schemas.openxmlformats.org/markup-compatibility/2006">
          <mc:Choice Requires="x14">
            <control shapeId="35847" r:id="rId10" name="Button 7">
              <controlPr defaultSize="0" print="0" autoFill="0" autoPict="0" macro="[0]!addVariable">
                <anchor>
                  <from>
                    <xdr:col>4</xdr:col>
                    <xdr:colOff>171450</xdr:colOff>
                    <xdr:row>0</xdr:row>
                    <xdr:rowOff>342900</xdr:rowOff>
                  </from>
                  <to>
                    <xdr:col>5</xdr:col>
                    <xdr:colOff>47625</xdr:colOff>
                    <xdr:row>1</xdr:row>
                    <xdr:rowOff>76200</xdr:rowOff>
                  </to>
                </anchor>
              </controlPr>
            </control>
          </mc:Choice>
        </mc:AlternateContent>
        <mc:AlternateContent xmlns:mc="http://schemas.openxmlformats.org/markup-compatibility/2006">
          <mc:Choice Requires="x14">
            <control shapeId="35848" r:id="rId11" name="Button 8">
              <controlPr defaultSize="0" print="0" autoFill="0" autoPict="0" macro="[0]!ModelSummary">
                <anchor>
                  <from>
                    <xdr:col>13</xdr:col>
                    <xdr:colOff>142875</xdr:colOff>
                    <xdr:row>0</xdr:row>
                    <xdr:rowOff>428625</xdr:rowOff>
                  </from>
                  <to>
                    <xdr:col>15</xdr:col>
                    <xdr:colOff>228600</xdr:colOff>
                    <xdr:row>1</xdr:row>
                    <xdr:rowOff>161925</xdr:rowOff>
                  </to>
                </anchor>
              </controlPr>
            </control>
          </mc:Choice>
        </mc:AlternateContent>
        <mc:AlternateContent xmlns:mc="http://schemas.openxmlformats.org/markup-compatibility/2006">
          <mc:Choice Requires="x14">
            <control shapeId="35849" r:id="rId12" name="Button 9">
              <controlPr defaultSize="0" print="0" autoFill="0" autoPict="0" macro="[0]!ProbeOutput">
                <anchor>
                  <from>
                    <xdr:col>11</xdr:col>
                    <xdr:colOff>85725</xdr:colOff>
                    <xdr:row>0</xdr:row>
                    <xdr:rowOff>428625</xdr:rowOff>
                  </from>
                  <to>
                    <xdr:col>13</xdr:col>
                    <xdr:colOff>0</xdr:colOff>
                    <xdr:row>1</xdr:row>
                    <xdr:rowOff>161925</xdr:rowOff>
                  </to>
                </anchor>
              </controlPr>
            </control>
          </mc:Choice>
        </mc:AlternateContent>
        <mc:AlternateContent xmlns:mc="http://schemas.openxmlformats.org/markup-compatibility/2006">
          <mc:Choice Requires="x14">
            <control shapeId="35850" r:id="rId13" name="Button 10">
              <controlPr defaultSize="0" print="0" autoFill="0" autoPict="0" macro="[0]!AddTripVariable">
                <anchor>
                  <from>
                    <xdr:col>5</xdr:col>
                    <xdr:colOff>123825</xdr:colOff>
                    <xdr:row>0</xdr:row>
                    <xdr:rowOff>342900</xdr:rowOff>
                  </from>
                  <to>
                    <xdr:col>5</xdr:col>
                    <xdr:colOff>838200</xdr:colOff>
                    <xdr:row>1</xdr:row>
                    <xdr:rowOff>76200</xdr:rowOff>
                  </to>
                </anchor>
              </controlPr>
            </control>
          </mc:Choice>
        </mc:AlternateContent>
        <mc:AlternateContent xmlns:mc="http://schemas.openxmlformats.org/markup-compatibility/2006">
          <mc:Choice Requires="x14">
            <control shapeId="35851" r:id="rId14" name="Button 11">
              <controlPr defaultSize="0" print="0" autoFill="0" autoPict="0" macro="[0]!AddTripLogical">
                <anchor>
                  <from>
                    <xdr:col>6</xdr:col>
                    <xdr:colOff>57150</xdr:colOff>
                    <xdr:row>0</xdr:row>
                    <xdr:rowOff>342900</xdr:rowOff>
                  </from>
                  <to>
                    <xdr:col>6</xdr:col>
                    <xdr:colOff>771525</xdr:colOff>
                    <xdr:row>1</xdr:row>
                    <xdr:rowOff>76200</xdr:rowOff>
                  </to>
                </anchor>
              </controlPr>
            </control>
          </mc:Choice>
        </mc:AlternateContent>
        <mc:AlternateContent xmlns:mc="http://schemas.openxmlformats.org/markup-compatibility/2006">
          <mc:Choice Requires="x14">
            <control shapeId="35857" r:id="rId15" name="Button 17">
              <controlPr defaultSize="0" print="0" autoFill="0" autoPict="0" macro="[0]!ResetFormatButton">
                <anchor>
                  <from>
                    <xdr:col>9</xdr:col>
                    <xdr:colOff>352425</xdr:colOff>
                    <xdr:row>0</xdr:row>
                    <xdr:rowOff>400050</xdr:rowOff>
                  </from>
                  <to>
                    <xdr:col>10</xdr:col>
                    <xdr:colOff>495300</xdr:colOff>
                    <xdr:row>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2"/>
  <sheetViews>
    <sheetView zoomScaleNormal="100" workbookViewId="0">
      <pane xSplit="5" topLeftCell="F1" activePane="topRight" state="frozenSplit"/>
      <selection pane="topRight" activeCell="H23" sqref="H23"/>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09" t="s">
        <v>309</v>
      </c>
      <c r="B1" s="51"/>
      <c r="C1" s="49"/>
    </row>
    <row r="2" spans="1:106" ht="15" x14ac:dyDescent="0.2">
      <c r="B2" s="50" t="s">
        <v>266</v>
      </c>
      <c r="C2" s="107">
        <v>1</v>
      </c>
    </row>
    <row r="3" spans="1:106" ht="15" x14ac:dyDescent="0.2">
      <c r="B3" s="50" t="s">
        <v>302</v>
      </c>
      <c r="C3" s="107" t="s">
        <v>313</v>
      </c>
    </row>
    <row r="4" spans="1:106" ht="15" x14ac:dyDescent="0.25">
      <c r="B4" s="50" t="s">
        <v>303</v>
      </c>
      <c r="C4" s="108" t="e">
        <f>INDEX(TestMatrixVariableValues,C2,MATCH(C3,TestMatrixVariableNames,0))</f>
        <v>#N/A</v>
      </c>
    </row>
    <row r="5" spans="1:106" x14ac:dyDescent="0.2">
      <c r="F5" s="44" t="s">
        <v>279</v>
      </c>
      <c r="G5" s="45"/>
    </row>
    <row r="6" spans="1:106" x14ac:dyDescent="0.2">
      <c r="A6" s="105" t="s">
        <v>282</v>
      </c>
      <c r="B6" s="91" t="s">
        <v>277</v>
      </c>
      <c r="C6" s="52" t="s">
        <v>24</v>
      </c>
      <c r="D6" s="52" t="s">
        <v>278</v>
      </c>
      <c r="E6" s="91" t="s">
        <v>281</v>
      </c>
      <c r="F6" s="48" t="s">
        <v>280</v>
      </c>
      <c r="G6" s="119" t="s">
        <v>322</v>
      </c>
      <c r="H6" s="117" t="s">
        <v>43</v>
      </c>
      <c r="I6" s="118" t="s">
        <v>323</v>
      </c>
      <c r="J6" s="119" t="s">
        <v>324</v>
      </c>
      <c r="K6" s="117" t="s">
        <v>44</v>
      </c>
      <c r="L6" s="118" t="s">
        <v>325</v>
      </c>
      <c r="M6" s="119" t="s">
        <v>326</v>
      </c>
      <c r="N6" s="117" t="s">
        <v>45</v>
      </c>
      <c r="O6" s="118" t="s">
        <v>327</v>
      </c>
      <c r="P6" s="119" t="s">
        <v>328</v>
      </c>
      <c r="Q6" s="117" t="s">
        <v>320</v>
      </c>
      <c r="R6" s="118" t="s">
        <v>329</v>
      </c>
      <c r="S6" s="119" t="s">
        <v>330</v>
      </c>
      <c r="T6" s="117" t="s">
        <v>321</v>
      </c>
      <c r="U6" s="118" t="s">
        <v>331</v>
      </c>
      <c r="V6" s="47"/>
      <c r="W6" s="48"/>
      <c r="X6" s="48" t="s">
        <v>367</v>
      </c>
      <c r="Y6" s="47" t="s">
        <v>368</v>
      </c>
      <c r="Z6" s="47" t="s">
        <v>369</v>
      </c>
      <c r="AA6" s="47"/>
      <c r="AB6" s="47"/>
      <c r="AC6" s="47"/>
      <c r="AD6" s="47"/>
      <c r="AE6" s="48"/>
      <c r="AF6" s="48"/>
      <c r="AG6" s="48"/>
      <c r="AH6" s="47"/>
      <c r="AI6" s="47"/>
      <c r="AJ6" s="47"/>
      <c r="AK6" s="47"/>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06">
        <f>ROW()-ROW($A$6)</f>
        <v>1</v>
      </c>
      <c r="B7" s="92" t="s">
        <v>265</v>
      </c>
      <c r="C7" s="93" t="s">
        <v>365</v>
      </c>
      <c r="D7" s="104" t="str">
        <f>IF(B7="","",IF(ISERROR(FIND("\",B7)),CONCATENATE(B7,"\",B7,".i"),CONCATENATE(B7,".i")))</f>
        <v>Case1\Case1.i</v>
      </c>
      <c r="E7" s="104" t="str">
        <f>IF(B7="","",IF(ISERROR(FIND("\",B7)),B7,RIGHT(B7,LEN(B7)-FIND("\",B7))))</f>
        <v>Case1</v>
      </c>
      <c r="F7" s="102" t="s">
        <v>28</v>
      </c>
      <c r="G7" s="115">
        <v>9.9</v>
      </c>
      <c r="H7" s="116">
        <v>0.01</v>
      </c>
      <c r="I7" s="115">
        <v>10</v>
      </c>
      <c r="J7" s="115">
        <v>13</v>
      </c>
      <c r="K7" s="116">
        <v>1E-4</v>
      </c>
      <c r="L7" s="115">
        <v>5</v>
      </c>
      <c r="M7" s="115"/>
      <c r="N7" s="116">
        <v>1E-3</v>
      </c>
      <c r="O7" s="115">
        <v>10</v>
      </c>
      <c r="P7" s="115"/>
      <c r="Q7" s="116">
        <v>0.02</v>
      </c>
      <c r="R7" s="115">
        <v>50</v>
      </c>
      <c r="S7" s="115"/>
      <c r="T7" s="116">
        <v>0.02</v>
      </c>
      <c r="U7" s="115">
        <v>50</v>
      </c>
      <c r="V7" s="102"/>
      <c r="W7" s="102"/>
      <c r="X7" s="102">
        <v>1</v>
      </c>
      <c r="Y7" s="102">
        <v>10</v>
      </c>
      <c r="Z7" s="102">
        <v>25</v>
      </c>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3"/>
      <c r="BE7" s="103"/>
      <c r="BF7" s="103"/>
      <c r="BG7" s="102"/>
      <c r="BH7" s="102"/>
      <c r="BI7" s="102"/>
      <c r="BJ7" s="102"/>
      <c r="BK7" s="102"/>
      <c r="BL7" s="102"/>
      <c r="BM7" s="102"/>
      <c r="BN7" s="102"/>
      <c r="BO7" s="102"/>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06">
        <f>ROW()-ROW($A$6)</f>
        <v>2</v>
      </c>
      <c r="B8" s="92" t="s">
        <v>275</v>
      </c>
      <c r="C8" s="93" t="s">
        <v>366</v>
      </c>
      <c r="D8" s="104" t="str">
        <f>IF(B8="","",IF(ISERROR(FIND("\",B8)),CONCATENATE(B8,"\",B8,".i"),CONCATENATE(B8,".i")))</f>
        <v>Case2\Case2.i</v>
      </c>
      <c r="E8" s="104" t="str">
        <f>IF(B8="","",IF(ISERROR(FIND("\",B8)),B8,RIGHT(B8,LEN(B8)-FIND("\",B8))))</f>
        <v>Case2</v>
      </c>
      <c r="F8" s="102" t="s">
        <v>28</v>
      </c>
      <c r="G8" s="115">
        <v>9.9</v>
      </c>
      <c r="H8" s="116">
        <v>0.01</v>
      </c>
      <c r="I8" s="115">
        <v>10</v>
      </c>
      <c r="J8" s="115">
        <v>13</v>
      </c>
      <c r="K8" s="116">
        <v>1E-4</v>
      </c>
      <c r="L8" s="115">
        <v>5</v>
      </c>
      <c r="M8" s="115"/>
      <c r="N8" s="116">
        <v>1E-3</v>
      </c>
      <c r="O8" s="115">
        <v>10</v>
      </c>
      <c r="P8" s="115"/>
      <c r="Q8" s="116">
        <v>0.02</v>
      </c>
      <c r="R8" s="115">
        <v>50</v>
      </c>
      <c r="S8" s="115"/>
      <c r="T8" s="116">
        <v>0.02</v>
      </c>
      <c r="U8" s="115">
        <v>50</v>
      </c>
      <c r="V8" s="102"/>
      <c r="W8" s="102"/>
      <c r="X8" s="102">
        <v>0.5</v>
      </c>
      <c r="Y8" s="102">
        <v>10</v>
      </c>
      <c r="Z8" s="102">
        <v>25</v>
      </c>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3"/>
      <c r="BE8" s="103"/>
      <c r="BF8" s="103"/>
      <c r="BG8" s="102"/>
      <c r="BH8" s="102"/>
      <c r="BI8" s="102"/>
      <c r="BJ8" s="102"/>
      <c r="BK8" s="102"/>
      <c r="BL8" s="102"/>
      <c r="BM8" s="102"/>
      <c r="BN8" s="102"/>
      <c r="BO8" s="102"/>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06">
        <f>ROW()-ROW($A$6)</f>
        <v>3</v>
      </c>
      <c r="B9" s="92"/>
      <c r="C9" s="93"/>
      <c r="D9" s="104" t="str">
        <f>IF(B9="","",IF(ISERROR(FIND("\",B9)),CONCATENATE(B9,"\",B9,".i"),CONCATENATE(B9,".i")))</f>
        <v/>
      </c>
      <c r="E9" s="104" t="str">
        <f>IF(B9="","",IF(ISERROR(FIND("\",B9)),B9,RIGHT(B9,LEN(B9)-FIND("\",B9))))</f>
        <v/>
      </c>
      <c r="F9" s="102"/>
      <c r="G9" s="115"/>
      <c r="H9" s="116"/>
      <c r="I9" s="115"/>
      <c r="J9" s="115"/>
      <c r="K9" s="116"/>
      <c r="L9" s="115"/>
      <c r="M9" s="115"/>
      <c r="N9" s="116"/>
      <c r="O9" s="115"/>
      <c r="P9" s="115"/>
      <c r="Q9" s="116"/>
      <c r="R9" s="115"/>
      <c r="S9" s="115"/>
      <c r="T9" s="116"/>
      <c r="U9" s="115"/>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3"/>
      <c r="BE9" s="103"/>
      <c r="BF9" s="103"/>
      <c r="BG9" s="102"/>
      <c r="BH9" s="102"/>
      <c r="BI9" s="102"/>
      <c r="BJ9" s="102"/>
      <c r="BK9" s="102"/>
      <c r="BL9" s="102"/>
      <c r="BM9" s="102"/>
      <c r="BN9" s="102"/>
      <c r="BO9" s="102"/>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06">
        <f>ROW()-ROW($A$6)</f>
        <v>4</v>
      </c>
      <c r="B10" s="92"/>
      <c r="C10" s="93"/>
      <c r="D10" s="104" t="str">
        <f>IF(B10="","",IF(ISERROR(FIND("\",B10)),CONCATENATE(B10,"\",B10,".i"),CONCATENATE(B10,".i")))</f>
        <v/>
      </c>
      <c r="E10" s="104" t="str">
        <f>IF(B10="","",IF(ISERROR(FIND("\",B10)),B10,RIGHT(B10,LEN(B10)-FIND("\",B10))))</f>
        <v/>
      </c>
      <c r="F10" s="102"/>
      <c r="G10" s="115"/>
      <c r="H10" s="116"/>
      <c r="I10" s="115"/>
      <c r="J10" s="115"/>
      <c r="K10" s="116"/>
      <c r="L10" s="115"/>
      <c r="M10" s="115"/>
      <c r="N10" s="116"/>
      <c r="O10" s="115"/>
      <c r="P10" s="115"/>
      <c r="Q10" s="116"/>
      <c r="R10" s="115"/>
      <c r="S10" s="115"/>
      <c r="T10" s="116"/>
      <c r="U10" s="115"/>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3"/>
      <c r="BE10" s="103"/>
      <c r="BF10" s="103"/>
      <c r="BG10" s="102"/>
      <c r="BH10" s="102"/>
      <c r="BI10" s="102"/>
      <c r="BJ10" s="102"/>
      <c r="BK10" s="102"/>
      <c r="BL10" s="102"/>
      <c r="BM10" s="102"/>
      <c r="BN10" s="102"/>
      <c r="BO10" s="102"/>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06">
        <f>ROW()-ROW($A$6)</f>
        <v>5</v>
      </c>
      <c r="B11" s="92"/>
      <c r="C11" s="93"/>
      <c r="D11" s="104" t="str">
        <f t="shared" ref="D11:D18" si="0">IF(B11="","",IF(ISERROR(FIND("\",B11)),CONCATENATE(B11,"\",B11,".i"),CONCATENATE(B11,".i")))</f>
        <v/>
      </c>
      <c r="E11" s="104" t="str">
        <f t="shared" ref="E11:E16" si="1">IF(B11="","",IF(ISERROR(FIND("\",B11)),B11,RIGHT(B11,LEN(B11)-FIND("\",B11))))</f>
        <v/>
      </c>
      <c r="F11" s="102"/>
      <c r="G11" s="115"/>
      <c r="H11" s="116"/>
      <c r="I11" s="115"/>
      <c r="J11" s="115"/>
      <c r="K11" s="116"/>
      <c r="L11" s="115"/>
      <c r="M11" s="115"/>
      <c r="N11" s="116"/>
      <c r="O11" s="115"/>
      <c r="P11" s="115"/>
      <c r="Q11" s="116"/>
      <c r="R11" s="115"/>
      <c r="S11" s="115"/>
      <c r="T11" s="116"/>
      <c r="U11" s="115"/>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3"/>
      <c r="BE11" s="103"/>
      <c r="BF11" s="103"/>
      <c r="BG11" s="102"/>
      <c r="BH11" s="102"/>
      <c r="BI11" s="102"/>
      <c r="BJ11" s="102"/>
      <c r="BK11" s="102"/>
      <c r="BL11" s="102"/>
      <c r="BM11" s="102"/>
      <c r="BN11" s="102"/>
      <c r="BO11" s="102"/>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06">
        <f t="shared" ref="A12:A19" si="2">ROW()-ROW($A$6)</f>
        <v>6</v>
      </c>
      <c r="B12" s="92"/>
      <c r="C12" s="93"/>
      <c r="D12" s="104" t="str">
        <f t="shared" si="0"/>
        <v/>
      </c>
      <c r="E12" s="104" t="str">
        <f t="shared" si="1"/>
        <v/>
      </c>
      <c r="F12" s="102"/>
      <c r="G12" s="115"/>
      <c r="H12" s="114"/>
      <c r="I12" s="102"/>
      <c r="J12" s="115"/>
      <c r="K12" s="114"/>
      <c r="L12" s="102"/>
      <c r="M12" s="102"/>
      <c r="N12" s="114"/>
      <c r="O12" s="102"/>
      <c r="P12" s="102"/>
      <c r="Q12" s="114"/>
      <c r="R12" s="102"/>
      <c r="S12" s="102"/>
      <c r="T12" s="114"/>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3"/>
      <c r="BE12" s="103"/>
      <c r="BF12" s="103"/>
      <c r="BG12" s="102"/>
      <c r="BH12" s="102"/>
      <c r="BI12" s="102"/>
      <c r="BJ12" s="102"/>
      <c r="BK12" s="102"/>
      <c r="BL12" s="102"/>
      <c r="BM12" s="102"/>
      <c r="BN12" s="102"/>
      <c r="BO12" s="102"/>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06">
        <f t="shared" si="2"/>
        <v>7</v>
      </c>
      <c r="B13" s="92"/>
      <c r="C13" s="93"/>
      <c r="D13" s="104" t="str">
        <f t="shared" si="0"/>
        <v/>
      </c>
      <c r="E13" s="104" t="str">
        <f t="shared" si="1"/>
        <v/>
      </c>
      <c r="F13" s="102"/>
      <c r="G13" s="115"/>
      <c r="H13" s="114"/>
      <c r="I13" s="102"/>
      <c r="J13" s="115"/>
      <c r="K13" s="114"/>
      <c r="L13" s="102"/>
      <c r="M13" s="102"/>
      <c r="N13" s="114"/>
      <c r="O13" s="102"/>
      <c r="P13" s="102"/>
      <c r="Q13" s="114"/>
      <c r="R13" s="102"/>
      <c r="S13" s="102"/>
      <c r="T13" s="114"/>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3"/>
      <c r="BE13" s="103"/>
      <c r="BF13" s="103"/>
      <c r="BG13" s="102"/>
      <c r="BH13" s="102"/>
      <c r="BI13" s="102"/>
      <c r="BJ13" s="102"/>
      <c r="BK13" s="102"/>
      <c r="BL13" s="102"/>
      <c r="BM13" s="102"/>
      <c r="BN13" s="102"/>
      <c r="BO13" s="102"/>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06">
        <f t="shared" si="2"/>
        <v>8</v>
      </c>
      <c r="B14" s="92"/>
      <c r="C14" s="93"/>
      <c r="D14" s="104" t="str">
        <f t="shared" si="0"/>
        <v/>
      </c>
      <c r="E14" s="104" t="str">
        <f t="shared" si="1"/>
        <v/>
      </c>
      <c r="F14" s="102"/>
      <c r="G14" s="115"/>
      <c r="H14" s="114"/>
      <c r="I14" s="102"/>
      <c r="J14" s="115"/>
      <c r="K14" s="114"/>
      <c r="L14" s="102"/>
      <c r="M14" s="102"/>
      <c r="N14" s="114"/>
      <c r="O14" s="102"/>
      <c r="P14" s="102"/>
      <c r="Q14" s="114"/>
      <c r="R14" s="102"/>
      <c r="S14" s="102"/>
      <c r="T14" s="114"/>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3"/>
      <c r="BE14" s="103"/>
      <c r="BF14" s="103"/>
      <c r="BG14" s="102"/>
      <c r="BH14" s="102"/>
      <c r="BI14" s="102"/>
      <c r="BJ14" s="102"/>
      <c r="BK14" s="102"/>
      <c r="BL14" s="102"/>
      <c r="BM14" s="102"/>
      <c r="BN14" s="102"/>
      <c r="BO14" s="102"/>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06">
        <f t="shared" si="2"/>
        <v>9</v>
      </c>
      <c r="B15" s="92"/>
      <c r="C15" s="93"/>
      <c r="D15" s="104" t="str">
        <f t="shared" si="0"/>
        <v/>
      </c>
      <c r="E15" s="104" t="str">
        <f t="shared" si="1"/>
        <v/>
      </c>
      <c r="F15" s="102"/>
      <c r="G15" s="102"/>
      <c r="H15" s="102"/>
      <c r="I15" s="102"/>
      <c r="J15" s="103"/>
      <c r="K15" s="103"/>
      <c r="L15" s="103"/>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3"/>
      <c r="BE15" s="103"/>
      <c r="BF15" s="103"/>
      <c r="BG15" s="102"/>
      <c r="BH15" s="102"/>
      <c r="BI15" s="102"/>
      <c r="BJ15" s="102"/>
      <c r="BK15" s="102"/>
      <c r="BL15" s="102"/>
      <c r="BM15" s="102"/>
      <c r="BN15" s="102"/>
      <c r="BO15" s="102"/>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06">
        <f t="shared" si="2"/>
        <v>10</v>
      </c>
      <c r="B16" s="92"/>
      <c r="C16" s="93"/>
      <c r="D16" s="104" t="str">
        <f t="shared" si="0"/>
        <v/>
      </c>
      <c r="E16" s="104" t="str">
        <f t="shared" si="1"/>
        <v/>
      </c>
      <c r="F16" s="102"/>
      <c r="G16" s="102"/>
      <c r="H16" s="102"/>
      <c r="I16" s="102"/>
      <c r="J16" s="103"/>
      <c r="K16" s="103"/>
      <c r="L16" s="103"/>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3"/>
      <c r="BE16" s="103"/>
      <c r="BF16" s="103"/>
      <c r="BG16" s="102"/>
      <c r="BH16" s="102"/>
      <c r="BI16" s="102"/>
      <c r="BJ16" s="102"/>
      <c r="BK16" s="102"/>
      <c r="BL16" s="102"/>
      <c r="BM16" s="102"/>
      <c r="BN16" s="102"/>
      <c r="BO16" s="102"/>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06">
        <f t="shared" si="2"/>
        <v>11</v>
      </c>
      <c r="B17" s="92"/>
      <c r="C17" s="93"/>
      <c r="D17" s="104" t="str">
        <f t="shared" si="0"/>
        <v/>
      </c>
      <c r="E17" s="104" t="str">
        <f>IF(B17="","",IF(ISERROR(FIND("\",B17)),B17,RIGHT(B17,LEN(B17)-FIND("\",B17))))</f>
        <v/>
      </c>
      <c r="F17" s="102"/>
      <c r="G17" s="102"/>
      <c r="H17" s="102"/>
      <c r="I17" s="102"/>
      <c r="J17" s="103"/>
      <c r="K17" s="103"/>
      <c r="L17" s="103"/>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3"/>
      <c r="BE17" s="103"/>
      <c r="BF17" s="103"/>
      <c r="BG17" s="102"/>
      <c r="BH17" s="102"/>
      <c r="BI17" s="102"/>
      <c r="BJ17" s="102"/>
      <c r="BK17" s="102"/>
      <c r="BL17" s="102"/>
      <c r="BM17" s="102"/>
      <c r="BN17" s="102"/>
      <c r="BO17" s="102"/>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06">
        <f t="shared" si="2"/>
        <v>12</v>
      </c>
      <c r="B18" s="92"/>
      <c r="C18" s="93"/>
      <c r="D18" s="104" t="str">
        <f t="shared" si="0"/>
        <v/>
      </c>
      <c r="E18" s="104" t="str">
        <f>IF(B18="","",IF(ISERROR(FIND("\",B18)),B18,RIGHT(B18,LEN(B18)-FIND("\",B18))))</f>
        <v/>
      </c>
      <c r="F18" s="102"/>
      <c r="G18" s="102"/>
      <c r="H18" s="102"/>
      <c r="I18" s="102"/>
      <c r="J18" s="103"/>
      <c r="K18" s="103"/>
      <c r="L18" s="103"/>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3"/>
      <c r="BE18" s="103"/>
      <c r="BF18" s="103"/>
      <c r="BG18" s="102"/>
      <c r="BH18" s="102"/>
      <c r="BI18" s="102"/>
      <c r="BJ18" s="102"/>
      <c r="BK18" s="102"/>
      <c r="BL18" s="102"/>
      <c r="BM18" s="102"/>
      <c r="BN18" s="102"/>
      <c r="BO18" s="102"/>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ht="15" x14ac:dyDescent="0.25">
      <c r="A19" s="106">
        <f t="shared" si="2"/>
        <v>13</v>
      </c>
      <c r="B19" s="92"/>
      <c r="C19" s="93"/>
      <c r="D19" s="104" t="str">
        <f>IF(B19="","",IF(ISERROR(FIND("\",B19)),CONCATENATE(B19,"\",B19,".i"),CONCATENATE(B19,".i")))</f>
        <v/>
      </c>
      <c r="E19" s="104" t="str">
        <f>IF(B19="","",IF(ISERROR(FIND("\",B19)),B19,RIGHT(B19,LEN(B19)-FIND("\",B19))))</f>
        <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row>
    <row r="20" spans="1:106" x14ac:dyDescent="0.2">
      <c r="E20" s="46"/>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E21" s="46"/>
      <c r="F21" s="40"/>
      <c r="G21" s="113"/>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6"/>
    </row>
    <row r="22" spans="1:106" x14ac:dyDescent="0.2">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40"/>
      <c r="AS29" s="46"/>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row r="62" spans="6:44" x14ac:dyDescent="0.2">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C21"/>
  <sheetViews>
    <sheetView topLeftCell="A7" zoomScale="140" zoomScaleNormal="140" workbookViewId="0">
      <selection activeCell="C22" sqref="C22"/>
    </sheetView>
  </sheetViews>
  <sheetFormatPr defaultRowHeight="12.75" x14ac:dyDescent="0.2"/>
  <cols>
    <col min="1" max="16384" width="9.140625" style="122"/>
  </cols>
  <sheetData>
    <row r="2" spans="2:2" x14ac:dyDescent="0.2">
      <c r="B2" s="123"/>
    </row>
    <row r="19" spans="2:3" x14ac:dyDescent="0.2">
      <c r="B19" s="126" t="s">
        <v>346</v>
      </c>
      <c r="C19" s="126" t="s">
        <v>138</v>
      </c>
    </row>
    <row r="20" spans="2:3" x14ac:dyDescent="0.2">
      <c r="B20" s="126">
        <v>1</v>
      </c>
      <c r="C20" s="126" t="s">
        <v>347</v>
      </c>
    </row>
    <row r="21" spans="2:3" x14ac:dyDescent="0.2">
      <c r="B21" s="126">
        <v>2</v>
      </c>
      <c r="C21" s="122" t="s">
        <v>348</v>
      </c>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13"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276</v>
      </c>
      <c r="B50" s="53" t="s">
        <v>316</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317</v>
      </c>
    </row>
    <row r="156" spans="1:2" x14ac:dyDescent="0.2">
      <c r="A156" s="53" t="s">
        <v>190</v>
      </c>
    </row>
    <row r="158" spans="1:2" x14ac:dyDescent="0.2">
      <c r="A158" s="53" t="s">
        <v>191</v>
      </c>
    </row>
    <row r="159" spans="1:2" ht="13.5" x14ac:dyDescent="0.25">
      <c r="A159" s="58" t="s">
        <v>276</v>
      </c>
      <c r="B159" s="58" t="s">
        <v>192</v>
      </c>
    </row>
    <row r="161" spans="1:22" x14ac:dyDescent="0.2">
      <c r="A161" s="53" t="s">
        <v>194</v>
      </c>
    </row>
    <row r="162" spans="1:22" ht="13.5" x14ac:dyDescent="0.25">
      <c r="A162" s="58" t="s">
        <v>276</v>
      </c>
      <c r="B162" s="58" t="s">
        <v>193</v>
      </c>
    </row>
    <row r="164" spans="1:22" x14ac:dyDescent="0.2">
      <c r="A164" s="53" t="s">
        <v>195</v>
      </c>
    </row>
    <row r="165" spans="1:22" ht="13.5" x14ac:dyDescent="0.25">
      <c r="A165" s="58" t="s">
        <v>276</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C43"/>
  <sheetViews>
    <sheetView workbookViewId="0">
      <selection activeCell="M26" sqref="M26"/>
    </sheetView>
  </sheetViews>
  <sheetFormatPr defaultRowHeight="12.75" x14ac:dyDescent="0.2"/>
  <cols>
    <col min="1" max="1" width="11.42578125" customWidth="1"/>
    <col min="2" max="2" width="15.85546875" customWidth="1"/>
    <col min="3" max="3" width="13.28515625" customWidth="1"/>
    <col min="4" max="4" width="13" customWidth="1"/>
    <col min="6" max="6" width="12.28515625" bestFit="1" customWidth="1"/>
  </cols>
  <sheetData>
    <row r="1" spans="1:3" ht="22.5" x14ac:dyDescent="0.3">
      <c r="A1" s="97" t="s">
        <v>269</v>
      </c>
    </row>
    <row r="2" spans="1:3" ht="15" x14ac:dyDescent="0.25">
      <c r="A2" s="98" t="s">
        <v>270</v>
      </c>
    </row>
    <row r="5" spans="1:3" x14ac:dyDescent="0.2">
      <c r="A5" s="120"/>
    </row>
    <row r="6" spans="1:3" x14ac:dyDescent="0.2">
      <c r="A6" s="120"/>
      <c r="B6" s="120"/>
    </row>
    <row r="7" spans="1:3" x14ac:dyDescent="0.2">
      <c r="A7" s="120" t="s">
        <v>337</v>
      </c>
      <c r="B7" s="120" t="s">
        <v>335</v>
      </c>
      <c r="C7" s="120" t="s">
        <v>336</v>
      </c>
    </row>
    <row r="8" spans="1:3" x14ac:dyDescent="0.2">
      <c r="A8" s="120" t="s">
        <v>337</v>
      </c>
      <c r="B8" s="120" t="s">
        <v>338</v>
      </c>
      <c r="C8" s="120" t="s">
        <v>339</v>
      </c>
    </row>
    <row r="9" spans="1:3" x14ac:dyDescent="0.2">
      <c r="A9" s="120" t="s">
        <v>337</v>
      </c>
      <c r="B9" s="120" t="s">
        <v>340</v>
      </c>
      <c r="C9" s="120" t="s">
        <v>341</v>
      </c>
    </row>
    <row r="10" spans="1:3" x14ac:dyDescent="0.2">
      <c r="A10" s="120" t="s">
        <v>337</v>
      </c>
      <c r="B10" s="120" t="s">
        <v>342</v>
      </c>
      <c r="C10" s="120" t="s">
        <v>343</v>
      </c>
    </row>
    <row r="11" spans="1:3" x14ac:dyDescent="0.2">
      <c r="A11" s="120" t="s">
        <v>337</v>
      </c>
      <c r="B11" s="120" t="s">
        <v>344</v>
      </c>
      <c r="C11" s="120" t="s">
        <v>345</v>
      </c>
    </row>
    <row r="13" spans="1:3" x14ac:dyDescent="0.2">
      <c r="A13" s="120" t="s">
        <v>333</v>
      </c>
    </row>
    <row r="14" spans="1:3" x14ac:dyDescent="0.2">
      <c r="A14" s="120" t="s">
        <v>24</v>
      </c>
      <c r="B14" s="120" t="s">
        <v>354</v>
      </c>
    </row>
    <row r="15" spans="1:3" x14ac:dyDescent="0.2">
      <c r="A15" s="120" t="s">
        <v>334</v>
      </c>
      <c r="B15" s="120" t="s">
        <v>271</v>
      </c>
      <c r="C15">
        <v>-1</v>
      </c>
    </row>
    <row r="18" spans="1:3" x14ac:dyDescent="0.2">
      <c r="A18" s="120" t="s">
        <v>333</v>
      </c>
    </row>
    <row r="19" spans="1:3" x14ac:dyDescent="0.2">
      <c r="A19" s="120" t="s">
        <v>24</v>
      </c>
      <c r="B19" s="120" t="s">
        <v>353</v>
      </c>
    </row>
    <row r="20" spans="1:3" x14ac:dyDescent="0.2">
      <c r="A20" s="120" t="s">
        <v>334</v>
      </c>
      <c r="B20" s="120" t="s">
        <v>272</v>
      </c>
      <c r="C20">
        <v>-2</v>
      </c>
    </row>
    <row r="23" spans="1:3" x14ac:dyDescent="0.2">
      <c r="A23" s="120" t="s">
        <v>333</v>
      </c>
    </row>
    <row r="24" spans="1:3" x14ac:dyDescent="0.2">
      <c r="A24" s="120" t="s">
        <v>24</v>
      </c>
      <c r="B24" s="120" t="s">
        <v>352</v>
      </c>
    </row>
    <row r="25" spans="1:3" x14ac:dyDescent="0.2">
      <c r="A25" s="120" t="s">
        <v>334</v>
      </c>
      <c r="B25" s="120" t="s">
        <v>273</v>
      </c>
      <c r="C25">
        <v>-1</v>
      </c>
    </row>
    <row r="27" spans="1:3" x14ac:dyDescent="0.2">
      <c r="A27" s="120" t="s">
        <v>333</v>
      </c>
    </row>
    <row r="28" spans="1:3" x14ac:dyDescent="0.2">
      <c r="A28" s="120" t="s">
        <v>24</v>
      </c>
      <c r="B28" s="120" t="s">
        <v>351</v>
      </c>
    </row>
    <row r="29" spans="1:3" x14ac:dyDescent="0.2">
      <c r="A29" s="120" t="s">
        <v>334</v>
      </c>
      <c r="B29" s="120" t="s">
        <v>274</v>
      </c>
      <c r="C29">
        <v>-1</v>
      </c>
    </row>
    <row r="31" spans="1:3" x14ac:dyDescent="0.2">
      <c r="A31" s="120" t="s">
        <v>333</v>
      </c>
    </row>
    <row r="32" spans="1:3" x14ac:dyDescent="0.2">
      <c r="A32" s="120" t="s">
        <v>24</v>
      </c>
      <c r="B32" s="120" t="s">
        <v>350</v>
      </c>
    </row>
    <row r="33" spans="1:3" x14ac:dyDescent="0.2">
      <c r="A33" s="120" t="s">
        <v>334</v>
      </c>
      <c r="B33" s="120" t="s">
        <v>349</v>
      </c>
      <c r="C33">
        <v>-1</v>
      </c>
    </row>
    <row r="40" spans="1:3" x14ac:dyDescent="0.2">
      <c r="B40" s="120"/>
    </row>
    <row r="41" spans="1:3" x14ac:dyDescent="0.2">
      <c r="B41" s="120"/>
    </row>
    <row r="42" spans="1:3" x14ac:dyDescent="0.2">
      <c r="B42" s="120"/>
    </row>
    <row r="43" spans="1:3" x14ac:dyDescent="0.2">
      <c r="B43" s="12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ValveClose</vt:lpstr>
      <vt:lpstr>runMatrix</vt:lpstr>
      <vt:lpstr>Model overview</vt:lpstr>
      <vt:lpstr>Info</vt:lpstr>
      <vt:lpstr>Tools</vt:lpstr>
      <vt:lpstr>ValveClose!CurrentFilename</vt:lpstr>
      <vt:lpstr>ValveClose!CurrentIndex</vt:lpstr>
      <vt:lpstr>ValveClose!dx</vt:lpstr>
      <vt:lpstr>ValveClose!roughness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2019-11-01T13:04:41Z</dcterms:modified>
</cp:coreProperties>
</file>