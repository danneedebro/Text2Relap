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mc:AlternateContent xmlns:mc="http://schemas.openxmlformats.org/markup-compatibility/2006">
    <mc:Choice Requires="x15">
      <x15ac:absPath xmlns:x15ac="http://schemas.microsoft.com/office/spreadsheetml/2010/11/ac" url="H:\Småjobb\2019\R34-Blowdown-VVX-erf-flode\Modell\Steady-state VVX-heattransfer\"/>
    </mc:Choice>
  </mc:AlternateContent>
  <xr:revisionPtr revIDLastSave="0" documentId="13_ncr:1_{2FF02BFF-C83D-48E5-B5C0-AAD78F9DA438}" xr6:coauthVersionLast="36" xr6:coauthVersionMax="36" xr10:uidLastSave="{00000000-0000-0000-0000-000000000000}"/>
  <bookViews>
    <workbookView xWindow="0" yWindow="0" windowWidth="21570" windowHeight="7740" activeTab="4" xr2:uid="{00000000-000D-0000-FFFF-FFFF00000000}"/>
  </bookViews>
  <sheets>
    <sheet name="BDAHSG-01-SteadyState" sheetId="11" r:id="rId1"/>
    <sheet name="runMatrix" sheetId="2" r:id="rId2"/>
    <sheet name="Modellöversikt" sheetId="3" r:id="rId3"/>
    <sheet name="Info" sheetId="4" r:id="rId4"/>
    <sheet name="Tools" sheetId="5" r:id="rId5"/>
  </sheets>
  <functionGroups builtInGroupCount="19"/>
  <definedNames>
    <definedName name="CurrentFilename" localSheetId="0">'BDAHSG-01-SteadyState'!$B$4</definedName>
    <definedName name="CurrentFilename">#REF!</definedName>
    <definedName name="CurrentIndex" localSheetId="0">'BDAHSG-01-SteadyState'!$B$2</definedName>
    <definedName name="CurrentIndex">#REF!</definedName>
    <definedName name="dx" localSheetId="0">'BDAHSG-01-SteadyState'!$B$10</definedName>
    <definedName name="ListSheets" localSheetId="0">Lista()</definedName>
    <definedName name="ListSheets">Lista()</definedName>
    <definedName name="roughness" localSheetId="0">'BDAHSG-01-SteadyState'!$B$9</definedName>
    <definedName name="roughness">#REF!</definedName>
    <definedName name="TestMatrix">runMatrix!$B$7:$DB$17</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runMatrix!$F$7:$DB$17</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N153" i="11" l="1"/>
  <c r="N95" i="11"/>
  <c r="N85" i="11"/>
  <c r="N75" i="11"/>
  <c r="M66" i="11"/>
  <c r="N62" i="11"/>
  <c r="C54" i="11"/>
  <c r="B29" i="11"/>
  <c r="B113" i="11" s="1"/>
  <c r="X7" i="2"/>
  <c r="X8" i="2"/>
  <c r="X9" i="2"/>
  <c r="X10" i="2"/>
  <c r="X11" i="2"/>
  <c r="X12" i="2"/>
  <c r="B27" i="11"/>
  <c r="R55" i="11" s="1"/>
  <c r="B26" i="11"/>
  <c r="B234" i="11" s="1"/>
  <c r="E49" i="11"/>
  <c r="E48" i="11"/>
  <c r="C49" i="11"/>
  <c r="C48" i="11"/>
  <c r="E114" i="11"/>
  <c r="B198" i="11" l="1"/>
  <c r="Q129" i="11"/>
  <c r="Q55" i="11"/>
  <c r="B255" i="11"/>
  <c r="B205" i="11"/>
  <c r="B47" i="11"/>
  <c r="B46" i="11"/>
  <c r="B45" i="11"/>
  <c r="Q125" i="11"/>
  <c r="E125" i="11"/>
  <c r="D125" i="11"/>
  <c r="C125" i="11"/>
  <c r="B125" i="11"/>
  <c r="N123" i="11" s="1"/>
  <c r="E123" i="11"/>
  <c r="B123" i="11"/>
  <c r="C121" i="11"/>
  <c r="C120" i="11"/>
  <c r="C116" i="11"/>
  <c r="Q121" i="11"/>
  <c r="E121" i="11"/>
  <c r="D121" i="11"/>
  <c r="B121" i="11"/>
  <c r="M123" i="11" s="1"/>
  <c r="Q120" i="11"/>
  <c r="E120" i="11"/>
  <c r="D120" i="11"/>
  <c r="B120" i="11"/>
  <c r="N118" i="11" s="1"/>
  <c r="E118" i="11"/>
  <c r="B118" i="11"/>
  <c r="Q116" i="11"/>
  <c r="E116" i="11"/>
  <c r="D116" i="11"/>
  <c r="B116" i="11"/>
  <c r="M118" i="11" s="1"/>
  <c r="E106" i="11"/>
  <c r="E110" i="11"/>
  <c r="C108" i="11"/>
  <c r="C112" i="11"/>
  <c r="Q112" i="11"/>
  <c r="E112" i="11"/>
  <c r="D112" i="11"/>
  <c r="B112" i="11"/>
  <c r="N110" i="11" s="1"/>
  <c r="B110" i="11"/>
  <c r="N114" i="11"/>
  <c r="B114" i="11"/>
  <c r="C45" i="11" s="1"/>
  <c r="Q108" i="11"/>
  <c r="E108" i="11"/>
  <c r="D108" i="11"/>
  <c r="B108" i="11"/>
  <c r="N106" i="11" s="1"/>
  <c r="E104" i="11"/>
  <c r="E103" i="11"/>
  <c r="E102" i="11"/>
  <c r="C102" i="11"/>
  <c r="Q101" i="11"/>
  <c r="E101" i="11"/>
  <c r="D101" i="11"/>
  <c r="B101" i="11"/>
  <c r="B106" i="11"/>
  <c r="C104" i="11"/>
  <c r="Q103" i="11"/>
  <c r="D103" i="11"/>
  <c r="B103" i="11"/>
  <c r="H265" i="11"/>
  <c r="H261" i="11"/>
  <c r="H244" i="11"/>
  <c r="H240" i="11"/>
  <c r="H228" i="11"/>
  <c r="H199" i="11"/>
  <c r="H118" i="11"/>
  <c r="H106" i="11"/>
  <c r="H110" i="11"/>
  <c r="I199" i="11" l="1"/>
  <c r="I228" i="11"/>
  <c r="I240" i="11"/>
  <c r="C46" i="11"/>
  <c r="I265" i="11"/>
  <c r="I261" i="11"/>
  <c r="I244" i="11"/>
  <c r="M110" i="11"/>
  <c r="I110" i="11"/>
  <c r="I106" i="11"/>
  <c r="I118" i="11"/>
  <c r="M114" i="11"/>
  <c r="S12" i="2" l="1"/>
  <c r="S11" i="2"/>
  <c r="S10" i="2"/>
  <c r="S8" i="2"/>
  <c r="S9" i="2"/>
  <c r="S7" i="2"/>
  <c r="R12" i="2"/>
  <c r="R11" i="2"/>
  <c r="R10" i="2"/>
  <c r="R9" i="2"/>
  <c r="R8" i="2"/>
  <c r="R7" i="2"/>
  <c r="B43" i="11" l="1"/>
  <c r="B40" i="11" l="1"/>
  <c r="T167" i="11" s="1"/>
  <c r="B39" i="11"/>
  <c r="T145" i="11" s="1"/>
  <c r="E57" i="11" l="1"/>
  <c r="E167" i="11"/>
  <c r="E145" i="11"/>
  <c r="E270" i="11"/>
  <c r="E256" i="11"/>
  <c r="E249" i="11"/>
  <c r="E235" i="11"/>
  <c r="E220" i="11"/>
  <c r="E206" i="11"/>
  <c r="B35" i="11"/>
  <c r="B34" i="11"/>
  <c r="C136" i="11" s="1"/>
  <c r="B33" i="11"/>
  <c r="B28" i="11"/>
  <c r="X157" i="11"/>
  <c r="X158" i="11" s="1"/>
  <c r="X159" i="11" s="1"/>
  <c r="W153" i="11"/>
  <c r="X138" i="11"/>
  <c r="X139" i="11" s="1"/>
  <c r="X140" i="11" s="1"/>
  <c r="X141" i="11" s="1"/>
  <c r="X142" i="11" s="1"/>
  <c r="W85" i="11"/>
  <c r="W95" i="11"/>
  <c r="X66" i="11"/>
  <c r="E93" i="11"/>
  <c r="E92" i="11"/>
  <c r="E91" i="11"/>
  <c r="Q92" i="11"/>
  <c r="D92" i="11"/>
  <c r="B92" i="11"/>
  <c r="X256" i="11"/>
  <c r="X257" i="11" s="1"/>
  <c r="X258" i="11" s="1"/>
  <c r="X259" i="11" s="1"/>
  <c r="X260" i="11" s="1"/>
  <c r="X261" i="11" s="1"/>
  <c r="X262" i="11" s="1"/>
  <c r="X263" i="11" s="1"/>
  <c r="X264" i="11" s="1"/>
  <c r="X265" i="11" s="1"/>
  <c r="X266" i="11" s="1"/>
  <c r="X267" i="11" s="1"/>
  <c r="X268" i="11" s="1"/>
  <c r="X269" i="11" s="1"/>
  <c r="X235" i="11"/>
  <c r="X236" i="11" s="1"/>
  <c r="X237" i="11" s="1"/>
  <c r="X238" i="11" s="1"/>
  <c r="X239" i="11" s="1"/>
  <c r="X240" i="11" s="1"/>
  <c r="X241" i="11" s="1"/>
  <c r="X242" i="11" s="1"/>
  <c r="X243" i="11" s="1"/>
  <c r="X244" i="11" s="1"/>
  <c r="X245" i="11" s="1"/>
  <c r="X246" i="11" s="1"/>
  <c r="X247" i="11" s="1"/>
  <c r="X248" i="11" s="1"/>
  <c r="X249" i="11" s="1"/>
  <c r="X206" i="11"/>
  <c r="X207" i="11" s="1"/>
  <c r="X208" i="11" s="1"/>
  <c r="X209" i="11" s="1"/>
  <c r="X210" i="11" s="1"/>
  <c r="X211" i="11" s="1"/>
  <c r="X212" i="11" s="1"/>
  <c r="X213" i="11" s="1"/>
  <c r="X214" i="11" s="1"/>
  <c r="X215" i="11" s="1"/>
  <c r="X216" i="11" s="1"/>
  <c r="X217" i="11" s="1"/>
  <c r="X218" i="11" s="1"/>
  <c r="X219" i="11" s="1"/>
  <c r="X220" i="11" s="1"/>
  <c r="Q82" i="11"/>
  <c r="E82" i="11"/>
  <c r="D82" i="11"/>
  <c r="B82" i="11"/>
  <c r="E83" i="11"/>
  <c r="E81" i="11"/>
  <c r="Q72" i="11"/>
  <c r="E72" i="11"/>
  <c r="D72" i="11"/>
  <c r="B72" i="11"/>
  <c r="Q71" i="11"/>
  <c r="E71" i="11"/>
  <c r="D71" i="11"/>
  <c r="B71" i="11"/>
  <c r="Q70" i="11"/>
  <c r="E70" i="11"/>
  <c r="D70" i="11"/>
  <c r="B70" i="11"/>
  <c r="Q69" i="11"/>
  <c r="E69" i="11"/>
  <c r="D69" i="11"/>
  <c r="B69" i="11"/>
  <c r="X55" i="11"/>
  <c r="X56" i="11"/>
  <c r="X57" i="11" s="1"/>
  <c r="X58" i="11" s="1"/>
  <c r="X59" i="11" s="1"/>
  <c r="X60" i="11" s="1"/>
  <c r="X61" i="11" s="1"/>
  <c r="X62" i="11" s="1"/>
  <c r="X67" i="11" s="1"/>
  <c r="X68" i="11" s="1"/>
  <c r="X69" i="11" s="1"/>
  <c r="X70" i="11" s="1"/>
  <c r="X71" i="11" s="1"/>
  <c r="X72" i="11" s="1"/>
  <c r="X73" i="11" s="1"/>
  <c r="X74" i="11" s="1"/>
  <c r="X75" i="11" s="1"/>
  <c r="E73" i="11"/>
  <c r="E68" i="11"/>
  <c r="E60" i="11"/>
  <c r="E59" i="11"/>
  <c r="E189" i="11"/>
  <c r="E187" i="11"/>
  <c r="E186" i="11"/>
  <c r="B191" i="11"/>
  <c r="N189" i="11" s="1"/>
  <c r="B189" i="11"/>
  <c r="C187" i="11"/>
  <c r="Q187" i="11"/>
  <c r="D187" i="11"/>
  <c r="B187" i="11"/>
  <c r="M189" i="11" s="1"/>
  <c r="C186" i="11"/>
  <c r="Q186" i="11"/>
  <c r="D186" i="11"/>
  <c r="B186" i="11"/>
  <c r="C185" i="11"/>
  <c r="Q185" i="11"/>
  <c r="E185" i="11"/>
  <c r="D185" i="11"/>
  <c r="B185" i="11"/>
  <c r="Q184" i="11"/>
  <c r="E184" i="11"/>
  <c r="D184" i="11"/>
  <c r="B184" i="11"/>
  <c r="C183" i="11"/>
  <c r="E183" i="11"/>
  <c r="Q183" i="11"/>
  <c r="D183" i="11"/>
  <c r="B183" i="11"/>
  <c r="N181" i="11" s="1"/>
  <c r="B181" i="11"/>
  <c r="B174" i="11"/>
  <c r="N172" i="11" s="1"/>
  <c r="B172" i="11"/>
  <c r="C169" i="11"/>
  <c r="Q170" i="11"/>
  <c r="E170" i="11"/>
  <c r="D170" i="11"/>
  <c r="B170" i="11"/>
  <c r="M172" i="11" s="1"/>
  <c r="Q169" i="11"/>
  <c r="E169" i="11"/>
  <c r="D169" i="11"/>
  <c r="B169" i="11"/>
  <c r="N167" i="11" s="1"/>
  <c r="B167" i="11"/>
  <c r="C165" i="11"/>
  <c r="Q165" i="11"/>
  <c r="E165" i="11"/>
  <c r="D165" i="11"/>
  <c r="B165" i="11"/>
  <c r="N163" i="11" s="1"/>
  <c r="B163" i="11"/>
  <c r="C161" i="11"/>
  <c r="Q161" i="11"/>
  <c r="E161" i="11"/>
  <c r="D161" i="11"/>
  <c r="B161" i="11"/>
  <c r="M163" i="11" s="1"/>
  <c r="C160" i="11"/>
  <c r="Q160" i="11"/>
  <c r="E160" i="11"/>
  <c r="D160" i="11"/>
  <c r="B160" i="11"/>
  <c r="M181" i="11" s="1"/>
  <c r="E159" i="11"/>
  <c r="Q150" i="11"/>
  <c r="E150" i="11"/>
  <c r="D150" i="11"/>
  <c r="B150" i="11"/>
  <c r="Q149" i="11"/>
  <c r="E149" i="11"/>
  <c r="D149" i="11"/>
  <c r="B149" i="11"/>
  <c r="Q148" i="11"/>
  <c r="E148" i="11"/>
  <c r="D148" i="11"/>
  <c r="B148" i="11"/>
  <c r="Q147" i="11"/>
  <c r="E147" i="11"/>
  <c r="D147" i="11"/>
  <c r="C147" i="11"/>
  <c r="B147" i="11"/>
  <c r="Q151" i="11"/>
  <c r="E151" i="11"/>
  <c r="D151" i="11"/>
  <c r="B151" i="11"/>
  <c r="B145" i="11"/>
  <c r="C143" i="11"/>
  <c r="Q142" i="11"/>
  <c r="E142" i="11"/>
  <c r="D142" i="11"/>
  <c r="B142" i="11"/>
  <c r="E143" i="11"/>
  <c r="E141" i="11"/>
  <c r="Q159" i="11"/>
  <c r="D159" i="11"/>
  <c r="B159" i="11"/>
  <c r="N157" i="11" s="1"/>
  <c r="B157" i="11"/>
  <c r="B153" i="11"/>
  <c r="Q143" i="11"/>
  <c r="D143" i="11"/>
  <c r="B143" i="11"/>
  <c r="Q141" i="11"/>
  <c r="D141" i="11"/>
  <c r="B141" i="11"/>
  <c r="N139" i="11" s="1"/>
  <c r="B139" i="11"/>
  <c r="B137" i="11"/>
  <c r="M139" i="11" s="1"/>
  <c r="B129" i="11"/>
  <c r="N127" i="11" s="1"/>
  <c r="B127" i="11"/>
  <c r="Q104" i="11"/>
  <c r="D104" i="11"/>
  <c r="B104" i="11"/>
  <c r="Q102" i="11"/>
  <c r="D102" i="11"/>
  <c r="B102" i="11"/>
  <c r="N99" i="11" s="1"/>
  <c r="B99" i="11"/>
  <c r="B95" i="11"/>
  <c r="Q93" i="11"/>
  <c r="D93" i="11"/>
  <c r="B93" i="11"/>
  <c r="M95" i="11" s="1"/>
  <c r="Q91" i="11"/>
  <c r="D91" i="11"/>
  <c r="B91" i="11"/>
  <c r="N89" i="11" s="1"/>
  <c r="B89" i="11"/>
  <c r="B85" i="11"/>
  <c r="Q83" i="11"/>
  <c r="D83" i="11"/>
  <c r="B83" i="11"/>
  <c r="M85" i="11" s="1"/>
  <c r="Q81" i="11"/>
  <c r="D81" i="11"/>
  <c r="B81" i="11"/>
  <c r="N79" i="11" s="1"/>
  <c r="B79" i="11"/>
  <c r="B75" i="11"/>
  <c r="Q73" i="11"/>
  <c r="D73" i="11"/>
  <c r="B73" i="11"/>
  <c r="M75" i="11" s="1"/>
  <c r="B66" i="11"/>
  <c r="B62" i="11"/>
  <c r="E266" i="11"/>
  <c r="E265" i="11"/>
  <c r="E264" i="11"/>
  <c r="E263" i="11"/>
  <c r="E262" i="11"/>
  <c r="E261" i="11"/>
  <c r="E260" i="11"/>
  <c r="E242" i="11"/>
  <c r="E245" i="11"/>
  <c r="E244" i="11"/>
  <c r="E243" i="11"/>
  <c r="E241" i="11"/>
  <c r="E240" i="11"/>
  <c r="E239" i="11"/>
  <c r="E228" i="11"/>
  <c r="E218" i="11"/>
  <c r="E208" i="11"/>
  <c r="E216" i="11"/>
  <c r="E215" i="11"/>
  <c r="E214" i="11"/>
  <c r="E213" i="11"/>
  <c r="E211" i="11"/>
  <c r="E212" i="11"/>
  <c r="E210" i="11"/>
  <c r="E199" i="11"/>
  <c r="Q270" i="11"/>
  <c r="D270" i="11"/>
  <c r="B270" i="11"/>
  <c r="N268" i="11" s="1"/>
  <c r="B268" i="11"/>
  <c r="Q266" i="11"/>
  <c r="D266" i="11"/>
  <c r="B266" i="11"/>
  <c r="M268" i="11" s="1"/>
  <c r="Q265" i="11"/>
  <c r="D265" i="11"/>
  <c r="B265" i="11"/>
  <c r="Q264" i="11"/>
  <c r="D264" i="11"/>
  <c r="B264" i="11"/>
  <c r="Q263" i="11"/>
  <c r="D263" i="11"/>
  <c r="B263" i="11"/>
  <c r="Q262" i="11"/>
  <c r="D262" i="11"/>
  <c r="B262" i="11"/>
  <c r="Q261" i="11"/>
  <c r="D261" i="11"/>
  <c r="B261" i="11"/>
  <c r="Q260" i="11"/>
  <c r="D260" i="11"/>
  <c r="B260" i="11"/>
  <c r="N258" i="11" s="1"/>
  <c r="B258" i="11"/>
  <c r="Q256" i="11"/>
  <c r="D256" i="11"/>
  <c r="B256" i="11"/>
  <c r="M258" i="11" s="1"/>
  <c r="Q249" i="11"/>
  <c r="D249" i="11"/>
  <c r="B249" i="11"/>
  <c r="N247" i="11" s="1"/>
  <c r="B247" i="11"/>
  <c r="Q245" i="11"/>
  <c r="D245" i="11"/>
  <c r="B245" i="11"/>
  <c r="M247" i="11" s="1"/>
  <c r="Q244" i="11"/>
  <c r="D244" i="11"/>
  <c r="B244" i="11"/>
  <c r="Q243" i="11"/>
  <c r="D243" i="11"/>
  <c r="B243" i="11"/>
  <c r="Q242" i="11"/>
  <c r="D242" i="11"/>
  <c r="B242" i="11"/>
  <c r="Q241" i="11"/>
  <c r="D241" i="11"/>
  <c r="B241" i="11"/>
  <c r="Q240" i="11"/>
  <c r="D240" i="11"/>
  <c r="B240" i="11"/>
  <c r="Q239" i="11"/>
  <c r="D239" i="11"/>
  <c r="B239" i="11"/>
  <c r="N237" i="11" s="1"/>
  <c r="B237" i="11"/>
  <c r="Q235" i="11"/>
  <c r="D235" i="11"/>
  <c r="B235" i="11"/>
  <c r="M237" i="11" s="1"/>
  <c r="Q228" i="11"/>
  <c r="D228" i="11"/>
  <c r="B228" i="11"/>
  <c r="Q220" i="11"/>
  <c r="D220" i="11"/>
  <c r="B220" i="11"/>
  <c r="N218" i="11" s="1"/>
  <c r="B218" i="11"/>
  <c r="Q214" i="11"/>
  <c r="Q215" i="11"/>
  <c r="Q216" i="11"/>
  <c r="D214" i="11"/>
  <c r="D215" i="11"/>
  <c r="D216" i="11"/>
  <c r="B214" i="11"/>
  <c r="B215" i="11"/>
  <c r="B216" i="11"/>
  <c r="M218" i="11" s="1"/>
  <c r="Q213" i="11"/>
  <c r="D213" i="11"/>
  <c r="B213" i="11"/>
  <c r="Q210" i="11"/>
  <c r="Q211" i="11"/>
  <c r="Q212" i="11"/>
  <c r="D210" i="11"/>
  <c r="D211" i="11"/>
  <c r="D212" i="11"/>
  <c r="B210" i="11"/>
  <c r="N208" i="11" s="1"/>
  <c r="B211" i="11"/>
  <c r="B212" i="11"/>
  <c r="B208" i="11"/>
  <c r="Q206" i="11"/>
  <c r="D206" i="11"/>
  <c r="B206" i="11"/>
  <c r="M208" i="11" s="1"/>
  <c r="Q199" i="11"/>
  <c r="D199" i="11"/>
  <c r="B199" i="11"/>
  <c r="H215" i="11"/>
  <c r="H211" i="11"/>
  <c r="T139" i="11"/>
  <c r="B180" i="11" l="1"/>
  <c r="B227" i="11"/>
  <c r="H46" i="11"/>
  <c r="H45" i="11"/>
  <c r="I211" i="11"/>
  <c r="I215" i="11"/>
  <c r="X143" i="11"/>
  <c r="X144" i="11" s="1"/>
  <c r="X145" i="11" s="1"/>
  <c r="X146" i="11" s="1"/>
  <c r="X147" i="11" s="1"/>
  <c r="X148" i="11" s="1"/>
  <c r="X149" i="11" s="1"/>
  <c r="X150" i="11" s="1"/>
  <c r="X151" i="11" s="1"/>
  <c r="X152" i="11" s="1"/>
  <c r="X153" i="11" s="1"/>
  <c r="Y153" i="11" s="1"/>
  <c r="X160" i="11"/>
  <c r="X161" i="11" s="1"/>
  <c r="X162" i="11" s="1"/>
  <c r="X163" i="11" s="1"/>
  <c r="X164" i="11" s="1"/>
  <c r="X165" i="11" s="1"/>
  <c r="X166" i="11" s="1"/>
  <c r="X167" i="11" s="1"/>
  <c r="X168" i="11" s="1"/>
  <c r="X169" i="11" s="1"/>
  <c r="X170" i="11" s="1"/>
  <c r="X171" i="11" s="1"/>
  <c r="X172" i="11" s="1"/>
  <c r="X173" i="11" s="1"/>
  <c r="X174" i="11" s="1"/>
  <c r="M127" i="11"/>
  <c r="M106" i="11"/>
  <c r="N145" i="11"/>
  <c r="C180" i="11"/>
  <c r="R137" i="11"/>
  <c r="B54" i="11"/>
  <c r="B136" i="11"/>
  <c r="X270" i="11"/>
  <c r="X79" i="1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X100" i="11" s="1"/>
  <c r="X101" i="11" s="1"/>
  <c r="X102" i="11" s="1"/>
  <c r="X103" i="11" s="1"/>
  <c r="X104" i="11" s="1"/>
  <c r="X105" i="11" s="1"/>
  <c r="X106" i="11" s="1"/>
  <c r="X107" i="11" s="1"/>
  <c r="X108" i="11" s="1"/>
  <c r="X109" i="11" s="1"/>
  <c r="X110" i="11" s="1"/>
  <c r="X111" i="11" s="1"/>
  <c r="X112" i="11" s="1"/>
  <c r="X113" i="11" s="1"/>
  <c r="X114" i="11" s="1"/>
  <c r="X115" i="11" s="1"/>
  <c r="X116" i="11" s="1"/>
  <c r="X117" i="11" s="1"/>
  <c r="X118" i="11" s="1"/>
  <c r="X119" i="11" s="1"/>
  <c r="X120" i="11" s="1"/>
  <c r="X121" i="11" s="1"/>
  <c r="X122" i="11" s="1"/>
  <c r="X123" i="11" s="1"/>
  <c r="X124" i="11" s="1"/>
  <c r="X125" i="11" s="1"/>
  <c r="X126" i="11" s="1"/>
  <c r="X127" i="11" s="1"/>
  <c r="X128" i="11" s="1"/>
  <c r="M167" i="11"/>
  <c r="M157" i="11"/>
  <c r="M153" i="11"/>
  <c r="M145" i="11"/>
  <c r="M99" i="11"/>
  <c r="M89" i="11"/>
  <c r="M79" i="11"/>
  <c r="D19" i="11"/>
  <c r="D18" i="11"/>
  <c r="C19" i="11"/>
  <c r="C18" i="11"/>
  <c r="B19" i="11"/>
  <c r="B18" i="11"/>
  <c r="Q60" i="11"/>
  <c r="D60" i="11"/>
  <c r="B60" i="11"/>
  <c r="M62" i="11" s="1"/>
  <c r="Q59" i="11"/>
  <c r="D59" i="11"/>
  <c r="B59" i="11"/>
  <c r="Q68" i="11" l="1"/>
  <c r="D68" i="11"/>
  <c r="B68" i="11"/>
  <c r="B57" i="11"/>
  <c r="B55" i="11"/>
  <c r="M57" i="11" s="1"/>
  <c r="F8" i="11"/>
  <c r="B6" i="11"/>
  <c r="B5" i="11"/>
  <c r="G2" i="11"/>
  <c r="E2" i="11"/>
  <c r="X129" i="11" l="1"/>
  <c r="N57" i="11"/>
  <c r="N66" i="1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N295" i="4"/>
  <c r="E295" i="4"/>
  <c r="E293" i="4"/>
  <c r="D293" i="4"/>
  <c r="B293" i="4"/>
  <c r="M295" i="4" s="1"/>
  <c r="E292" i="4"/>
  <c r="D292" i="4"/>
  <c r="B292" i="4"/>
  <c r="N290" i="4"/>
  <c r="B288" i="4"/>
  <c r="M290" i="4" s="1"/>
  <c r="E17" i="2"/>
  <c r="D17" i="2"/>
  <c r="A17" i="2"/>
  <c r="E16" i="2"/>
  <c r="D16" i="2"/>
  <c r="A16" i="2"/>
  <c r="E15" i="2"/>
  <c r="D15" i="2"/>
  <c r="A15" i="2"/>
  <c r="E14" i="2"/>
  <c r="D14" i="2"/>
  <c r="A14" i="2"/>
  <c r="E13" i="2"/>
  <c r="D13" i="2"/>
  <c r="B4" i="11" s="1"/>
  <c r="E4" i="11" s="1"/>
  <c r="A13" i="2"/>
  <c r="E12" i="2"/>
  <c r="D12" i="2"/>
  <c r="A12" i="2"/>
  <c r="E11" i="2"/>
  <c r="D11" i="2"/>
  <c r="A11" i="2"/>
  <c r="E10" i="2"/>
  <c r="D10" i="2"/>
  <c r="A10" i="2"/>
  <c r="E9" i="2"/>
  <c r="D9" i="2"/>
  <c r="A9" i="2"/>
  <c r="N3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59BB9686-291A-4466-A054-76E2E6D6727A}">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3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<sst xmlns="http://schemas.openxmlformats.org/spreadsheetml/2006/main" count="2336" uniqueCount="454">
  <si>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</si>
  <si>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</si>
  <si>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</si>
  <si>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</si>
  <si>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</si>
  <si>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</si>
  <si>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</si>
  <si>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</si>
  <si>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</si>
  <si>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</si>
  <si>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</si>
  <si>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</si>
  <si>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</si>
  <si>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</si>
  <si>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</si>
  <si>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</si>
  <si>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</si>
  <si>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</si>
  <si>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</si>
  <si>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</si>
  <si>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</si>
  <si>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</si>
  <si>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</si>
  <si>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</si>
  <si>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</si>
  <si>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</si>
  <si>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</si>
  <si>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</si>
  <si>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</si>
  <si>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</si>
  <si>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</si>
  <si>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</si>
  <si>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</si>
  <si>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</si>
  <si>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</si>
  <si>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</si>
  <si>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</si>
  <si>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</si>
  <si>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</si>
  <si>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</si>
  <si>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</si>
  <si>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</si>
  <si>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</si>
  <si>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Time1</t>
  </si>
  <si>
    <t>dt1</t>
  </si>
  <si>
    <t>plotfreq1</t>
  </si>
  <si>
    <t>Time2</t>
  </si>
  <si>
    <t>dt2</t>
  </si>
  <si>
    <t>plotfreq2</t>
  </si>
  <si>
    <t>Time3</t>
  </si>
  <si>
    <t>dt3</t>
  </si>
  <si>
    <t>plotfreq3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</si>
  <si>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</si>
  <si>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</si>
  <si>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</si>
  <si>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</si>
  <si>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</si>
  <si>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</si>
  <si>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</si>
  <si>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</si>
  <si>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</si>
  <si>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</si>
  <si>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</si>
  <si>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</si>
  <si>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</si>
  <si>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</si>
  <si>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</si>
  <si>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</si>
  <si>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</si>
  <si>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</si>
  <si>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</si>
  <si>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</si>
  <si>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</si>
  <si>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</si>
  <si>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</si>
  <si>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</si>
  <si>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</si>
  <si>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</si>
  <si>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</si>
  <si>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</si>
  <si>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</si>
  <si>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</si>
  <si>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</si>
  <si>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</si>
  <si>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</si>
  <si>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</si>
  <si>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</si>
  <si>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</si>
  <si>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</si>
  <si>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</si>
  <si>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</si>
  <si>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</si>
  <si>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</si>
  <si>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</si>
  <si>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</si>
  <si>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</si>
  <si>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</si>
  <si>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</si>
  <si>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</si>
  <si>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</si>
  <si>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</si>
  <si>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</si>
  <si>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</si>
  <si>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</si>
  <si>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</si>
  <si>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</si>
  <si>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</si>
  <si>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</si>
  <si>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</si>
  <si>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</si>
  <si>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</si>
  <si>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</si>
  <si>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</si>
  <si>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</si>
  <si>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</si>
  <si>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</si>
  <si>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</si>
  <si>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</si>
  <si>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</si>
  <si>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</si>
  <si>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</si>
  <si>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</si>
  <si>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</si>
  <si>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</si>
  <si>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</si>
  <si>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</si>
  <si>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</si>
  <si>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</si>
  <si>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</si>
  <si>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</si>
  <si>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</si>
  <si>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</si>
  <si>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</si>
  <si>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</si>
  <si>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</si>
  <si>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</si>
  <si>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</si>
  <si>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</si>
  <si>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</si>
  <si>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</si>
  <si>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</si>
  <si>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</si>
  <si>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</si>
  <si>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</si>
  <si>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</si>
  <si>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</si>
  <si>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</si>
  <si>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</si>
  <si>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</si>
  <si>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</si>
  <si>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</si>
  <si>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</si>
  <si>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</si>
  <si>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</si>
  <si>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</si>
  <si>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</si>
  <si>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</si>
  <si>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</si>
  <si>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</si>
  <si>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</si>
  <si>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</si>
  <si>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</si>
  <si>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</si>
  <si>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</si>
  <si>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</si>
  <si>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</si>
  <si>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</si>
  <si>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</si>
  <si>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</si>
  <si>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</si>
  <si>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</si>
  <si>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</si>
  <si>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</si>
  <si>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</si>
  <si>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</si>
  <si>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</si>
  <si>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</si>
  <si>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</si>
  <si>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</si>
  <si>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</si>
  <si>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</si>
  <si>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</si>
  <si>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</si>
  <si>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</si>
  <si>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</si>
  <si>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</si>
  <si>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</si>
  <si>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</si>
  <si>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</si>
  <si>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</si>
  <si>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</si>
  <si>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</si>
  <si>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</si>
  <si>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</si>
  <si>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</si>
  <si>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</si>
  <si>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</si>
  <si>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</si>
  <si>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</si>
  <si>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</si>
  <si>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</si>
  <si>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</si>
  <si>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</si>
  <si>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</si>
  <si>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</si>
  <si>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</si>
  <si>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</si>
  <si>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</si>
  <si>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</si>
  <si>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</si>
  <si>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</si>
  <si>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</si>
  <si>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</si>
  <si>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</si>
  <si>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</si>
  <si>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</si>
  <si>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</si>
  <si>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</si>
  <si>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</si>
  <si>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</si>
  <si>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</si>
  <si>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</si>
  <si>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</si>
  <si>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</si>
  <si>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</si>
  <si>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</si>
  <si>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</si>
  <si>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</si>
  <si>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</si>
  <si>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</si>
  <si>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</si>
  <si>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</si>
  <si>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</si>
  <si>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</si>
  <si>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</si>
  <si>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</si>
  <si>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</si>
  <si>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</si>
  <si>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</si>
  <si>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</si>
  <si>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</si>
  <si>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</si>
  <si>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</si>
  <si>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</si>
  <si>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</si>
  <si>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</si>
  <si>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</si>
  <si>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</si>
  <si>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</si>
  <si>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</si>
  <si>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</si>
  <si>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</si>
  <si>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</si>
  <si>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</si>
  <si>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</si>
  <si>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</si>
  <si>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</si>
  <si>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</si>
  <si>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</si>
  <si>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</si>
  <si>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</si>
  <si>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</si>
  <si>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</si>
  <si>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</si>
  <si>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</si>
  <si>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</si>
  <si>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</si>
  <si>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</si>
  <si>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</si>
  <si>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</si>
  <si>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</si>
  <si>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</si>
  <si>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</si>
  <si>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</si>
  <si>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</si>
  <si>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junction</t>
  </si>
  <si>
    <t>makeStripFile</t>
  </si>
  <si>
    <t>Generera strip-request-fil (*.strip) och parameterfil</t>
  </si>
  <si>
    <t>Rad</t>
  </si>
  <si>
    <t>Plotvar</t>
  </si>
  <si>
    <t>mflowj</t>
  </si>
  <si>
    <t>p</t>
  </si>
  <si>
    <t>vlvstem</t>
  </si>
  <si>
    <t>pmpvel</t>
  </si>
  <si>
    <t>force</t>
  </si>
  <si>
    <t>Case2</t>
  </si>
  <si>
    <t>TDVol</t>
  </si>
  <si>
    <t>Replacements</t>
  </si>
  <si>
    <t>Plotnum</t>
  </si>
  <si>
    <t>Plot group</t>
  </si>
  <si>
    <t>cntrlvar</t>
  </si>
  <si>
    <t>Text2Relap (ver 2.0)</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</si>
  <si>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</si>
  <si>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</si>
  <si>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</si>
  <si>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</si>
  <si>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</si>
  <si>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</si>
  <si>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</si>
  <si>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</si>
  <si>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</si>
  <si>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</si>
  <si>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</si>
  <si>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</si>
  <si>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</si>
  <si>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</si>
  <si>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</si>
  <si>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</si>
  <si>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</si>
  <si>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</si>
  <si>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</si>
  <si>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</si>
  <si>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</si>
  <si>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</si>
  <si>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</si>
  <si>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</si>
  <si>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</si>
  <si>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</si>
  <si>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</si>
  <si>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</si>
  <si>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</si>
  <si>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</si>
  <si>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</si>
  <si>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</si>
  <si>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</si>
  <si>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</si>
  <si>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</si>
  <si>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</si>
  <si>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</si>
  <si>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</si>
  <si>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</si>
  <si>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</si>
  <si>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</si>
  <si>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bar(a)</t>
  </si>
  <si>
    <t>°C</t>
  </si>
  <si>
    <t>* Heat exchanger A: Shell side</t>
  </si>
  <si>
    <t>* Heat exchanger A: Tube side</t>
  </si>
  <si>
    <t>Pass1</t>
  </si>
  <si>
    <t>Pass2</t>
  </si>
  <si>
    <t>Manifold</t>
  </si>
  <si>
    <t>Pass3</t>
  </si>
  <si>
    <t>Pass4</t>
  </si>
  <si>
    <t>Bend</t>
  </si>
  <si>
    <t>* Heat exchanger B: Shell side</t>
  </si>
  <si>
    <t>* Heat exchanger B1: Tube side</t>
  </si>
  <si>
    <t>* Heat exchanger B2: Tube side</t>
  </si>
  <si>
    <t>SG-1-2-3</t>
  </si>
  <si>
    <t>** Unit A shell side</t>
  </si>
  <si>
    <t>** Unit B1 (tube side)</t>
  </si>
  <si>
    <t>** Unit A tube side</t>
  </si>
  <si>
    <t>** Unit B2 (tube side)</t>
  </si>
  <si>
    <t>S711</t>
  </si>
  <si>
    <t>** Unit B shell side</t>
  </si>
  <si>
    <t>CC-75</t>
  </si>
  <si>
    <t>V9823</t>
  </si>
  <si>
    <t>CC-74</t>
  </si>
  <si>
    <t>FE-648</t>
  </si>
  <si>
    <t>V9824</t>
  </si>
  <si>
    <t>CC-219</t>
  </si>
  <si>
    <t>V9829</t>
  </si>
  <si>
    <t>just</t>
  </si>
  <si>
    <t>Sys337</t>
  </si>
  <si>
    <t>Sys711</t>
  </si>
  <si>
    <t>System 337</t>
  </si>
  <si>
    <t>Flöde =</t>
  </si>
  <si>
    <t>kg/s</t>
  </si>
  <si>
    <t>System 711</t>
  </si>
  <si>
    <t>P =</t>
  </si>
  <si>
    <t>T =</t>
  </si>
  <si>
    <t>337-Flow</t>
  </si>
  <si>
    <t>711-P</t>
  </si>
  <si>
    <t>711-T</t>
  </si>
  <si>
    <t>711-Flow</t>
  </si>
  <si>
    <t>ShellB</t>
  </si>
  <si>
    <t>ShellA</t>
  </si>
  <si>
    <t>HeatStructs.inc</t>
  </si>
  <si>
    <t>711-V9823</t>
  </si>
  <si>
    <t>711-V9824</t>
  </si>
  <si>
    <t>Ventiler</t>
  </si>
  <si>
    <t>711 V9823 =</t>
  </si>
  <si>
    <t>(Uppströms BDAHSG-01 i 711)</t>
  </si>
  <si>
    <t>(Nedströms BDAHSG-01 i 711)</t>
  </si>
  <si>
    <t>711 V9824 =</t>
  </si>
  <si>
    <t>HeatStruct</t>
  </si>
  <si>
    <t>HeatStructs-horizontal-bundle-1.inc</t>
  </si>
  <si>
    <t>Case3</t>
  </si>
  <si>
    <t>HeatStructs-horizontal-bundle-2.inc</t>
  </si>
  <si>
    <t>Cntrlvars.inc</t>
  </si>
  <si>
    <t>Design - default-horizontal bundle 1</t>
  </si>
  <si>
    <t>Design - default-horizontal bundle 2</t>
  </si>
  <si>
    <t>Case4</t>
  </si>
  <si>
    <t>Design - default-default</t>
  </si>
  <si>
    <t>Case5</t>
  </si>
  <si>
    <t>Case6</t>
  </si>
  <si>
    <t>Max - default-default</t>
  </si>
  <si>
    <t>Max - default-horizontal bundle 1</t>
  </si>
  <si>
    <t>Max - default-horizontal bundle 2</t>
  </si>
  <si>
    <t>Flowpath</t>
  </si>
  <si>
    <t>1a</t>
  </si>
  <si>
    <t>100-103</t>
  </si>
  <si>
    <t>1b</t>
  </si>
  <si>
    <t>105-107</t>
  </si>
  <si>
    <t>109-111</t>
  </si>
  <si>
    <t>1c</t>
  </si>
  <si>
    <t>1d</t>
  </si>
  <si>
    <t>113-115</t>
  </si>
  <si>
    <t>2a</t>
  </si>
  <si>
    <t>200-205</t>
  </si>
  <si>
    <t>2b</t>
  </si>
  <si>
    <t>207-216</t>
  </si>
  <si>
    <t>** Flowpath 2b</t>
  </si>
  <si>
    <t>* Flowpath 3: System 711, safety relief valve</t>
  </si>
  <si>
    <t>** Flowpath 1b</t>
  </si>
  <si>
    <t>** Flowpath 1c</t>
  </si>
  <si>
    <t>** Flowpath 1d</t>
  </si>
  <si>
    <t>** Flowpath 1e</t>
  </si>
  <si>
    <t xml:space="preserve">* Flowpath 1a to 1e: System 337, from pressure boundary condition to downstream heat exchanger </t>
  </si>
  <si>
    <t xml:space="preserve">* Flowpath 2a to 2b: System 711 </t>
  </si>
  <si>
    <t>Heat exchanger BDAHSG-01</t>
  </si>
  <si>
    <t>BDAHSG-01 Unit A</t>
  </si>
  <si>
    <t>Comp #</t>
  </si>
  <si>
    <t>300, 312</t>
  </si>
  <si>
    <t>BDAHSG-01 Unit B</t>
  </si>
  <si>
    <t>320, 332, 342</t>
  </si>
  <si>
    <t>BD-52</t>
  </si>
  <si>
    <t>V9390</t>
  </si>
  <si>
    <t>V9360A</t>
  </si>
  <si>
    <t>Cv=67 el. =35 beroende på ritn.</t>
  </si>
  <si>
    <t>V9360B</t>
  </si>
  <si>
    <t>BD-53-1</t>
  </si>
  <si>
    <t>FE752</t>
  </si>
  <si>
    <t>1e</t>
  </si>
  <si>
    <t>PCV-766.inc</t>
  </si>
  <si>
    <t>TripVar</t>
  </si>
  <si>
    <t>ge</t>
  </si>
  <si>
    <t>null-0</t>
  </si>
  <si>
    <t>n</t>
  </si>
  <si>
    <t>time-0</t>
  </si>
  <si>
    <t>mflowj-CCC000000</t>
  </si>
  <si>
    <t>(Opens PCV-766)</t>
  </si>
  <si>
    <t>lt</t>
  </si>
  <si>
    <t>(Closes PCV-766)</t>
  </si>
  <si>
    <t>TripLog</t>
  </si>
  <si>
    <t>and</t>
  </si>
  <si>
    <t>OPEN_PCV766</t>
  </si>
  <si>
    <t>CLOSE_PCV766</t>
  </si>
  <si>
    <t>(Control flow up until this time)</t>
  </si>
  <si>
    <t>337-P1</t>
  </si>
  <si>
    <t>337-T1</t>
  </si>
  <si>
    <t>P1 =</t>
  </si>
  <si>
    <t>T1 =</t>
  </si>
  <si>
    <t>P2 =</t>
  </si>
  <si>
    <t>337-P2</t>
  </si>
  <si>
    <t>Ad-hoc K=3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</si>
</sst>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E+00"/>
    <numFmt numFmtId="166" formatCode="0.0000000"/>
    <numFmt numFmtId="167" formatCode="0.0E+00"/>
    <numFmt numFmtId="168" formatCode="0.0"/>
    <numFmt numFmtId="169" formatCode="0.00000"/>
  </numFmts>
  <fonts count="50"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6">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43">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cellStyleXfs>
  <cellXfs count="124">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0" fontId="0" fillId="26" borderId="15" xfId="0" applyFill="1" applyBorder="1"/>
    <xf numFmtId="0" fontId="28" fillId="26" borderId="15" xfId="0" applyFont="1" applyFill="1" applyBorder="1"/>
    <xf numFmtId="11" fontId="0" fillId="0" borderId="0" xfId="0" applyNumberFormat="1" applyBorder="1" applyAlignment="1">
      <alignment horizontal="center"/>
    </xf>
  </cellXfs>
  <cellStyles count="43">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6556">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CFFCC"/>
        </patternFill>
      </fill>
    </dxf>
    <dxf>
      <fill>
        <patternFill>
          <bgColor rgb="FFCCFFFF"/>
        </patternFill>
      </fill>
    </dxf>
    <dxf>
      <fill>
        <patternFill>
          <bgColor rgb="FFCCFFCC"/>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FFFF99"/>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38100</xdr:colOff>
          <xdr:row>0</xdr:row>
          <xdr:rowOff>438150</xdr:rowOff>
        </xdr:from>
        <xdr:to>
          <xdr:col>18</xdr:col>
          <xdr:colOff>19050</xdr:colOff>
          <xdr:row>1</xdr:row>
          <xdr:rowOff>171450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0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"Case1\Case1.i"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180975</xdr:colOff>
          <xdr:row>0</xdr:row>
          <xdr:rowOff>438150</xdr:rowOff>
        </xdr:from>
        <xdr:to>
          <xdr:col>21</xdr:col>
          <xdr:colOff>76200</xdr:colOff>
          <xdr:row>1</xdr:row>
          <xdr:rowOff>171450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000-000003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000-000004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000-000005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000-000006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000-000007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47625</xdr:colOff>
          <xdr:row>0</xdr:row>
          <xdr:rowOff>438150</xdr:rowOff>
        </xdr:from>
        <xdr:to>
          <xdr:col>13</xdr:col>
          <xdr:colOff>504825</xdr:colOff>
          <xdr:row>1</xdr:row>
          <xdr:rowOff>171450</xdr:rowOff>
        </xdr:to>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0000-000008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438150</xdr:rowOff>
        </xdr:from>
        <xdr:to>
          <xdr:col>11</xdr:col>
          <xdr:colOff>361950</xdr:colOff>
          <xdr:row>1</xdr:row>
          <xdr:rowOff>171450</xdr:rowOff>
        </xdr:to>
        <xdr:sp macro="" textlink="">
          <xdr:nvSpPr>
            <xdr:cNvPr id="25609" name="Button 9" hidden="1">
              <a:extLst>
                <a:ext uri="{63B3BB69-23CF-44E3-9099-C40C66FF867C}">
                  <a14:compatExt spid="_x0000_s25609"/>
                </a:ext>
                <a:ext uri="{FF2B5EF4-FFF2-40B4-BE49-F238E27FC236}">
                  <a16:creationId xmlns:a16="http://schemas.microsoft.com/office/drawing/2014/main" id="{00000000-0008-0000-0000-000009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0000-00000A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5611" name="Button 11" hidden="1">
              <a:extLst>
                <a:ext uri="{63B3BB69-23CF-44E3-9099-C40C66FF867C}">
                  <a14:compatExt spid="_x0000_s25611"/>
                </a:ext>
                <a:ext uri="{FF2B5EF4-FFF2-40B4-BE49-F238E27FC236}">
                  <a16:creationId xmlns:a16="http://schemas.microsoft.com/office/drawing/2014/main" id="{00000000-0008-0000-0000-00000B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594451</xdr:colOff>
      <xdr:row>21</xdr:row>
      <xdr:rowOff>106642</xdr:rowOff>
    </xdr:from>
    <xdr:to>
      <xdr:col>15</xdr:col>
      <xdr:colOff>539115</xdr:colOff>
      <xdr:row>24</xdr:row>
      <xdr:rowOff>112393</xdr:rowOff>
    </xdr:to>
    <xdr:cxnSp macro="">
      <xdr:nvCxnSpPr>
        <xdr:cNvPr id="114" name="Koppling: vinklad 113">
          <a:extLst>
            <a:ext uri="{FF2B5EF4-FFF2-40B4-BE49-F238E27FC236}">
              <a16:creationId xmlns:a16="http://schemas.microsoft.com/office/drawing/2014/main" id="{00000000-0008-0000-0200-000072000000}"/>
            </a:ext>
          </a:extLst>
        </xdr:cNvPr>
        <xdr:cNvCxnSpPr>
          <a:stCxn id="105" idx="2"/>
          <a:endCxn id="9" idx="1"/>
        </xdr:cNvCxnSpPr>
      </xdr:nvCxnSpPr>
      <xdr:spPr>
        <a:xfrm rot="16200000" flipH="1">
          <a:off x="7026620" y="1342098"/>
          <a:ext cx="491526" cy="4821464"/>
        </a:xfrm>
        <a:prstGeom prst="bentConnector3">
          <a:avLst>
            <a:gd name="adj1" fmla="val 146508"/>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20</xdr:row>
      <xdr:rowOff>139772</xdr:rowOff>
    </xdr:from>
    <xdr:to>
      <xdr:col>8</xdr:col>
      <xdr:colOff>67677</xdr:colOff>
      <xdr:row>21</xdr:row>
      <xdr:rowOff>106642</xdr:rowOff>
    </xdr:to>
    <xdr:sp macro="" textlink="">
      <xdr:nvSpPr>
        <xdr:cNvPr id="105" name="Rektangel 104">
          <a:extLst>
            <a:ext uri="{FF2B5EF4-FFF2-40B4-BE49-F238E27FC236}">
              <a16:creationId xmlns:a16="http://schemas.microsoft.com/office/drawing/2014/main" id="{00000000-0008-0000-0200-000069000000}"/>
            </a:ext>
          </a:extLst>
        </xdr:cNvPr>
        <xdr:cNvSpPr/>
      </xdr:nvSpPr>
      <xdr:spPr>
        <a:xfrm>
          <a:off x="4778825" y="3378272"/>
          <a:ext cx="165652" cy="128795"/>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84245</xdr:colOff>
      <xdr:row>14</xdr:row>
      <xdr:rowOff>133958</xdr:rowOff>
    </xdr:from>
    <xdr:to>
      <xdr:col>12</xdr:col>
      <xdr:colOff>485775</xdr:colOff>
      <xdr:row>21</xdr:row>
      <xdr:rowOff>147879</xdr:rowOff>
    </xdr:to>
    <xdr:sp macro="" textlink="">
      <xdr:nvSpPr>
        <xdr:cNvPr id="107" name="Rektangel: rundade hörn 106">
          <a:extLst>
            <a:ext uri="{FF2B5EF4-FFF2-40B4-BE49-F238E27FC236}">
              <a16:creationId xmlns:a16="http://schemas.microsoft.com/office/drawing/2014/main" id="{00000000-0008-0000-0200-00006B000000}"/>
            </a:ext>
          </a:extLst>
        </xdr:cNvPr>
        <xdr:cNvSpPr/>
      </xdr:nvSpPr>
      <xdr:spPr>
        <a:xfrm>
          <a:off x="4351445" y="2400908"/>
          <a:ext cx="3449530" cy="1147396"/>
        </a:xfrm>
        <a:prstGeom prst="roundRect">
          <a:avLst>
            <a:gd name="adj" fmla="val 50000"/>
          </a:avLst>
        </a:prstGeom>
        <a:solidFill>
          <a:sysClr val="window" lastClr="FFFFFF"/>
        </a:solidFill>
        <a:ln w="1905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10</xdr:row>
      <xdr:rowOff>854</xdr:rowOff>
    </xdr:from>
    <xdr:to>
      <xdr:col>7</xdr:col>
      <xdr:colOff>594451</xdr:colOff>
      <xdr:row>16</xdr:row>
      <xdr:rowOff>22596</xdr:rowOff>
    </xdr:to>
    <xdr:cxnSp macro="">
      <xdr:nvCxnSpPr>
        <xdr:cNvPr id="90" name="Koppling: vinklad 89">
          <a:extLst>
            <a:ext uri="{FF2B5EF4-FFF2-40B4-BE49-F238E27FC236}">
              <a16:creationId xmlns:a16="http://schemas.microsoft.com/office/drawing/2014/main" id="{00000000-0008-0000-0200-00005A000000}"/>
            </a:ext>
          </a:extLst>
        </xdr:cNvPr>
        <xdr:cNvCxnSpPr>
          <a:stCxn id="95" idx="2"/>
          <a:endCxn id="77" idx="1"/>
        </xdr:cNvCxnSpPr>
      </xdr:nvCxnSpPr>
      <xdr:spPr>
        <a:xfrm rot="5400000">
          <a:off x="4228590" y="1980335"/>
          <a:ext cx="993292" cy="272830"/>
        </a:xfrm>
        <a:prstGeom prst="bentConnector4">
          <a:avLst>
            <a:gd name="adj1" fmla="val 47455"/>
            <a:gd name="adj2" fmla="val 183788"/>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9</xdr:row>
      <xdr:rowOff>33985</xdr:rowOff>
    </xdr:from>
    <xdr:to>
      <xdr:col>8</xdr:col>
      <xdr:colOff>67677</xdr:colOff>
      <xdr:row>10</xdr:row>
      <xdr:rowOff>854</xdr:rowOff>
    </xdr:to>
    <xdr:sp macro="" textlink="">
      <xdr:nvSpPr>
        <xdr:cNvPr id="95" name="Rektangel 94">
          <a:extLst>
            <a:ext uri="{FF2B5EF4-FFF2-40B4-BE49-F238E27FC236}">
              <a16:creationId xmlns:a16="http://schemas.microsoft.com/office/drawing/2014/main" id="{00000000-0008-0000-0200-00005F000000}"/>
            </a:ext>
          </a:extLst>
        </xdr:cNvPr>
        <xdr:cNvSpPr/>
      </xdr:nvSpPr>
      <xdr:spPr>
        <a:xfrm>
          <a:off x="4778825" y="1491310"/>
          <a:ext cx="165652" cy="128794"/>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3</xdr:col>
      <xdr:colOff>231500</xdr:colOff>
      <xdr:row>0</xdr:row>
      <xdr:rowOff>89039</xdr:rowOff>
    </xdr:from>
    <xdr:to>
      <xdr:col>4</xdr:col>
      <xdr:colOff>385556</xdr:colOff>
      <xdr:row>5</xdr:row>
      <xdr:rowOff>26505</xdr:rowOff>
    </xdr:to>
    <xdr:sp macro="" textlink="">
      <xdr:nvSpPr>
        <xdr:cNvPr id="2" name="Rektangel: rundade hörn 1">
          <a:extLst>
            <a:ext uri="{FF2B5EF4-FFF2-40B4-BE49-F238E27FC236}">
              <a16:creationId xmlns:a16="http://schemas.microsoft.com/office/drawing/2014/main" id="{00000000-0008-0000-0200-000002000000}"/>
            </a:ext>
          </a:extLst>
        </xdr:cNvPr>
        <xdr:cNvSpPr/>
      </xdr:nvSpPr>
      <xdr:spPr>
        <a:xfrm flipH="1">
          <a:off x="2060300" y="89039"/>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4</xdr:col>
      <xdr:colOff>385556</xdr:colOff>
      <xdr:row>2</xdr:row>
      <xdr:rowOff>138735</xdr:rowOff>
    </xdr:from>
    <xdr:to>
      <xdr:col>12</xdr:col>
      <xdr:colOff>485775</xdr:colOff>
      <xdr:row>8</xdr:row>
      <xdr:rowOff>16980</xdr:rowOff>
    </xdr:to>
    <xdr:cxnSp macro="">
      <xdr:nvCxnSpPr>
        <xdr:cNvPr id="4" name="Koppling: vinklad 3">
          <a:extLst>
            <a:ext uri="{FF2B5EF4-FFF2-40B4-BE49-F238E27FC236}">
              <a16:creationId xmlns:a16="http://schemas.microsoft.com/office/drawing/2014/main" id="{00000000-0008-0000-0200-000004000000}"/>
            </a:ext>
          </a:extLst>
        </xdr:cNvPr>
        <xdr:cNvCxnSpPr>
          <a:stCxn id="2" idx="1"/>
          <a:endCxn id="11" idx="3"/>
        </xdr:cNvCxnSpPr>
      </xdr:nvCxnSpPr>
      <xdr:spPr>
        <a:xfrm>
          <a:off x="2823956" y="462585"/>
          <a:ext cx="4977019" cy="849795"/>
        </a:xfrm>
        <a:prstGeom prst="bentConnector3">
          <a:avLst>
            <a:gd name="adj1" fmla="val 104593"/>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92351</xdr:colOff>
      <xdr:row>5</xdr:row>
      <xdr:rowOff>141633</xdr:rowOff>
    </xdr:from>
    <xdr:to>
      <xdr:col>12</xdr:col>
      <xdr:colOff>485775</xdr:colOff>
      <xdr:row>10</xdr:row>
      <xdr:rowOff>54251</xdr:rowOff>
    </xdr:to>
    <xdr:sp macro="" textlink="">
      <xdr:nvSpPr>
        <xdr:cNvPr id="11" name="Rektangel: rundade hörn 10">
          <a:extLst>
            <a:ext uri="{FF2B5EF4-FFF2-40B4-BE49-F238E27FC236}">
              <a16:creationId xmlns:a16="http://schemas.microsoft.com/office/drawing/2014/main" id="{00000000-0008-0000-0200-00000B000000}"/>
            </a:ext>
          </a:extLst>
        </xdr:cNvPr>
        <xdr:cNvSpPr/>
      </xdr:nvSpPr>
      <xdr:spPr>
        <a:xfrm>
          <a:off x="4359551" y="951258"/>
          <a:ext cx="3441424" cy="722243"/>
        </a:xfrm>
        <a:prstGeom prst="roundRect">
          <a:avLst>
            <a:gd name="adj" fmla="val 50000"/>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486603</xdr:colOff>
      <xdr:row>5</xdr:row>
      <xdr:rowOff>133350</xdr:rowOff>
    </xdr:from>
    <xdr:to>
      <xdr:col>7</xdr:col>
      <xdr:colOff>486603</xdr:colOff>
      <xdr:row>10</xdr:row>
      <xdr:rowOff>70816</xdr:rowOff>
    </xdr:to>
    <xdr:cxnSp macro="">
      <xdr:nvCxnSpPr>
        <xdr:cNvPr id="15" name="Rak koppling 14">
          <a:extLst>
            <a:ext uri="{FF2B5EF4-FFF2-40B4-BE49-F238E27FC236}">
              <a16:creationId xmlns:a16="http://schemas.microsoft.com/office/drawing/2014/main" id="{00000000-0008-0000-0200-00000F000000}"/>
            </a:ext>
          </a:extLst>
        </xdr:cNvPr>
        <xdr:cNvCxnSpPr/>
      </xdr:nvCxnSpPr>
      <xdr:spPr>
        <a:xfrm>
          <a:off x="4753803" y="942975"/>
          <a:ext cx="0" cy="74709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478497</xdr:colOff>
      <xdr:row>15</xdr:row>
      <xdr:rowOff>4458</xdr:rowOff>
    </xdr:from>
    <xdr:to>
      <xdr:col>7</xdr:col>
      <xdr:colOff>478497</xdr:colOff>
      <xdr:row>21</xdr:row>
      <xdr:rowOff>117746</xdr:rowOff>
    </xdr:to>
    <xdr:cxnSp macro="">
      <xdr:nvCxnSpPr>
        <xdr:cNvPr id="108" name="Rak koppling 107">
          <a:extLst>
            <a:ext uri="{FF2B5EF4-FFF2-40B4-BE49-F238E27FC236}">
              <a16:creationId xmlns:a16="http://schemas.microsoft.com/office/drawing/2014/main" id="{00000000-0008-0000-0200-00006C000000}"/>
            </a:ext>
          </a:extLst>
        </xdr:cNvPr>
        <xdr:cNvCxnSpPr/>
      </xdr:nvCxnSpPr>
      <xdr:spPr>
        <a:xfrm>
          <a:off x="4745697" y="2433333"/>
          <a:ext cx="0" cy="1084838"/>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477264</xdr:colOff>
      <xdr:row>16</xdr:row>
      <xdr:rowOff>24725</xdr:rowOff>
    </xdr:from>
    <xdr:to>
      <xdr:col>11</xdr:col>
      <xdr:colOff>504825</xdr:colOff>
      <xdr:row>17</xdr:row>
      <xdr:rowOff>66675</xdr:rowOff>
    </xdr:to>
    <xdr:sp macro="" textlink="">
      <xdr:nvSpPr>
        <xdr:cNvPr id="116" name="Höger hakparentes 115">
          <a:extLst>
            <a:ext uri="{FF2B5EF4-FFF2-40B4-BE49-F238E27FC236}">
              <a16:creationId xmlns:a16="http://schemas.microsoft.com/office/drawing/2014/main" id="{00000000-0008-0000-0200-000074000000}"/>
            </a:ext>
          </a:extLst>
        </xdr:cNvPr>
        <xdr:cNvSpPr/>
      </xdr:nvSpPr>
      <xdr:spPr>
        <a:xfrm>
          <a:off x="4744464" y="2615525"/>
          <a:ext cx="2465961" cy="203875"/>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321621</xdr:colOff>
      <xdr:row>17</xdr:row>
      <xdr:rowOff>12568</xdr:rowOff>
    </xdr:from>
    <xdr:to>
      <xdr:col>7</xdr:col>
      <xdr:colOff>462460</xdr:colOff>
      <xdr:row>17</xdr:row>
      <xdr:rowOff>113696</xdr:rowOff>
    </xdr:to>
    <xdr:sp macro="" textlink="">
      <xdr:nvSpPr>
        <xdr:cNvPr id="118" name="Rektangel 117">
          <a:extLst>
            <a:ext uri="{FF2B5EF4-FFF2-40B4-BE49-F238E27FC236}">
              <a16:creationId xmlns:a16="http://schemas.microsoft.com/office/drawing/2014/main" id="{00000000-0008-0000-0200-000076000000}"/>
            </a:ext>
          </a:extLst>
        </xdr:cNvPr>
        <xdr:cNvSpPr/>
      </xdr:nvSpPr>
      <xdr:spPr>
        <a:xfrm>
          <a:off x="4588821" y="2765293"/>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15</xdr:row>
      <xdr:rowOff>133957</xdr:rowOff>
    </xdr:from>
    <xdr:to>
      <xdr:col>7</xdr:col>
      <xdr:colOff>462460</xdr:colOff>
      <xdr:row>16</xdr:row>
      <xdr:rowOff>73160</xdr:rowOff>
    </xdr:to>
    <xdr:sp macro="" textlink="">
      <xdr:nvSpPr>
        <xdr:cNvPr id="77" name="Rektangel 76">
          <a:extLst>
            <a:ext uri="{FF2B5EF4-FFF2-40B4-BE49-F238E27FC236}">
              <a16:creationId xmlns:a16="http://schemas.microsoft.com/office/drawing/2014/main" id="{00000000-0008-0000-0200-00004D000000}"/>
            </a:ext>
          </a:extLst>
        </xdr:cNvPr>
        <xdr:cNvSpPr/>
      </xdr:nvSpPr>
      <xdr:spPr>
        <a:xfrm>
          <a:off x="4588821" y="2562832"/>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114401</xdr:colOff>
      <xdr:row>15</xdr:row>
      <xdr:rowOff>154935</xdr:rowOff>
    </xdr:from>
    <xdr:to>
      <xdr:col>9</xdr:col>
      <xdr:colOff>14591</xdr:colOff>
      <xdr:row>17</xdr:row>
      <xdr:rowOff>131121</xdr:rowOff>
    </xdr:to>
    <xdr:sp macro="" textlink="">
      <xdr:nvSpPr>
        <xdr:cNvPr id="80" name="textruta 79">
          <a:extLst>
            <a:ext uri="{FF2B5EF4-FFF2-40B4-BE49-F238E27FC236}">
              <a16:creationId xmlns:a16="http://schemas.microsoft.com/office/drawing/2014/main" id="{00000000-0008-0000-0200-000050000000}"/>
            </a:ext>
          </a:extLst>
        </xdr:cNvPr>
        <xdr:cNvSpPr txBox="1"/>
      </xdr:nvSpPr>
      <xdr:spPr>
        <a:xfrm>
          <a:off x="4991201" y="2583810"/>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332</a:t>
          </a:r>
        </a:p>
      </xdr:txBody>
    </xdr:sp>
    <xdr:clientData/>
  </xdr:twoCellAnchor>
  <xdr:twoCellAnchor>
    <xdr:from>
      <xdr:col>8</xdr:col>
      <xdr:colOff>227079</xdr:colOff>
      <xdr:row>13</xdr:row>
      <xdr:rowOff>45498</xdr:rowOff>
    </xdr:from>
    <xdr:to>
      <xdr:col>11</xdr:col>
      <xdr:colOff>485775</xdr:colOff>
      <xdr:row>15</xdr:row>
      <xdr:rowOff>21685</xdr:rowOff>
    </xdr:to>
    <xdr:sp macro="" textlink="">
      <xdr:nvSpPr>
        <xdr:cNvPr id="81" name="textruta 80">
          <a:extLst>
            <a:ext uri="{FF2B5EF4-FFF2-40B4-BE49-F238E27FC236}">
              <a16:creationId xmlns:a16="http://schemas.microsoft.com/office/drawing/2014/main" id="{00000000-0008-0000-0200-000051000000}"/>
            </a:ext>
          </a:extLst>
        </xdr:cNvPr>
        <xdr:cNvSpPr txBox="1"/>
      </xdr:nvSpPr>
      <xdr:spPr>
        <a:xfrm>
          <a:off x="5103879" y="2150523"/>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B: pipe 320</a:t>
          </a:r>
        </a:p>
      </xdr:txBody>
    </xdr:sp>
    <xdr:clientData/>
  </xdr:twoCellAnchor>
  <xdr:twoCellAnchor>
    <xdr:from>
      <xdr:col>7</xdr:col>
      <xdr:colOff>485370</xdr:colOff>
      <xdr:row>19</xdr:row>
      <xdr:rowOff>407</xdr:rowOff>
    </xdr:from>
    <xdr:to>
      <xdr:col>11</xdr:col>
      <xdr:colOff>485775</xdr:colOff>
      <xdr:row>20</xdr:row>
      <xdr:rowOff>47626</xdr:rowOff>
    </xdr:to>
    <xdr:sp macro="" textlink="">
      <xdr:nvSpPr>
        <xdr:cNvPr id="82" name="Höger hakparentes 81">
          <a:extLst>
            <a:ext uri="{FF2B5EF4-FFF2-40B4-BE49-F238E27FC236}">
              <a16:creationId xmlns:a16="http://schemas.microsoft.com/office/drawing/2014/main" id="{00000000-0008-0000-0200-000052000000}"/>
            </a:ext>
          </a:extLst>
        </xdr:cNvPr>
        <xdr:cNvSpPr/>
      </xdr:nvSpPr>
      <xdr:spPr>
        <a:xfrm>
          <a:off x="4752570" y="3076982"/>
          <a:ext cx="2438805" cy="209144"/>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333780</xdr:colOff>
      <xdr:row>19</xdr:row>
      <xdr:rowOff>158280</xdr:rowOff>
    </xdr:from>
    <xdr:to>
      <xdr:col>7</xdr:col>
      <xdr:colOff>474619</xdr:colOff>
      <xdr:row>20</xdr:row>
      <xdr:rowOff>97483</xdr:rowOff>
    </xdr:to>
    <xdr:sp macro="" textlink="">
      <xdr:nvSpPr>
        <xdr:cNvPr id="83" name="Rektangel 82">
          <a:extLst>
            <a:ext uri="{FF2B5EF4-FFF2-40B4-BE49-F238E27FC236}">
              <a16:creationId xmlns:a16="http://schemas.microsoft.com/office/drawing/2014/main" id="{00000000-0008-0000-0200-000053000000}"/>
            </a:ext>
          </a:extLst>
        </xdr:cNvPr>
        <xdr:cNvSpPr/>
      </xdr:nvSpPr>
      <xdr:spPr>
        <a:xfrm>
          <a:off x="4600980" y="323485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329728</xdr:colOff>
      <xdr:row>18</xdr:row>
      <xdr:rowOff>113695</xdr:rowOff>
    </xdr:from>
    <xdr:to>
      <xdr:col>7</xdr:col>
      <xdr:colOff>470567</xdr:colOff>
      <xdr:row>19</xdr:row>
      <xdr:rowOff>52898</xdr:rowOff>
    </xdr:to>
    <xdr:sp macro="" textlink="">
      <xdr:nvSpPr>
        <xdr:cNvPr id="84" name="Rektangel 83">
          <a:extLst>
            <a:ext uri="{FF2B5EF4-FFF2-40B4-BE49-F238E27FC236}">
              <a16:creationId xmlns:a16="http://schemas.microsoft.com/office/drawing/2014/main" id="{00000000-0008-0000-0200-000054000000}"/>
            </a:ext>
          </a:extLst>
        </xdr:cNvPr>
        <xdr:cNvSpPr/>
      </xdr:nvSpPr>
      <xdr:spPr>
        <a:xfrm>
          <a:off x="4596928" y="302834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77720</xdr:colOff>
      <xdr:row>18</xdr:row>
      <xdr:rowOff>125347</xdr:rowOff>
    </xdr:from>
    <xdr:to>
      <xdr:col>8</xdr:col>
      <xdr:colOff>587510</xdr:colOff>
      <xdr:row>20</xdr:row>
      <xdr:rowOff>101533</xdr:rowOff>
    </xdr:to>
    <xdr:sp macro="" textlink="">
      <xdr:nvSpPr>
        <xdr:cNvPr id="85" name="textruta 84">
          <a:extLst>
            <a:ext uri="{FF2B5EF4-FFF2-40B4-BE49-F238E27FC236}">
              <a16:creationId xmlns:a16="http://schemas.microsoft.com/office/drawing/2014/main" id="{00000000-0008-0000-0200-000055000000}"/>
            </a:ext>
          </a:extLst>
        </xdr:cNvPr>
        <xdr:cNvSpPr txBox="1"/>
      </xdr:nvSpPr>
      <xdr:spPr>
        <a:xfrm>
          <a:off x="4954520" y="3039997"/>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342</a:t>
          </a:r>
        </a:p>
      </xdr:txBody>
    </xdr:sp>
    <xdr:clientData/>
  </xdr:twoCellAnchor>
  <xdr:twoCellAnchor>
    <xdr:from>
      <xdr:col>7</xdr:col>
      <xdr:colOff>483747</xdr:colOff>
      <xdr:row>7</xdr:row>
      <xdr:rowOff>58973</xdr:rowOff>
    </xdr:from>
    <xdr:to>
      <xdr:col>11</xdr:col>
      <xdr:colOff>447675</xdr:colOff>
      <xdr:row>8</xdr:row>
      <xdr:rowOff>104775</xdr:rowOff>
    </xdr:to>
    <xdr:sp macro="" textlink="">
      <xdr:nvSpPr>
        <xdr:cNvPr id="89" name="Höger hakparentes 88">
          <a:extLst>
            <a:ext uri="{FF2B5EF4-FFF2-40B4-BE49-F238E27FC236}">
              <a16:creationId xmlns:a16="http://schemas.microsoft.com/office/drawing/2014/main" id="{00000000-0008-0000-0200-000059000000}"/>
            </a:ext>
          </a:extLst>
        </xdr:cNvPr>
        <xdr:cNvSpPr/>
      </xdr:nvSpPr>
      <xdr:spPr>
        <a:xfrm flipV="1">
          <a:off x="4750947" y="1192448"/>
          <a:ext cx="2402328" cy="207727"/>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328104</xdr:colOff>
      <xdr:row>8</xdr:row>
      <xdr:rowOff>46817</xdr:rowOff>
    </xdr:from>
    <xdr:to>
      <xdr:col>7</xdr:col>
      <xdr:colOff>468943</xdr:colOff>
      <xdr:row>8</xdr:row>
      <xdr:rowOff>147946</xdr:rowOff>
    </xdr:to>
    <xdr:sp macro="" textlink="">
      <xdr:nvSpPr>
        <xdr:cNvPr id="91" name="Rektangel 90">
          <a:extLst>
            <a:ext uri="{FF2B5EF4-FFF2-40B4-BE49-F238E27FC236}">
              <a16:creationId xmlns:a16="http://schemas.microsoft.com/office/drawing/2014/main" id="{00000000-0008-0000-0200-00005B000000}"/>
            </a:ext>
          </a:extLst>
        </xdr:cNvPr>
        <xdr:cNvSpPr/>
      </xdr:nvSpPr>
      <xdr:spPr>
        <a:xfrm>
          <a:off x="4595304" y="1342217"/>
          <a:ext cx="140839" cy="101129"/>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328104</xdr:colOff>
      <xdr:row>7</xdr:row>
      <xdr:rowOff>6281</xdr:rowOff>
    </xdr:from>
    <xdr:to>
      <xdr:col>7</xdr:col>
      <xdr:colOff>468943</xdr:colOff>
      <xdr:row>7</xdr:row>
      <xdr:rowOff>107612</xdr:rowOff>
    </xdr:to>
    <xdr:sp macro="" textlink="">
      <xdr:nvSpPr>
        <xdr:cNvPr id="92" name="Rektangel 91">
          <a:extLst>
            <a:ext uri="{FF2B5EF4-FFF2-40B4-BE49-F238E27FC236}">
              <a16:creationId xmlns:a16="http://schemas.microsoft.com/office/drawing/2014/main" id="{00000000-0008-0000-0200-00005C000000}"/>
            </a:ext>
          </a:extLst>
        </xdr:cNvPr>
        <xdr:cNvSpPr/>
      </xdr:nvSpPr>
      <xdr:spPr>
        <a:xfrm>
          <a:off x="4595304" y="1139756"/>
          <a:ext cx="140839" cy="101331"/>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587609</xdr:colOff>
      <xdr:row>7</xdr:row>
      <xdr:rowOff>17734</xdr:rowOff>
    </xdr:from>
    <xdr:to>
      <xdr:col>8</xdr:col>
      <xdr:colOff>487799</xdr:colOff>
      <xdr:row>8</xdr:row>
      <xdr:rowOff>155846</xdr:rowOff>
    </xdr:to>
    <xdr:sp macro="" textlink="">
      <xdr:nvSpPr>
        <xdr:cNvPr id="93" name="textruta 92">
          <a:extLst>
            <a:ext uri="{FF2B5EF4-FFF2-40B4-BE49-F238E27FC236}">
              <a16:creationId xmlns:a16="http://schemas.microsoft.com/office/drawing/2014/main" id="{00000000-0008-0000-0200-00005D000000}"/>
            </a:ext>
          </a:extLst>
        </xdr:cNvPr>
        <xdr:cNvSpPr txBox="1"/>
      </xdr:nvSpPr>
      <xdr:spPr>
        <a:xfrm>
          <a:off x="4854809" y="1151209"/>
          <a:ext cx="509790"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312</a:t>
          </a:r>
        </a:p>
      </xdr:txBody>
    </xdr:sp>
    <xdr:clientData/>
  </xdr:twoCellAnchor>
  <xdr:twoCellAnchor>
    <xdr:from>
      <xdr:col>7</xdr:col>
      <xdr:colOff>321620</xdr:colOff>
      <xdr:row>8</xdr:row>
      <xdr:rowOff>97383</xdr:rowOff>
    </xdr:from>
    <xdr:to>
      <xdr:col>7</xdr:col>
      <xdr:colOff>328103</xdr:colOff>
      <xdr:row>17</xdr:row>
      <xdr:rowOff>63133</xdr:rowOff>
    </xdr:to>
    <xdr:cxnSp macro="">
      <xdr:nvCxnSpPr>
        <xdr:cNvPr id="94" name="Koppling: vinklad 93">
          <a:extLst>
            <a:ext uri="{FF2B5EF4-FFF2-40B4-BE49-F238E27FC236}">
              <a16:creationId xmlns:a16="http://schemas.microsoft.com/office/drawing/2014/main" id="{00000000-0008-0000-0200-00005E000000}"/>
            </a:ext>
          </a:extLst>
        </xdr:cNvPr>
        <xdr:cNvCxnSpPr>
          <a:stCxn id="118" idx="1"/>
          <a:endCxn id="91" idx="1"/>
        </xdr:cNvCxnSpPr>
      </xdr:nvCxnSpPr>
      <xdr:spPr>
        <a:xfrm rot="10800000" flipH="1">
          <a:off x="4588820" y="1392783"/>
          <a:ext cx="6483" cy="1423075"/>
        </a:xfrm>
        <a:prstGeom prst="bentConnector3">
          <a:avLst>
            <a:gd name="adj1" fmla="val -822767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64712</xdr:colOff>
      <xdr:row>15</xdr:row>
      <xdr:rowOff>102009</xdr:rowOff>
    </xdr:from>
    <xdr:to>
      <xdr:col>19</xdr:col>
      <xdr:colOff>217146</xdr:colOff>
      <xdr:row>20</xdr:row>
      <xdr:rowOff>39273</xdr:rowOff>
    </xdr:to>
    <xdr:sp macro="" textlink="">
      <xdr:nvSpPr>
        <xdr:cNvPr id="115" name="Rektangel: rundade hörn 114">
          <a:extLst>
            <a:ext uri="{FF2B5EF4-FFF2-40B4-BE49-F238E27FC236}">
              <a16:creationId xmlns:a16="http://schemas.microsoft.com/office/drawing/2014/main" id="{00000000-0008-0000-0200-000073000000}"/>
            </a:ext>
          </a:extLst>
        </xdr:cNvPr>
        <xdr:cNvSpPr/>
      </xdr:nvSpPr>
      <xdr:spPr>
        <a:xfrm flipH="1">
          <a:off x="11037512" y="2530884"/>
          <a:ext cx="762034" cy="746889"/>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7</xdr:col>
      <xdr:colOff>328104</xdr:colOff>
      <xdr:row>7</xdr:row>
      <xdr:rowOff>56946</xdr:rowOff>
    </xdr:from>
    <xdr:to>
      <xdr:col>7</xdr:col>
      <xdr:colOff>329728</xdr:colOff>
      <xdr:row>19</xdr:row>
      <xdr:rowOff>2333</xdr:rowOff>
    </xdr:to>
    <xdr:cxnSp macro="">
      <xdr:nvCxnSpPr>
        <xdr:cNvPr id="131" name="Koppling: vinklad 130">
          <a:extLst>
            <a:ext uri="{FF2B5EF4-FFF2-40B4-BE49-F238E27FC236}">
              <a16:creationId xmlns:a16="http://schemas.microsoft.com/office/drawing/2014/main" id="{00000000-0008-0000-0200-000083000000}"/>
            </a:ext>
          </a:extLst>
        </xdr:cNvPr>
        <xdr:cNvCxnSpPr>
          <a:stCxn id="92" idx="1"/>
          <a:endCxn id="84" idx="1"/>
        </xdr:cNvCxnSpPr>
      </xdr:nvCxnSpPr>
      <xdr:spPr>
        <a:xfrm rot="10800000" flipH="1" flipV="1">
          <a:off x="4595304" y="1190421"/>
          <a:ext cx="1624" cy="1888487"/>
        </a:xfrm>
        <a:prstGeom prst="bentConnector3">
          <a:avLst>
            <a:gd name="adj1" fmla="val -53372845"/>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209550</xdr:colOff>
      <xdr:row>20</xdr:row>
      <xdr:rowOff>46919</xdr:rowOff>
    </xdr:from>
    <xdr:to>
      <xdr:col>7</xdr:col>
      <xdr:colOff>333781</xdr:colOff>
      <xdr:row>21</xdr:row>
      <xdr:rowOff>73818</xdr:rowOff>
    </xdr:to>
    <xdr:cxnSp macro="">
      <xdr:nvCxnSpPr>
        <xdr:cNvPr id="132" name="Koppling: vinklad 131">
          <a:extLst>
            <a:ext uri="{FF2B5EF4-FFF2-40B4-BE49-F238E27FC236}">
              <a16:creationId xmlns:a16="http://schemas.microsoft.com/office/drawing/2014/main" id="{00000000-0008-0000-0200-000084000000}"/>
            </a:ext>
          </a:extLst>
        </xdr:cNvPr>
        <xdr:cNvCxnSpPr>
          <a:stCxn id="83" idx="1"/>
          <a:endCxn id="169" idx="0"/>
        </xdr:cNvCxnSpPr>
      </xdr:nvCxnSpPr>
      <xdr:spPr>
        <a:xfrm rot="10800000" flipV="1">
          <a:off x="3257550" y="3285419"/>
          <a:ext cx="1343431" cy="188824"/>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485775</xdr:colOff>
      <xdr:row>16</xdr:row>
      <xdr:rowOff>95251</xdr:rowOff>
    </xdr:from>
    <xdr:to>
      <xdr:col>15</xdr:col>
      <xdr:colOff>209550</xdr:colOff>
      <xdr:row>18</xdr:row>
      <xdr:rowOff>59957</xdr:rowOff>
    </xdr:to>
    <xdr:cxnSp macro="">
      <xdr:nvCxnSpPr>
        <xdr:cNvPr id="134" name="Koppling: vinklad 133">
          <a:extLst>
            <a:ext uri="{FF2B5EF4-FFF2-40B4-BE49-F238E27FC236}">
              <a16:creationId xmlns:a16="http://schemas.microsoft.com/office/drawing/2014/main" id="{00000000-0008-0000-0200-000086000000}"/>
            </a:ext>
          </a:extLst>
        </xdr:cNvPr>
        <xdr:cNvCxnSpPr>
          <a:stCxn id="76" idx="2"/>
          <a:endCxn id="107" idx="3"/>
        </xdr:cNvCxnSpPr>
      </xdr:nvCxnSpPr>
      <xdr:spPr>
        <a:xfrm rot="5400000">
          <a:off x="8432985" y="2054041"/>
          <a:ext cx="288556" cy="155257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14</xdr:row>
      <xdr:rowOff>76200</xdr:rowOff>
    </xdr:from>
    <xdr:to>
      <xdr:col>15</xdr:col>
      <xdr:colOff>295275</xdr:colOff>
      <xdr:row>16</xdr:row>
      <xdr:rowOff>95250</xdr:rowOff>
    </xdr:to>
    <xdr:sp macro="" textlink="">
      <xdr:nvSpPr>
        <xdr:cNvPr id="76" name="Flödesschema: Sammanför och sortera 75">
          <a:extLst>
            <a:ext uri="{FF2B5EF4-FFF2-40B4-BE49-F238E27FC236}">
              <a16:creationId xmlns:a16="http://schemas.microsoft.com/office/drawing/2014/main" id="{00000000-0008-0000-0200-00004C000000}"/>
            </a:ext>
          </a:extLst>
        </xdr:cNvPr>
        <xdr:cNvSpPr/>
      </xdr:nvSpPr>
      <xdr:spPr>
        <a:xfrm>
          <a:off x="9267825" y="234315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18</xdr:col>
      <xdr:colOff>79100</xdr:colOff>
      <xdr:row>8</xdr:row>
      <xdr:rowOff>155714</xdr:rowOff>
    </xdr:from>
    <xdr:to>
      <xdr:col>19</xdr:col>
      <xdr:colOff>233156</xdr:colOff>
      <xdr:row>13</xdr:row>
      <xdr:rowOff>93180</xdr:rowOff>
    </xdr:to>
    <xdr:sp macro="" textlink="">
      <xdr:nvSpPr>
        <xdr:cNvPr id="139" name="Rektangel: rundade hörn 138">
          <a:extLst>
            <a:ext uri="{FF2B5EF4-FFF2-40B4-BE49-F238E27FC236}">
              <a16:creationId xmlns:a16="http://schemas.microsoft.com/office/drawing/2014/main" id="{00000000-0008-0000-0200-00008B000000}"/>
            </a:ext>
          </a:extLst>
        </xdr:cNvPr>
        <xdr:cNvSpPr/>
      </xdr:nvSpPr>
      <xdr:spPr>
        <a:xfrm>
          <a:off x="11051900" y="1451114"/>
          <a:ext cx="763656" cy="747091"/>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209550</xdr:colOff>
      <xdr:row>11</xdr:row>
      <xdr:rowOff>43485</xdr:rowOff>
    </xdr:from>
    <xdr:to>
      <xdr:col>18</xdr:col>
      <xdr:colOff>79100</xdr:colOff>
      <xdr:row>14</xdr:row>
      <xdr:rowOff>76200</xdr:rowOff>
    </xdr:to>
    <xdr:cxnSp macro="">
      <xdr:nvCxnSpPr>
        <xdr:cNvPr id="140" name="Koppling: vinklad 139">
          <a:extLst>
            <a:ext uri="{FF2B5EF4-FFF2-40B4-BE49-F238E27FC236}">
              <a16:creationId xmlns:a16="http://schemas.microsoft.com/office/drawing/2014/main" id="{00000000-0008-0000-0200-00008C000000}"/>
            </a:ext>
          </a:extLst>
        </xdr:cNvPr>
        <xdr:cNvCxnSpPr>
          <a:stCxn id="139" idx="1"/>
          <a:endCxn id="76" idx="0"/>
        </xdr:cNvCxnSpPr>
      </xdr:nvCxnSpPr>
      <xdr:spPr>
        <a:xfrm rot="10800000" flipV="1">
          <a:off x="9353550" y="1824660"/>
          <a:ext cx="1698350" cy="518490"/>
        </a:xfrm>
        <a:prstGeom prst="bentConnector2">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536047</xdr:colOff>
      <xdr:row>17</xdr:row>
      <xdr:rowOff>151605</xdr:rowOff>
    </xdr:from>
    <xdr:to>
      <xdr:col>18</xdr:col>
      <xdr:colOff>64712</xdr:colOff>
      <xdr:row>20</xdr:row>
      <xdr:rowOff>65309</xdr:rowOff>
    </xdr:to>
    <xdr:cxnSp macro="">
      <xdr:nvCxnSpPr>
        <xdr:cNvPr id="146" name="Koppling: vinklad 145">
          <a:extLst>
            <a:ext uri="{FF2B5EF4-FFF2-40B4-BE49-F238E27FC236}">
              <a16:creationId xmlns:a16="http://schemas.microsoft.com/office/drawing/2014/main" id="{00000000-0008-0000-0200-000092000000}"/>
            </a:ext>
          </a:extLst>
        </xdr:cNvPr>
        <xdr:cNvCxnSpPr>
          <a:stCxn id="144" idx="2"/>
          <a:endCxn id="115" idx="3"/>
        </xdr:cNvCxnSpPr>
      </xdr:nvCxnSpPr>
      <xdr:spPr>
        <a:xfrm rot="5400000" flipH="1" flipV="1">
          <a:off x="10159040" y="2425337"/>
          <a:ext cx="399479" cy="135746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449042</xdr:colOff>
      <xdr:row>18</xdr:row>
      <xdr:rowOff>145256</xdr:rowOff>
    </xdr:from>
    <xdr:to>
      <xdr:col>16</xdr:col>
      <xdr:colOff>487142</xdr:colOff>
      <xdr:row>23</xdr:row>
      <xdr:rowOff>150019</xdr:rowOff>
    </xdr:to>
    <xdr:grpSp>
      <xdr:nvGrpSpPr>
        <xdr:cNvPr id="27668" name="Grupp 27667">
          <a:extLst>
            <a:ext uri="{FF2B5EF4-FFF2-40B4-BE49-F238E27FC236}">
              <a16:creationId xmlns:a16="http://schemas.microsoft.com/office/drawing/2014/main" id="{00000000-0008-0000-0200-0000146C0000}"/>
            </a:ext>
          </a:extLst>
        </xdr:cNvPr>
        <xdr:cNvGrpSpPr/>
      </xdr:nvGrpSpPr>
      <xdr:grpSpPr>
        <a:xfrm rot="16200000" flipH="1">
          <a:off x="9509698" y="3143250"/>
          <a:ext cx="814388" cy="647700"/>
          <a:chOff x="3194623" y="4276725"/>
          <a:chExt cx="814388" cy="638175"/>
        </a:xfrm>
      </xdr:grpSpPr>
      <xdr:sp macro="" textlink="">
        <xdr:nvSpPr>
          <xdr:cNvPr id="144" name="Flödesschema: Sammanför och sortera 143">
            <a:extLst>
              <a:ext uri="{FF2B5EF4-FFF2-40B4-BE49-F238E27FC236}">
                <a16:creationId xmlns:a16="http://schemas.microsoft.com/office/drawing/2014/main" id="{00000000-0008-0000-0200-000090000000}"/>
              </a:ext>
            </a:extLst>
          </xdr:cNvPr>
          <xdr:cNvSpPr/>
        </xdr:nvSpPr>
        <xdr:spPr>
          <a:xfrm rot="5400000">
            <a:off x="3524250" y="419100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sp macro="" textlink="">
        <xdr:nvSpPr>
          <xdr:cNvPr id="158" name="textruta 157">
            <a:extLst>
              <a:ext uri="{FF2B5EF4-FFF2-40B4-BE49-F238E27FC236}">
                <a16:creationId xmlns:a16="http://schemas.microsoft.com/office/drawing/2014/main" id="{00000000-0008-0000-0200-00009E000000}"/>
              </a:ext>
            </a:extLst>
          </xdr:cNvPr>
          <xdr:cNvSpPr txBox="1"/>
        </xdr:nvSpPr>
        <xdr:spPr>
          <a:xfrm>
            <a:off x="3194623" y="4446656"/>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711-V9824</a:t>
            </a:r>
          </a:p>
          <a:p>
            <a:pPr algn="ctr"/>
            <a:r>
              <a:rPr lang="sv-SE" sz="1100"/>
              <a:t>(211)</a:t>
            </a:r>
          </a:p>
        </xdr:txBody>
      </xdr:sp>
    </xdr:grpSp>
    <xdr:clientData/>
  </xdr:twoCellAnchor>
  <xdr:twoCellAnchor>
    <xdr:from>
      <xdr:col>15</xdr:col>
      <xdr:colOff>260923</xdr:colOff>
      <xdr:row>14</xdr:row>
      <xdr:rowOff>36581</xdr:rowOff>
    </xdr:from>
    <xdr:to>
      <xdr:col>16</xdr:col>
      <xdr:colOff>465711</xdr:colOff>
      <xdr:row>17</xdr:row>
      <xdr:rowOff>19050</xdr:rowOff>
    </xdr:to>
    <xdr:sp macro="" textlink="">
      <xdr:nvSpPr>
        <xdr:cNvPr id="159" name="textruta 158">
          <a:extLst>
            <a:ext uri="{FF2B5EF4-FFF2-40B4-BE49-F238E27FC236}">
              <a16:creationId xmlns:a16="http://schemas.microsoft.com/office/drawing/2014/main" id="{00000000-0008-0000-0200-00009F000000}"/>
            </a:ext>
          </a:extLst>
        </xdr:cNvPr>
        <xdr:cNvSpPr txBox="1"/>
      </xdr:nvSpPr>
      <xdr:spPr>
        <a:xfrm>
          <a:off x="9404923" y="23035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711-V9823</a:t>
          </a:r>
        </a:p>
        <a:p>
          <a:pPr algn="ctr"/>
          <a:r>
            <a:rPr lang="sv-SE" sz="1100"/>
            <a:t>(203)</a:t>
          </a:r>
        </a:p>
      </xdr:txBody>
    </xdr:sp>
    <xdr:clientData/>
  </xdr:twoCellAnchor>
  <xdr:twoCellAnchor>
    <xdr:from>
      <xdr:col>9</xdr:col>
      <xdr:colOff>25634</xdr:colOff>
      <xdr:row>7</xdr:row>
      <xdr:rowOff>27259</xdr:rowOff>
    </xdr:from>
    <xdr:to>
      <xdr:col>11</xdr:col>
      <xdr:colOff>190500</xdr:colOff>
      <xdr:row>9</xdr:row>
      <xdr:rowOff>3446</xdr:rowOff>
    </xdr:to>
    <xdr:sp macro="" textlink="">
      <xdr:nvSpPr>
        <xdr:cNvPr id="160" name="textruta 159">
          <a:extLst>
            <a:ext uri="{FF2B5EF4-FFF2-40B4-BE49-F238E27FC236}">
              <a16:creationId xmlns:a16="http://schemas.microsoft.com/office/drawing/2014/main" id="{00000000-0008-0000-0200-0000A0000000}"/>
            </a:ext>
          </a:extLst>
        </xdr:cNvPr>
        <xdr:cNvSpPr txBox="1"/>
      </xdr:nvSpPr>
      <xdr:spPr>
        <a:xfrm>
          <a:off x="5512034" y="11607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101-104</a:t>
          </a:r>
        </a:p>
      </xdr:txBody>
    </xdr:sp>
    <xdr:clientData/>
  </xdr:twoCellAnchor>
  <xdr:twoCellAnchor>
    <xdr:from>
      <xdr:col>9</xdr:col>
      <xdr:colOff>6584</xdr:colOff>
      <xdr:row>15</xdr:row>
      <xdr:rowOff>141559</xdr:rowOff>
    </xdr:from>
    <xdr:to>
      <xdr:col>11</xdr:col>
      <xdr:colOff>171450</xdr:colOff>
      <xdr:row>17</xdr:row>
      <xdr:rowOff>117746</xdr:rowOff>
    </xdr:to>
    <xdr:sp macro="" textlink="">
      <xdr:nvSpPr>
        <xdr:cNvPr id="161" name="textruta 160">
          <a:extLst>
            <a:ext uri="{FF2B5EF4-FFF2-40B4-BE49-F238E27FC236}">
              <a16:creationId xmlns:a16="http://schemas.microsoft.com/office/drawing/2014/main" id="{00000000-0008-0000-0200-0000A1000000}"/>
            </a:ext>
          </a:extLst>
        </xdr:cNvPr>
        <xdr:cNvSpPr txBox="1"/>
      </xdr:nvSpPr>
      <xdr:spPr>
        <a:xfrm>
          <a:off x="5492984" y="25704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201-204</a:t>
          </a:r>
        </a:p>
      </xdr:txBody>
    </xdr:sp>
    <xdr:clientData/>
  </xdr:twoCellAnchor>
  <xdr:twoCellAnchor>
    <xdr:from>
      <xdr:col>8</xdr:col>
      <xdr:colOff>606659</xdr:colOff>
      <xdr:row>18</xdr:row>
      <xdr:rowOff>122509</xdr:rowOff>
    </xdr:from>
    <xdr:to>
      <xdr:col>11</xdr:col>
      <xdr:colOff>161925</xdr:colOff>
      <xdr:row>20</xdr:row>
      <xdr:rowOff>98696</xdr:rowOff>
    </xdr:to>
    <xdr:sp macro="" textlink="">
      <xdr:nvSpPr>
        <xdr:cNvPr id="162" name="textruta 161">
          <a:extLst>
            <a:ext uri="{FF2B5EF4-FFF2-40B4-BE49-F238E27FC236}">
              <a16:creationId xmlns:a16="http://schemas.microsoft.com/office/drawing/2014/main" id="{00000000-0008-0000-0200-0000A2000000}"/>
            </a:ext>
          </a:extLst>
        </xdr:cNvPr>
        <xdr:cNvSpPr txBox="1"/>
      </xdr:nvSpPr>
      <xdr:spPr>
        <a:xfrm>
          <a:off x="5483459" y="3037159"/>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301-304</a:t>
          </a:r>
        </a:p>
      </xdr:txBody>
    </xdr:sp>
    <xdr:clientData/>
  </xdr:twoCellAnchor>
  <xdr:twoCellAnchor>
    <xdr:from>
      <xdr:col>17</xdr:col>
      <xdr:colOff>428625</xdr:colOff>
      <xdr:row>21</xdr:row>
      <xdr:rowOff>133350</xdr:rowOff>
    </xdr:from>
    <xdr:to>
      <xdr:col>18</xdr:col>
      <xdr:colOff>38100</xdr:colOff>
      <xdr:row>23</xdr:row>
      <xdr:rowOff>30622</xdr:rowOff>
    </xdr:to>
    <xdr:grpSp>
      <xdr:nvGrpSpPr>
        <xdr:cNvPr id="27667" name="Grupp 27666">
          <a:extLst>
            <a:ext uri="{FF2B5EF4-FFF2-40B4-BE49-F238E27FC236}">
              <a16:creationId xmlns:a16="http://schemas.microsoft.com/office/drawing/2014/main" id="{00000000-0008-0000-0200-0000136C0000}"/>
            </a:ext>
          </a:extLst>
        </xdr:cNvPr>
        <xdr:cNvGrpSpPr/>
      </xdr:nvGrpSpPr>
      <xdr:grpSpPr>
        <a:xfrm flipH="1">
          <a:off x="10791825" y="3533775"/>
          <a:ext cx="219075" cy="221122"/>
          <a:chOff x="6848475" y="4819650"/>
          <a:chExt cx="1019175" cy="1028700"/>
        </a:xfrm>
      </xdr:grpSpPr>
      <xdr:sp macro="" textlink="">
        <xdr:nvSpPr>
          <xdr:cNvPr id="27666" name="Flödesschema: Extrahera 27665">
            <a:extLst>
              <a:ext uri="{FF2B5EF4-FFF2-40B4-BE49-F238E27FC236}">
                <a16:creationId xmlns:a16="http://schemas.microsoft.com/office/drawing/2014/main" id="{00000000-0008-0000-0200-0000126C0000}"/>
              </a:ext>
            </a:extLst>
          </xdr:cNvPr>
          <xdr:cNvSpPr/>
        </xdr:nvSpPr>
        <xdr:spPr>
          <a:xfrm>
            <a:off x="7181850" y="51625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sp macro="" textlink="">
        <xdr:nvSpPr>
          <xdr:cNvPr id="167" name="Flödesschema: Extrahera 166">
            <a:extLst>
              <a:ext uri="{FF2B5EF4-FFF2-40B4-BE49-F238E27FC236}">
                <a16:creationId xmlns:a16="http://schemas.microsoft.com/office/drawing/2014/main" id="{00000000-0008-0000-0200-0000A7000000}"/>
              </a:ext>
            </a:extLst>
          </xdr:cNvPr>
          <xdr:cNvSpPr/>
        </xdr:nvSpPr>
        <xdr:spPr>
          <a:xfrm rot="5400000">
            <a:off x="6848475" y="48196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grpSp>
    <xdr:clientData/>
  </xdr:twoCellAnchor>
  <xdr:twoCellAnchor>
    <xdr:from>
      <xdr:col>15</xdr:col>
      <xdr:colOff>561974</xdr:colOff>
      <xdr:row>23</xdr:row>
      <xdr:rowOff>30622</xdr:rowOff>
    </xdr:from>
    <xdr:to>
      <xdr:col>17</xdr:col>
      <xdr:colOff>502332</xdr:colOff>
      <xdr:row>24</xdr:row>
      <xdr:rowOff>89533</xdr:rowOff>
    </xdr:to>
    <xdr:cxnSp macro="">
      <xdr:nvCxnSpPr>
        <xdr:cNvPr id="170" name="Koppling: vinklad 169">
          <a:extLst>
            <a:ext uri="{FF2B5EF4-FFF2-40B4-BE49-F238E27FC236}">
              <a16:creationId xmlns:a16="http://schemas.microsoft.com/office/drawing/2014/main" id="{00000000-0008-0000-0200-0000AA000000}"/>
            </a:ext>
          </a:extLst>
        </xdr:cNvPr>
        <xdr:cNvCxnSpPr>
          <a:stCxn id="9" idx="2"/>
          <a:endCxn id="27666" idx="2"/>
        </xdr:cNvCxnSpPr>
      </xdr:nvCxnSpPr>
      <xdr:spPr>
        <a:xfrm flipV="1">
          <a:off x="9705974" y="3754897"/>
          <a:ext cx="1159558" cy="220836"/>
        </a:xfrm>
        <a:prstGeom prst="bentConnector2">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38100</xdr:colOff>
      <xdr:row>21</xdr:row>
      <xdr:rowOff>85725</xdr:rowOff>
    </xdr:from>
    <xdr:to>
      <xdr:col>19</xdr:col>
      <xdr:colOff>76200</xdr:colOff>
      <xdr:row>22</xdr:row>
      <xdr:rowOff>45133</xdr:rowOff>
    </xdr:to>
    <xdr:cxnSp macro="">
      <xdr:nvCxnSpPr>
        <xdr:cNvPr id="55" name="Koppling: vinklad 54">
          <a:extLst>
            <a:ext uri="{FF2B5EF4-FFF2-40B4-BE49-F238E27FC236}">
              <a16:creationId xmlns:a16="http://schemas.microsoft.com/office/drawing/2014/main" id="{EADCE11F-480C-4000-8A98-F0CD8A795E00}"/>
            </a:ext>
          </a:extLst>
        </xdr:cNvPr>
        <xdr:cNvCxnSpPr>
          <a:stCxn id="167" idx="2"/>
        </xdr:cNvCxnSpPr>
      </xdr:nvCxnSpPr>
      <xdr:spPr>
        <a:xfrm flipV="1">
          <a:off x="11010900" y="3486150"/>
          <a:ext cx="647700" cy="121333"/>
        </a:xfrm>
        <a:prstGeom prst="bentConnector3">
          <a:avLst>
            <a:gd name="adj1" fmla="val 5000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284229</xdr:colOff>
      <xdr:row>4</xdr:row>
      <xdr:rowOff>26448</xdr:rowOff>
    </xdr:from>
    <xdr:to>
      <xdr:col>11</xdr:col>
      <xdr:colOff>542925</xdr:colOff>
      <xdr:row>6</xdr:row>
      <xdr:rowOff>2635</xdr:rowOff>
    </xdr:to>
    <xdr:sp macro="" textlink="">
      <xdr:nvSpPr>
        <xdr:cNvPr id="58" name="textruta 57">
          <a:extLst>
            <a:ext uri="{FF2B5EF4-FFF2-40B4-BE49-F238E27FC236}">
              <a16:creationId xmlns:a16="http://schemas.microsoft.com/office/drawing/2014/main" id="{03C3D56B-CA86-4787-81BD-ECAB714722A8}"/>
            </a:ext>
          </a:extLst>
        </xdr:cNvPr>
        <xdr:cNvSpPr txBox="1"/>
      </xdr:nvSpPr>
      <xdr:spPr>
        <a:xfrm>
          <a:off x="5161029" y="674148"/>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A: pipe 300</a:t>
          </a:r>
        </a:p>
      </xdr:txBody>
    </xdr:sp>
    <xdr:clientData/>
  </xdr:twoCellAnchor>
  <xdr:twoCellAnchor>
    <xdr:from>
      <xdr:col>15</xdr:col>
      <xdr:colOff>516255</xdr:colOff>
      <xdr:row>24</xdr:row>
      <xdr:rowOff>66674</xdr:rowOff>
    </xdr:from>
    <xdr:to>
      <xdr:col>15</xdr:col>
      <xdr:colOff>561974</xdr:colOff>
      <xdr:row>24</xdr:row>
      <xdr:rowOff>112393</xdr:rowOff>
    </xdr:to>
    <xdr:sp macro="" textlink="">
      <xdr:nvSpPr>
        <xdr:cNvPr id="9" name="Rektangel 8">
          <a:extLst>
            <a:ext uri="{FF2B5EF4-FFF2-40B4-BE49-F238E27FC236}">
              <a16:creationId xmlns:a16="http://schemas.microsoft.com/office/drawing/2014/main" id="{ADBE279A-FBAB-4F92-A62D-06D46FF32600}"/>
            </a:ext>
          </a:extLst>
        </xdr:cNvPr>
        <xdr:cNvSpPr/>
      </xdr:nvSpPr>
      <xdr:spPr>
        <a:xfrm rot="5400000" flipH="1" flipV="1">
          <a:off x="9660255" y="3952874"/>
          <a:ext cx="45719" cy="45719"/>
        </a:xfrm>
        <a:prstGeom prst="rect">
          <a:avLst/>
        </a:prstGeom>
        <a:solidFill>
          <a:schemeClr val="tx2">
            <a:lumMod val="60000"/>
            <a:lumOff val="4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536047</xdr:colOff>
      <xdr:row>22</xdr:row>
      <xdr:rowOff>84358</xdr:rowOff>
    </xdr:from>
    <xdr:to>
      <xdr:col>15</xdr:col>
      <xdr:colOff>539115</xdr:colOff>
      <xdr:row>24</xdr:row>
      <xdr:rowOff>66674</xdr:rowOff>
    </xdr:to>
    <xdr:cxnSp macro="">
      <xdr:nvCxnSpPr>
        <xdr:cNvPr id="62" name="Koppling: vinklad 61">
          <a:extLst>
            <a:ext uri="{FF2B5EF4-FFF2-40B4-BE49-F238E27FC236}">
              <a16:creationId xmlns:a16="http://schemas.microsoft.com/office/drawing/2014/main" id="{A7F75649-A5D8-4083-99BA-836BF86B7F0A}"/>
            </a:ext>
          </a:extLst>
        </xdr:cNvPr>
        <xdr:cNvCxnSpPr>
          <a:stCxn id="9" idx="3"/>
          <a:endCxn id="144" idx="0"/>
        </xdr:cNvCxnSpPr>
      </xdr:nvCxnSpPr>
      <xdr:spPr>
        <a:xfrm rot="16200000" flipV="1">
          <a:off x="9528498" y="3798257"/>
          <a:ext cx="306166" cy="3068"/>
        </a:xfrm>
        <a:prstGeom prst="bentConnector3">
          <a:avLst>
            <a:gd name="adj1" fmla="val 50000"/>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466725</xdr:colOff>
      <xdr:row>1</xdr:row>
      <xdr:rowOff>142875</xdr:rowOff>
    </xdr:from>
    <xdr:to>
      <xdr:col>6</xdr:col>
      <xdr:colOff>228600</xdr:colOff>
      <xdr:row>3</xdr:row>
      <xdr:rowOff>133350</xdr:rowOff>
    </xdr:to>
    <xdr:sp macro="" textlink="">
      <xdr:nvSpPr>
        <xdr:cNvPr id="16" name="Rektangel 15">
          <a:extLst>
            <a:ext uri="{FF2B5EF4-FFF2-40B4-BE49-F238E27FC236}">
              <a16:creationId xmlns:a16="http://schemas.microsoft.com/office/drawing/2014/main" id="{3D2E9845-F11D-40BC-9D7F-1E0750EF2F7C}"/>
            </a:ext>
          </a:extLst>
        </xdr:cNvPr>
        <xdr:cNvSpPr/>
      </xdr:nvSpPr>
      <xdr:spPr>
        <a:xfrm>
          <a:off x="3514725" y="304800"/>
          <a:ext cx="371475" cy="314325"/>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1a</a:t>
          </a:r>
        </a:p>
      </xdr:txBody>
    </xdr:sp>
    <xdr:clientData/>
  </xdr:twoCellAnchor>
  <xdr:twoCellAnchor>
    <xdr:from>
      <xdr:col>7</xdr:col>
      <xdr:colOff>409575</xdr:colOff>
      <xdr:row>11</xdr:row>
      <xdr:rowOff>1</xdr:rowOff>
    </xdr:from>
    <xdr:to>
      <xdr:col>8</xdr:col>
      <xdr:colOff>171450</xdr:colOff>
      <xdr:row>12</xdr:row>
      <xdr:rowOff>66676</xdr:rowOff>
    </xdr:to>
    <xdr:sp macro="" textlink="">
      <xdr:nvSpPr>
        <xdr:cNvPr id="152" name="Rektangel 151">
          <a:extLst>
            <a:ext uri="{FF2B5EF4-FFF2-40B4-BE49-F238E27FC236}">
              <a16:creationId xmlns:a16="http://schemas.microsoft.com/office/drawing/2014/main" id="{61A752AE-E0D8-4DCF-ACA1-03909ADCAED4}"/>
            </a:ext>
          </a:extLst>
        </xdr:cNvPr>
        <xdr:cNvSpPr/>
      </xdr:nvSpPr>
      <xdr:spPr>
        <a:xfrm>
          <a:off x="4676775" y="1781176"/>
          <a:ext cx="371475" cy="22860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1b</a:t>
          </a:r>
        </a:p>
      </xdr:txBody>
    </xdr:sp>
    <xdr:clientData/>
  </xdr:twoCellAnchor>
  <xdr:twoCellAnchor>
    <xdr:from>
      <xdr:col>6</xdr:col>
      <xdr:colOff>247651</xdr:colOff>
      <xdr:row>10</xdr:row>
      <xdr:rowOff>28576</xdr:rowOff>
    </xdr:from>
    <xdr:to>
      <xdr:col>6</xdr:col>
      <xdr:colOff>571501</xdr:colOff>
      <xdr:row>11</xdr:row>
      <xdr:rowOff>114301</xdr:rowOff>
    </xdr:to>
    <xdr:sp macro="" textlink="">
      <xdr:nvSpPr>
        <xdr:cNvPr id="153" name="Rektangel 152">
          <a:extLst>
            <a:ext uri="{FF2B5EF4-FFF2-40B4-BE49-F238E27FC236}">
              <a16:creationId xmlns:a16="http://schemas.microsoft.com/office/drawing/2014/main" id="{FB2A3A52-259F-4053-8099-65BDB92D105A}"/>
            </a:ext>
          </a:extLst>
        </xdr:cNvPr>
        <xdr:cNvSpPr/>
      </xdr:nvSpPr>
      <xdr:spPr>
        <a:xfrm>
          <a:off x="3905251" y="1647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1c</a:t>
          </a:r>
        </a:p>
      </xdr:txBody>
    </xdr:sp>
    <xdr:clientData/>
  </xdr:twoCellAnchor>
  <xdr:twoCellAnchor>
    <xdr:from>
      <xdr:col>5</xdr:col>
      <xdr:colOff>504826</xdr:colOff>
      <xdr:row>12</xdr:row>
      <xdr:rowOff>85726</xdr:rowOff>
    </xdr:from>
    <xdr:to>
      <xdr:col>6</xdr:col>
      <xdr:colOff>219076</xdr:colOff>
      <xdr:row>14</xdr:row>
      <xdr:rowOff>9526</xdr:rowOff>
    </xdr:to>
    <xdr:sp macro="" textlink="">
      <xdr:nvSpPr>
        <xdr:cNvPr id="154" name="Rektangel 153">
          <a:extLst>
            <a:ext uri="{FF2B5EF4-FFF2-40B4-BE49-F238E27FC236}">
              <a16:creationId xmlns:a16="http://schemas.microsoft.com/office/drawing/2014/main" id="{0C4BBE5E-80E1-4671-917E-2399A0AD4ED0}"/>
            </a:ext>
          </a:extLst>
        </xdr:cNvPr>
        <xdr:cNvSpPr/>
      </xdr:nvSpPr>
      <xdr:spPr>
        <a:xfrm>
          <a:off x="3552826" y="2028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1d</a:t>
          </a:r>
        </a:p>
      </xdr:txBody>
    </xdr:sp>
    <xdr:clientData/>
  </xdr:twoCellAnchor>
  <xdr:twoCellAnchor>
    <xdr:from>
      <xdr:col>6</xdr:col>
      <xdr:colOff>123826</xdr:colOff>
      <xdr:row>19</xdr:row>
      <xdr:rowOff>85726</xdr:rowOff>
    </xdr:from>
    <xdr:to>
      <xdr:col>6</xdr:col>
      <xdr:colOff>447676</xdr:colOff>
      <xdr:row>21</xdr:row>
      <xdr:rowOff>9526</xdr:rowOff>
    </xdr:to>
    <xdr:sp macro="" textlink="">
      <xdr:nvSpPr>
        <xdr:cNvPr id="155" name="Rektangel 154">
          <a:extLst>
            <a:ext uri="{FF2B5EF4-FFF2-40B4-BE49-F238E27FC236}">
              <a16:creationId xmlns:a16="http://schemas.microsoft.com/office/drawing/2014/main" id="{0D0B76FC-5A72-46C4-AF85-56DA94450720}"/>
            </a:ext>
          </a:extLst>
        </xdr:cNvPr>
        <xdr:cNvSpPr/>
      </xdr:nvSpPr>
      <xdr:spPr>
        <a:xfrm>
          <a:off x="3781426" y="3162301"/>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1e</a:t>
          </a:r>
        </a:p>
      </xdr:txBody>
    </xdr:sp>
    <xdr:clientData/>
  </xdr:twoCellAnchor>
  <xdr:twoCellAnchor>
    <xdr:from>
      <xdr:col>16</xdr:col>
      <xdr:colOff>361950</xdr:colOff>
      <xdr:row>10</xdr:row>
      <xdr:rowOff>19050</xdr:rowOff>
    </xdr:from>
    <xdr:to>
      <xdr:col>17</xdr:col>
      <xdr:colOff>123825</xdr:colOff>
      <xdr:row>12</xdr:row>
      <xdr:rowOff>9525</xdr:rowOff>
    </xdr:to>
    <xdr:sp macro="" textlink="">
      <xdr:nvSpPr>
        <xdr:cNvPr id="156" name="Rektangel 155">
          <a:extLst>
            <a:ext uri="{FF2B5EF4-FFF2-40B4-BE49-F238E27FC236}">
              <a16:creationId xmlns:a16="http://schemas.microsoft.com/office/drawing/2014/main" id="{D60CCC75-D741-43FF-B47E-53F13CEA215F}"/>
            </a:ext>
          </a:extLst>
        </xdr:cNvPr>
        <xdr:cNvSpPr/>
      </xdr:nvSpPr>
      <xdr:spPr>
        <a:xfrm>
          <a:off x="10115550" y="1638300"/>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2a</a:t>
          </a:r>
        </a:p>
      </xdr:txBody>
    </xdr:sp>
    <xdr:clientData/>
  </xdr:twoCellAnchor>
  <xdr:twoCellAnchor>
    <xdr:from>
      <xdr:col>8</xdr:col>
      <xdr:colOff>209550</xdr:colOff>
      <xdr:row>25</xdr:row>
      <xdr:rowOff>19050</xdr:rowOff>
    </xdr:from>
    <xdr:to>
      <xdr:col>8</xdr:col>
      <xdr:colOff>581025</xdr:colOff>
      <xdr:row>27</xdr:row>
      <xdr:rowOff>9525</xdr:rowOff>
    </xdr:to>
    <xdr:sp macro="" textlink="">
      <xdr:nvSpPr>
        <xdr:cNvPr id="157" name="Rektangel 156">
          <a:extLst>
            <a:ext uri="{FF2B5EF4-FFF2-40B4-BE49-F238E27FC236}">
              <a16:creationId xmlns:a16="http://schemas.microsoft.com/office/drawing/2014/main" id="{2C62DA06-6E53-48DB-AABE-59FCE692F0C9}"/>
            </a:ext>
          </a:extLst>
        </xdr:cNvPr>
        <xdr:cNvSpPr/>
      </xdr:nvSpPr>
      <xdr:spPr>
        <a:xfrm>
          <a:off x="5086350" y="4067175"/>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2b</a:t>
          </a:r>
        </a:p>
      </xdr:txBody>
    </xdr:sp>
    <xdr:clientData/>
  </xdr:twoCellAnchor>
  <xdr:twoCellAnchor>
    <xdr:from>
      <xdr:col>16</xdr:col>
      <xdr:colOff>514350</xdr:colOff>
      <xdr:row>23</xdr:row>
      <xdr:rowOff>76200</xdr:rowOff>
    </xdr:from>
    <xdr:to>
      <xdr:col>17</xdr:col>
      <xdr:colOff>276225</xdr:colOff>
      <xdr:row>25</xdr:row>
      <xdr:rowOff>66675</xdr:rowOff>
    </xdr:to>
    <xdr:sp macro="" textlink="">
      <xdr:nvSpPr>
        <xdr:cNvPr id="163" name="Rektangel 162">
          <a:extLst>
            <a:ext uri="{FF2B5EF4-FFF2-40B4-BE49-F238E27FC236}">
              <a16:creationId xmlns:a16="http://schemas.microsoft.com/office/drawing/2014/main" id="{A38F2B60-AC2D-449B-B8C2-942F95CC67AA}"/>
            </a:ext>
          </a:extLst>
        </xdr:cNvPr>
        <xdr:cNvSpPr/>
      </xdr:nvSpPr>
      <xdr:spPr>
        <a:xfrm>
          <a:off x="10267950" y="3800475"/>
          <a:ext cx="371475" cy="314325"/>
        </a:xfrm>
        <a:prstGeom prst="rect">
          <a:avLst/>
        </a:prstGeom>
        <a:solidFill>
          <a:sysClr val="window" lastClr="FFFFFF"/>
        </a:solidFill>
        <a:ln w="19050">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ysClr val="windowText" lastClr="000000"/>
              </a:solidFill>
            </a:rPr>
            <a:t>3</a:t>
          </a:r>
        </a:p>
      </xdr:txBody>
    </xdr:sp>
    <xdr:clientData/>
  </xdr:twoCellAnchor>
  <xdr:twoCellAnchor>
    <xdr:from>
      <xdr:col>17</xdr:col>
      <xdr:colOff>527623</xdr:colOff>
      <xdr:row>22</xdr:row>
      <xdr:rowOff>150881</xdr:rowOff>
    </xdr:from>
    <xdr:to>
      <xdr:col>19</xdr:col>
      <xdr:colOff>122811</xdr:colOff>
      <xdr:row>25</xdr:row>
      <xdr:rowOff>133350</xdr:rowOff>
    </xdr:to>
    <xdr:sp macro="" textlink="">
      <xdr:nvSpPr>
        <xdr:cNvPr id="164" name="textruta 163">
          <a:extLst>
            <a:ext uri="{FF2B5EF4-FFF2-40B4-BE49-F238E27FC236}">
              <a16:creationId xmlns:a16="http://schemas.microsoft.com/office/drawing/2014/main" id="{42F37517-FFDB-413C-860C-79E0EFE6FC9A}"/>
            </a:ext>
          </a:extLst>
        </xdr:cNvPr>
        <xdr:cNvSpPr txBox="1"/>
      </xdr:nvSpPr>
      <xdr:spPr>
        <a:xfrm>
          <a:off x="10890823" y="37132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711-V9829</a:t>
          </a:r>
        </a:p>
        <a:p>
          <a:pPr algn="ctr"/>
          <a:r>
            <a:rPr lang="sv-SE" sz="1100"/>
            <a:t>(253)</a:t>
          </a:r>
        </a:p>
      </xdr:txBody>
    </xdr:sp>
    <xdr:clientData/>
  </xdr:twoCellAnchor>
  <xdr:twoCellAnchor>
    <xdr:from>
      <xdr:col>5</xdr:col>
      <xdr:colOff>9524</xdr:colOff>
      <xdr:row>21</xdr:row>
      <xdr:rowOff>23811</xdr:rowOff>
    </xdr:from>
    <xdr:to>
      <xdr:col>5</xdr:col>
      <xdr:colOff>209549</xdr:colOff>
      <xdr:row>21</xdr:row>
      <xdr:rowOff>123824</xdr:rowOff>
    </xdr:to>
    <xdr:sp macro="" textlink="">
      <xdr:nvSpPr>
        <xdr:cNvPr id="169" name="Flödesschema: Sammanför och sortera 168">
          <a:extLst>
            <a:ext uri="{FF2B5EF4-FFF2-40B4-BE49-F238E27FC236}">
              <a16:creationId xmlns:a16="http://schemas.microsoft.com/office/drawing/2014/main" id="{66701F99-35E8-420D-87F8-7EC5518171D7}"/>
            </a:ext>
          </a:extLst>
        </xdr:cNvPr>
        <xdr:cNvSpPr/>
      </xdr:nvSpPr>
      <xdr:spPr>
        <a:xfrm rot="5400000">
          <a:off x="3107530" y="3374230"/>
          <a:ext cx="100013" cy="200025"/>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3</xdr:col>
      <xdr:colOff>577952</xdr:colOff>
      <xdr:row>21</xdr:row>
      <xdr:rowOff>27345</xdr:rowOff>
    </xdr:from>
    <xdr:to>
      <xdr:col>4</xdr:col>
      <xdr:colOff>168377</xdr:colOff>
      <xdr:row>21</xdr:row>
      <xdr:rowOff>126437</xdr:rowOff>
    </xdr:to>
    <xdr:sp macro="" textlink="">
      <xdr:nvSpPr>
        <xdr:cNvPr id="171" name="Flödesschema: Sammanför och sortera 170">
          <a:extLst>
            <a:ext uri="{FF2B5EF4-FFF2-40B4-BE49-F238E27FC236}">
              <a16:creationId xmlns:a16="http://schemas.microsoft.com/office/drawing/2014/main" id="{5C920946-C5B7-4E6C-813E-BD069A14DBA0}"/>
            </a:ext>
          </a:extLst>
        </xdr:cNvPr>
        <xdr:cNvSpPr/>
      </xdr:nvSpPr>
      <xdr:spPr>
        <a:xfrm rot="5400000">
          <a:off x="2452917" y="3397275"/>
          <a:ext cx="99092" cy="198796"/>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4</xdr:col>
      <xdr:colOff>168377</xdr:colOff>
      <xdr:row>21</xdr:row>
      <xdr:rowOff>73817</xdr:rowOff>
    </xdr:from>
    <xdr:to>
      <xdr:col>5</xdr:col>
      <xdr:colOff>9524</xdr:colOff>
      <xdr:row>21</xdr:row>
      <xdr:rowOff>76890</xdr:rowOff>
    </xdr:to>
    <xdr:cxnSp macro="">
      <xdr:nvCxnSpPr>
        <xdr:cNvPr id="172" name="Koppling: vinklad 171">
          <a:extLst>
            <a:ext uri="{FF2B5EF4-FFF2-40B4-BE49-F238E27FC236}">
              <a16:creationId xmlns:a16="http://schemas.microsoft.com/office/drawing/2014/main" id="{770BB7CA-8CF8-40BD-B339-DE45EBD46C03}"/>
            </a:ext>
          </a:extLst>
        </xdr:cNvPr>
        <xdr:cNvCxnSpPr>
          <a:stCxn id="169" idx="2"/>
          <a:endCxn id="171" idx="0"/>
        </xdr:cNvCxnSpPr>
      </xdr:nvCxnSpPr>
      <xdr:spPr>
        <a:xfrm rot="10800000" flipV="1">
          <a:off x="2601861" y="3493599"/>
          <a:ext cx="449518" cy="3073"/>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428624</xdr:colOff>
      <xdr:row>21</xdr:row>
      <xdr:rowOff>112781</xdr:rowOff>
    </xdr:from>
    <xdr:to>
      <xdr:col>5</xdr:col>
      <xdr:colOff>399035</xdr:colOff>
      <xdr:row>25</xdr:row>
      <xdr:rowOff>66675</xdr:rowOff>
    </xdr:to>
    <xdr:sp macro="" textlink="">
      <xdr:nvSpPr>
        <xdr:cNvPr id="173" name="textruta 172">
          <a:extLst>
            <a:ext uri="{FF2B5EF4-FFF2-40B4-BE49-F238E27FC236}">
              <a16:creationId xmlns:a16="http://schemas.microsoft.com/office/drawing/2014/main" id="{B8F66890-E4C7-448A-BB9F-5917F0EC0515}"/>
            </a:ext>
          </a:extLst>
        </xdr:cNvPr>
        <xdr:cNvSpPr txBox="1"/>
      </xdr:nvSpPr>
      <xdr:spPr>
        <a:xfrm>
          <a:off x="2867024" y="3513206"/>
          <a:ext cx="580011"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9390</a:t>
          </a:r>
        </a:p>
        <a:p>
          <a:pPr algn="ctr"/>
          <a:r>
            <a:rPr lang="sv-SE" sz="1100"/>
            <a:t>(119)</a:t>
          </a:r>
        </a:p>
      </xdr:txBody>
    </xdr:sp>
    <xdr:clientData/>
  </xdr:twoCellAnchor>
  <xdr:twoCellAnchor>
    <xdr:from>
      <xdr:col>3</xdr:col>
      <xdr:colOff>152400</xdr:colOff>
      <xdr:row>21</xdr:row>
      <xdr:rowOff>141356</xdr:rowOff>
    </xdr:from>
    <xdr:to>
      <xdr:col>4</xdr:col>
      <xdr:colOff>513335</xdr:colOff>
      <xdr:row>25</xdr:row>
      <xdr:rowOff>95250</xdr:rowOff>
    </xdr:to>
    <xdr:sp macro="" textlink="">
      <xdr:nvSpPr>
        <xdr:cNvPr id="174" name="textruta 173">
          <a:extLst>
            <a:ext uri="{FF2B5EF4-FFF2-40B4-BE49-F238E27FC236}">
              <a16:creationId xmlns:a16="http://schemas.microsoft.com/office/drawing/2014/main" id="{7070D5DC-243C-492A-95AA-CFAFC19AA950}"/>
            </a:ext>
          </a:extLst>
        </xdr:cNvPr>
        <xdr:cNvSpPr txBox="1"/>
      </xdr:nvSpPr>
      <xdr:spPr>
        <a:xfrm>
          <a:off x="1981200" y="3541781"/>
          <a:ext cx="970535"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PCV-766</a:t>
          </a:r>
        </a:p>
        <a:p>
          <a:pPr algn="ctr"/>
          <a:r>
            <a:rPr lang="sv-SE" sz="1100"/>
            <a:t>(123)</a:t>
          </a:r>
        </a:p>
      </xdr:txBody>
    </xdr:sp>
    <xdr:clientData/>
  </xdr:twoCellAnchor>
  <xdr:twoCellAnchor>
    <xdr:from>
      <xdr:col>2</xdr:col>
      <xdr:colOff>317225</xdr:colOff>
      <xdr:row>14</xdr:row>
      <xdr:rowOff>3314</xdr:rowOff>
    </xdr:from>
    <xdr:to>
      <xdr:col>3</xdr:col>
      <xdr:colOff>471281</xdr:colOff>
      <xdr:row>18</xdr:row>
      <xdr:rowOff>102705</xdr:rowOff>
    </xdr:to>
    <xdr:sp macro="" textlink="">
      <xdr:nvSpPr>
        <xdr:cNvPr id="175" name="Rektangel: rundade hörn 174">
          <a:extLst>
            <a:ext uri="{FF2B5EF4-FFF2-40B4-BE49-F238E27FC236}">
              <a16:creationId xmlns:a16="http://schemas.microsoft.com/office/drawing/2014/main" id="{06E33E0B-DC70-4CFE-9A3E-248054A0385B}"/>
            </a:ext>
          </a:extLst>
        </xdr:cNvPr>
        <xdr:cNvSpPr/>
      </xdr:nvSpPr>
      <xdr:spPr>
        <a:xfrm flipH="1">
          <a:off x="1536425" y="2270264"/>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3</xdr:col>
      <xdr:colOff>90068</xdr:colOff>
      <xdr:row>18</xdr:row>
      <xdr:rowOff>102705</xdr:rowOff>
    </xdr:from>
    <xdr:to>
      <xdr:col>3</xdr:col>
      <xdr:colOff>577953</xdr:colOff>
      <xdr:row>21</xdr:row>
      <xdr:rowOff>76891</xdr:rowOff>
    </xdr:to>
    <xdr:cxnSp macro="">
      <xdr:nvCxnSpPr>
        <xdr:cNvPr id="176" name="Koppling: vinklad 175">
          <a:extLst>
            <a:ext uri="{FF2B5EF4-FFF2-40B4-BE49-F238E27FC236}">
              <a16:creationId xmlns:a16="http://schemas.microsoft.com/office/drawing/2014/main" id="{63D2997D-9D51-4EDC-832D-677DDBD9502A}"/>
            </a:ext>
          </a:extLst>
        </xdr:cNvPr>
        <xdr:cNvCxnSpPr>
          <a:stCxn id="171" idx="2"/>
          <a:endCxn id="175" idx="2"/>
        </xdr:cNvCxnSpPr>
      </xdr:nvCxnSpPr>
      <xdr:spPr>
        <a:xfrm rot="10800000">
          <a:off x="1915181" y="3033947"/>
          <a:ext cx="487885" cy="462726"/>
        </a:xfrm>
        <a:prstGeom prst="bentConnector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8BBE0-A5E1-47FD-9459-E52B36A6179D}">
  <sheetPr codeName="Blad31">
    <pageSetUpPr fitToPage="1"/>
  </sheetPr>
  <dimension ref="A1:AC275"/>
  <sheetViews>
    <sheetView zoomScaleNormal="100" workbookViewId="0">
      <pane xSplit="22" ySplit="2" topLeftCell="W28" activePane="bottomRight" state="frozenSplit"/>
      <selection pane="topRight" activeCell="M1" sqref="M1"/>
      <selection pane="bottomLeft" activeCell="A3" sqref="A3"/>
      <selection pane="bottomRight" activeCell="J50" sqref="J50"/>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304</v>
      </c>
      <c r="B1" s="2" t="s">
        <v>321</v>
      </c>
      <c r="C1" s="3" t="s">
        <v>305</v>
      </c>
      <c r="D1" s="3" t="s">
        <v>3</v>
      </c>
      <c r="E1" s="4" t="s">
        <v>4</v>
      </c>
      <c r="F1" s="5" t="s">
        <v>306</v>
      </c>
      <c r="G1" s="5" t="s">
        <v>307</v>
      </c>
      <c r="H1" s="5" t="s">
        <v>7</v>
      </c>
      <c r="I1" s="5" t="s">
        <v>8</v>
      </c>
      <c r="J1" s="1" t="s">
        <v>296</v>
      </c>
      <c r="K1" s="1" t="s">
        <v>308</v>
      </c>
      <c r="L1" s="6" t="s">
        <v>303</v>
      </c>
      <c r="M1" s="2" t="s">
        <v>309</v>
      </c>
      <c r="N1" s="2" t="s">
        <v>310</v>
      </c>
      <c r="O1" s="7" t="s">
        <v>311</v>
      </c>
      <c r="P1" s="7" t="s">
        <v>312</v>
      </c>
      <c r="Q1" s="8" t="s">
        <v>327</v>
      </c>
      <c r="R1" s="9" t="s">
        <v>313</v>
      </c>
      <c r="S1" s="9" t="s">
        <v>314</v>
      </c>
      <c r="T1" s="9" t="s">
        <v>315</v>
      </c>
      <c r="U1" s="9" t="s">
        <v>329</v>
      </c>
      <c r="V1" s="9" t="s">
        <v>330</v>
      </c>
      <c r="W1" s="9" t="s">
        <v>316</v>
      </c>
      <c r="X1" s="5" t="s">
        <v>22</v>
      </c>
      <c r="Y1" s="9" t="s">
        <v>23</v>
      </c>
      <c r="Z1" s="9"/>
      <c r="AA1" s="10"/>
    </row>
    <row r="2" spans="1:27" ht="27" customHeight="1" x14ac:dyDescent="0.3">
      <c r="A2" s="64" t="s">
        <v>272</v>
      </c>
      <c r="B2" s="59">
        <v>1</v>
      </c>
      <c r="C2" s="60"/>
      <c r="D2" s="65" t="s">
        <v>325</v>
      </c>
      <c r="E2" s="66" t="str">
        <f>INDEX(TestMatrixNames,CurrentIndex)</f>
        <v>Case1</v>
      </c>
      <c r="F2" s="94" t="s">
        <v>326</v>
      </c>
      <c r="G2" s="66" t="str">
        <f>INDEX(TestMatrixTitles,CurrentIndex)</f>
        <v>Design - default-default</v>
      </c>
      <c r="H2" s="61"/>
      <c r="I2" s="61"/>
      <c r="J2" s="62"/>
      <c r="K2" s="58"/>
      <c r="L2" s="58"/>
      <c r="M2" s="59"/>
      <c r="N2" s="59"/>
      <c r="O2" s="59"/>
      <c r="P2" s="59"/>
      <c r="Q2" s="63"/>
      <c r="R2" s="60"/>
      <c r="S2" s="61"/>
      <c r="T2" s="61"/>
      <c r="U2" s="61"/>
      <c r="V2" s="61"/>
      <c r="W2" s="58"/>
      <c r="X2" s="61"/>
      <c r="Y2" s="61"/>
      <c r="Z2" s="58"/>
      <c r="AA2" s="58"/>
    </row>
    <row r="3" spans="1:27" ht="24" x14ac:dyDescent="0.4">
      <c r="A3" s="18" t="s">
        <v>291</v>
      </c>
      <c r="J3" s="16"/>
      <c r="R3" s="13"/>
    </row>
    <row r="4" spans="1:27" ht="18.75" x14ac:dyDescent="0.3">
      <c r="A4" s="38" t="s">
        <v>302</v>
      </c>
      <c r="B4" s="106" t="str">
        <f>HYPERLINK(INDEX(TestMatrixFilenames,CurrentIndex))</f>
        <v>Case1\Case1.i</v>
      </c>
      <c r="E4" s="112" t="str">
        <f>CONCATENATE("Create ","""",B4,"""")</f>
        <v>Create "Case1\Case1.i"</v>
      </c>
      <c r="R4" s="13"/>
    </row>
    <row r="5" spans="1:27" x14ac:dyDescent="0.25">
      <c r="A5" s="26" t="s">
        <v>24</v>
      </c>
      <c r="B5" s="12" t="str">
        <f>INDEX(TestMatrixNames,CurrentIndex)</f>
        <v>Case1</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322</v>
      </c>
      <c r="D7" s="13" t="s">
        <v>323</v>
      </c>
      <c r="R7" s="13"/>
      <c r="T7" s="23"/>
      <c r="U7" s="23"/>
      <c r="V7" s="23"/>
      <c r="W7" s="27"/>
    </row>
    <row r="8" spans="1:27" x14ac:dyDescent="0.25">
      <c r="A8" s="26" t="s">
        <v>27</v>
      </c>
      <c r="B8" s="12">
        <v>100</v>
      </c>
      <c r="C8" s="12">
        <v>1</v>
      </c>
      <c r="D8" s="96">
        <v>99.39</v>
      </c>
      <c r="E8" s="14" t="s">
        <v>361</v>
      </c>
      <c r="F8" s="15" t="str">
        <f>INDEX(TestMatrixVariableValues,CurrentIndex,MATCH("FluidType",TestMatrixVariableNames,0))</f>
        <v>h2o</v>
      </c>
      <c r="R8" s="13"/>
      <c r="T8" s="23"/>
      <c r="U8" s="23"/>
      <c r="V8" s="23"/>
    </row>
    <row r="9" spans="1:27" x14ac:dyDescent="0.25">
      <c r="A9" s="26" t="s">
        <v>273</v>
      </c>
      <c r="B9" s="90">
        <v>4.5000000000000003E-5</v>
      </c>
      <c r="C9" s="12" t="s">
        <v>274</v>
      </c>
      <c r="R9" s="13"/>
      <c r="T9" s="23"/>
      <c r="U9" s="23"/>
      <c r="V9" s="23"/>
    </row>
    <row r="10" spans="1:27" x14ac:dyDescent="0.25">
      <c r="A10" s="28" t="s">
        <v>29</v>
      </c>
      <c r="B10" s="23">
        <v>0.2</v>
      </c>
      <c r="C10" s="21" t="s">
        <v>274</v>
      </c>
      <c r="D10" s="21"/>
      <c r="E10" s="22"/>
      <c r="F10" s="23"/>
      <c r="R10" s="13"/>
      <c r="T10" s="23"/>
      <c r="U10" s="23"/>
      <c r="V10" s="23"/>
    </row>
    <row r="11" spans="1:27" x14ac:dyDescent="0.25">
      <c r="A11" s="26" t="s">
        <v>30</v>
      </c>
      <c r="B11" s="12">
        <v>200</v>
      </c>
      <c r="D11" s="13" t="s">
        <v>319</v>
      </c>
      <c r="G11" s="23"/>
      <c r="H11" s="23"/>
      <c r="I11" s="23"/>
      <c r="J11" s="24"/>
      <c r="K11" s="24"/>
      <c r="L11" s="24"/>
      <c r="M11" s="20"/>
      <c r="N11" s="20"/>
      <c r="O11" s="20"/>
      <c r="P11" s="20"/>
      <c r="Q11" s="25"/>
      <c r="R11" s="21"/>
      <c r="S11" s="23"/>
      <c r="T11" s="23"/>
      <c r="U11" s="23"/>
      <c r="V11" s="23"/>
    </row>
    <row r="12" spans="1:27" x14ac:dyDescent="0.25">
      <c r="A12" s="26" t="s">
        <v>31</v>
      </c>
      <c r="B12" s="12">
        <v>999</v>
      </c>
      <c r="D12" s="13" t="s">
        <v>320</v>
      </c>
      <c r="R12" s="13"/>
      <c r="T12" s="23"/>
      <c r="U12" s="23"/>
      <c r="V12" s="23"/>
    </row>
    <row r="13" spans="1:27" x14ac:dyDescent="0.25">
      <c r="A13" s="26" t="s">
        <v>32</v>
      </c>
      <c r="B13" s="12">
        <v>0</v>
      </c>
      <c r="D13" s="13" t="s">
        <v>300</v>
      </c>
      <c r="R13" s="13"/>
      <c r="T13" s="23"/>
      <c r="U13" s="23"/>
      <c r="V13" s="23"/>
    </row>
    <row r="14" spans="1:27" x14ac:dyDescent="0.25">
      <c r="A14" s="28" t="s">
        <v>33</v>
      </c>
      <c r="B14" s="20">
        <v>2</v>
      </c>
      <c r="C14" s="21"/>
      <c r="D14" s="21" t="s">
        <v>301</v>
      </c>
      <c r="E14" s="22"/>
      <c r="F14" s="23"/>
      <c r="R14" s="13"/>
      <c r="T14" s="23"/>
      <c r="U14" s="23"/>
      <c r="V14" s="23"/>
    </row>
    <row r="15" spans="1:27" x14ac:dyDescent="0.25">
      <c r="A15" s="29" t="s">
        <v>298</v>
      </c>
      <c r="B15" s="30">
        <v>1</v>
      </c>
      <c r="C15" s="31"/>
      <c r="D15" s="31" t="s">
        <v>299</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t="s">
        <v>27</v>
      </c>
      <c r="B17" s="37">
        <v>200</v>
      </c>
      <c r="C17" s="55">
        <v>1</v>
      </c>
      <c r="D17" s="56">
        <v>107.22</v>
      </c>
      <c r="E17" s="57" t="s">
        <v>362</v>
      </c>
      <c r="F17" s="23" t="s">
        <v>28</v>
      </c>
      <c r="G17" s="23"/>
      <c r="H17" s="23"/>
      <c r="I17" s="23"/>
      <c r="J17" s="24"/>
      <c r="K17" s="24"/>
      <c r="L17" s="24"/>
      <c r="M17" s="20"/>
      <c r="N17" s="20"/>
      <c r="O17" s="20"/>
      <c r="P17" s="20"/>
      <c r="Q17" s="25"/>
      <c r="R17" s="21"/>
      <c r="S17" s="23"/>
      <c r="T17" s="23"/>
      <c r="U17" s="23"/>
      <c r="V17" s="23"/>
    </row>
    <row r="18" spans="1:22" x14ac:dyDescent="0.25">
      <c r="A18" s="54" t="s">
        <v>26</v>
      </c>
      <c r="B18" s="43">
        <f>INDEX(TestMatrixVariableValues, CurrentIndex,MATCH("Time1",TestMatrixVariableNames,0))</f>
        <v>600</v>
      </c>
      <c r="C18" s="95">
        <f>INDEX(TestMatrixVariableValues, CurrentIndex,MATCH("dt1",TestMatrixVariableNames,0))</f>
        <v>0.02</v>
      </c>
      <c r="D18" s="20">
        <f>INDEX(TestMatrixVariableValues, CurrentIndex,MATCH("plotfreq1",TestMatrixVariableNames,0))</f>
        <v>50</v>
      </c>
      <c r="E18" s="20">
        <v>25000</v>
      </c>
      <c r="F18" s="23"/>
      <c r="G18" s="23"/>
      <c r="H18" s="23"/>
      <c r="I18" s="23"/>
      <c r="J18" s="24"/>
      <c r="K18" s="24"/>
      <c r="L18" s="24"/>
      <c r="M18" s="20"/>
      <c r="N18" s="20"/>
      <c r="O18" s="20"/>
      <c r="P18" s="20"/>
      <c r="Q18" s="25"/>
      <c r="R18" s="21"/>
      <c r="S18" s="23"/>
      <c r="T18" s="23"/>
      <c r="U18" s="23"/>
      <c r="V18" s="23"/>
    </row>
    <row r="19" spans="1:22" x14ac:dyDescent="0.25">
      <c r="A19" s="54" t="s">
        <v>26</v>
      </c>
      <c r="B19" s="43">
        <f>INDEX(TestMatrixVariableValues, CurrentIndex,MATCH("Time2",TestMatrixVariableNames,0))</f>
        <v>600.1</v>
      </c>
      <c r="C19" s="95">
        <f>INDEX(TestMatrixVariableValues, CurrentIndex,MATCH("dt2",TestMatrixVariableNames,0))</f>
        <v>1.0000000000000001E-5</v>
      </c>
      <c r="D19" s="20">
        <f>INDEX(TestMatrixVariableValues, CurrentIndex,MATCH("plotfreq2",TestMatrixVariableNames,0))</f>
        <v>50</v>
      </c>
      <c r="E19" s="20">
        <v>25000</v>
      </c>
      <c r="F19" s="23"/>
      <c r="G19" s="23"/>
      <c r="H19" s="23"/>
      <c r="I19" s="23"/>
      <c r="J19" s="24"/>
      <c r="K19" s="24"/>
      <c r="L19" s="24"/>
      <c r="M19" s="20"/>
      <c r="N19" s="20"/>
      <c r="O19" s="20"/>
      <c r="P19" s="20"/>
      <c r="Q19" s="25"/>
      <c r="R19" s="21"/>
      <c r="S19" s="23"/>
      <c r="T19" s="23"/>
      <c r="U19" s="23"/>
      <c r="V19" s="23"/>
    </row>
    <row r="20" spans="1:22" x14ac:dyDescent="0.25">
      <c r="A20" s="54"/>
      <c r="B20" s="43"/>
      <c r="C20" s="95"/>
      <c r="D20" s="20"/>
      <c r="E20" s="20"/>
      <c r="F20" s="23"/>
      <c r="G20" s="23"/>
      <c r="H20" s="23"/>
      <c r="I20" s="23"/>
      <c r="J20" s="24"/>
      <c r="K20" s="24"/>
      <c r="L20" s="24"/>
      <c r="M20" s="20"/>
      <c r="N20" s="20"/>
      <c r="O20" s="20"/>
      <c r="P20" s="20"/>
      <c r="Q20" s="25"/>
      <c r="R20" s="21"/>
      <c r="S20" s="23"/>
      <c r="T20" s="23"/>
      <c r="U20" s="23"/>
      <c r="V20" s="23"/>
    </row>
    <row r="21" spans="1:22" x14ac:dyDescent="0.25">
      <c r="A21" s="54"/>
      <c r="B21" s="43"/>
      <c r="C21" s="95"/>
      <c r="D21" s="20"/>
      <c r="E21" s="20"/>
      <c r="F21" s="23"/>
      <c r="G21" s="23"/>
      <c r="H21" s="23"/>
      <c r="I21" s="23"/>
      <c r="J21" s="24"/>
      <c r="K21" s="24"/>
      <c r="L21" s="24"/>
      <c r="M21" s="20"/>
      <c r="N21" s="20"/>
      <c r="O21" s="20"/>
      <c r="P21" s="20"/>
      <c r="Q21" s="25"/>
      <c r="R21" s="21"/>
      <c r="S21" s="23"/>
      <c r="T21" s="23"/>
      <c r="U21" s="23"/>
      <c r="V21" s="23"/>
    </row>
    <row r="22" spans="1:22" x14ac:dyDescent="0.25">
      <c r="A22" s="54"/>
      <c r="B22" s="43"/>
      <c r="C22" s="17"/>
      <c r="D22" s="20"/>
      <c r="E22" s="20"/>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t="s">
        <v>363</v>
      </c>
      <c r="R25" s="13"/>
      <c r="U25" s="36"/>
      <c r="V25" s="36"/>
    </row>
    <row r="26" spans="1:22" x14ac:dyDescent="0.25">
      <c r="A26" s="117" t="s">
        <v>449</v>
      </c>
      <c r="B26" s="12">
        <f>INDEX(TestMatrixVariableValues, CurrentIndex,MATCH("337-P1",TestMatrixVariableNames,0))</f>
        <v>85</v>
      </c>
      <c r="C26" s="13" t="s">
        <v>333</v>
      </c>
      <c r="R26" s="13"/>
      <c r="U26" s="36"/>
      <c r="V26" s="36"/>
    </row>
    <row r="27" spans="1:22" x14ac:dyDescent="0.25">
      <c r="A27" s="117" t="s">
        <v>450</v>
      </c>
      <c r="B27" s="15">
        <f>INDEX(TestMatrixVariableValues, CurrentIndex,MATCH("337-T1",TestMatrixVariableNames,0))</f>
        <v>294.55555555555554</v>
      </c>
      <c r="C27" s="13" t="s">
        <v>334</v>
      </c>
      <c r="R27" s="13"/>
      <c r="U27" s="36"/>
      <c r="V27" s="36"/>
    </row>
    <row r="28" spans="1:22" x14ac:dyDescent="0.25">
      <c r="A28" s="117" t="s">
        <v>364</v>
      </c>
      <c r="B28" s="15">
        <f>INDEX(TestMatrixVariableValues, CurrentIndex,MATCH("337-Flow",TestMatrixVariableNames,0))</f>
        <v>3.1499470138888888</v>
      </c>
      <c r="C28" s="13" t="s">
        <v>365</v>
      </c>
      <c r="R28" s="13"/>
      <c r="U28" s="36"/>
      <c r="V28" s="36"/>
    </row>
    <row r="29" spans="1:22" x14ac:dyDescent="0.25">
      <c r="A29" s="117" t="s">
        <v>451</v>
      </c>
      <c r="B29" s="12">
        <f>INDEX(TestMatrixVariableValues, CurrentIndex,MATCH("337-P2",TestMatrixVariableNames,0))</f>
        <v>10</v>
      </c>
      <c r="C29" s="13" t="s">
        <v>333</v>
      </c>
      <c r="R29" s="13"/>
      <c r="U29" s="36"/>
      <c r="V29" s="36"/>
    </row>
    <row r="30" spans="1:22" x14ac:dyDescent="0.25">
      <c r="A30" s="117"/>
      <c r="R30" s="13"/>
      <c r="U30" s="36"/>
      <c r="V30" s="36"/>
    </row>
    <row r="31" spans="1:22" x14ac:dyDescent="0.25">
      <c r="A31" s="117"/>
      <c r="R31" s="13"/>
      <c r="U31" s="36"/>
      <c r="V31" s="36"/>
    </row>
    <row r="32" spans="1:22" x14ac:dyDescent="0.25">
      <c r="A32" s="117" t="s">
        <v>366</v>
      </c>
      <c r="R32" s="13"/>
      <c r="U32" s="36"/>
      <c r="V32" s="36"/>
    </row>
    <row r="33" spans="1:22" x14ac:dyDescent="0.25">
      <c r="A33" s="117" t="s">
        <v>367</v>
      </c>
      <c r="B33" s="12">
        <f>INDEX(TestMatrixVariableValues, CurrentIndex,MATCH("711-P",TestMatrixVariableNames,0))</f>
        <v>3</v>
      </c>
      <c r="C33" s="13" t="s">
        <v>333</v>
      </c>
      <c r="R33" s="13"/>
      <c r="U33" s="36"/>
      <c r="V33" s="36"/>
    </row>
    <row r="34" spans="1:22" x14ac:dyDescent="0.25">
      <c r="A34" s="117" t="s">
        <v>368</v>
      </c>
      <c r="B34" s="12">
        <f>INDEX(TestMatrixVariableValues, CurrentIndex,MATCH("711-T",TestMatrixVariableNames,0))</f>
        <v>35</v>
      </c>
      <c r="C34" s="13" t="s">
        <v>334</v>
      </c>
      <c r="R34" s="13"/>
      <c r="U34" s="36"/>
      <c r="V34" s="36"/>
    </row>
    <row r="35" spans="1:22" x14ac:dyDescent="0.25">
      <c r="A35" s="117" t="s">
        <v>364</v>
      </c>
      <c r="B35" s="15">
        <f>INDEX(TestMatrixVariableValues, CurrentIndex,MATCH("711-Flow",TestMatrixVariableNames,0))</f>
        <v>47.249205208333336</v>
      </c>
      <c r="C35" s="13" t="s">
        <v>365</v>
      </c>
      <c r="R35" s="13"/>
      <c r="U35" s="36"/>
      <c r="V35" s="36"/>
    </row>
    <row r="36" spans="1:22" x14ac:dyDescent="0.25">
      <c r="A36" s="117"/>
      <c r="R36" s="13"/>
      <c r="U36" s="36"/>
      <c r="V36" s="36"/>
    </row>
    <row r="37" spans="1:22" x14ac:dyDescent="0.25">
      <c r="A37" s="117"/>
      <c r="R37" s="13"/>
      <c r="U37" s="36"/>
      <c r="V37" s="36"/>
    </row>
    <row r="38" spans="1:22" x14ac:dyDescent="0.25">
      <c r="A38" s="117" t="s">
        <v>378</v>
      </c>
      <c r="R38" s="13"/>
      <c r="U38" s="36"/>
      <c r="V38" s="36"/>
    </row>
    <row r="39" spans="1:22" x14ac:dyDescent="0.25">
      <c r="A39" s="117" t="s">
        <v>379</v>
      </c>
      <c r="B39" s="12">
        <f>INDEX(TestMatrixVariableValues, CurrentIndex,MATCH("711-V9823",TestMatrixVariableNames,0))</f>
        <v>1</v>
      </c>
      <c r="D39" s="13" t="s">
        <v>380</v>
      </c>
      <c r="R39" s="13"/>
      <c r="U39" s="36"/>
      <c r="V39" s="36"/>
    </row>
    <row r="40" spans="1:22" x14ac:dyDescent="0.25">
      <c r="A40" s="117" t="s">
        <v>382</v>
      </c>
      <c r="B40" s="12">
        <f>INDEX(TestMatrixVariableValues, CurrentIndex,MATCH("711-V9824",TestMatrixVariableNames,0))</f>
        <v>1</v>
      </c>
      <c r="D40" s="13" t="s">
        <v>381</v>
      </c>
      <c r="R40" s="13"/>
      <c r="U40" s="36"/>
      <c r="V40" s="36"/>
    </row>
    <row r="41" spans="1:22" x14ac:dyDescent="0.25">
      <c r="A41" s="117"/>
      <c r="R41" s="13"/>
      <c r="U41" s="36"/>
      <c r="V41" s="36"/>
    </row>
    <row r="42" spans="1:22" x14ac:dyDescent="0.25">
      <c r="A42" s="11" t="s">
        <v>34</v>
      </c>
      <c r="B42" s="12" t="s">
        <v>387</v>
      </c>
      <c r="R42" s="13"/>
      <c r="U42" s="36"/>
      <c r="V42" s="36"/>
    </row>
    <row r="43" spans="1:22" x14ac:dyDescent="0.25">
      <c r="A43" s="119" t="s">
        <v>34</v>
      </c>
      <c r="B43" s="12" t="str">
        <f>INDEX(TestMatrixVariableValues, CurrentIndex,MATCH("HeatStruct",TestMatrixVariableNames,0))</f>
        <v>HeatStructs.inc</v>
      </c>
      <c r="R43" s="13"/>
      <c r="U43" s="36"/>
      <c r="V43" s="36"/>
    </row>
    <row r="44" spans="1:22" x14ac:dyDescent="0.25">
      <c r="A44" s="119"/>
      <c r="R44" s="13"/>
      <c r="U44" s="36"/>
      <c r="V44" s="36"/>
    </row>
    <row r="45" spans="1:22" x14ac:dyDescent="0.25">
      <c r="A45" s="119" t="s">
        <v>433</v>
      </c>
      <c r="B45" s="12" t="str">
        <f>CONCATENATE("TRIP_",ROW())</f>
        <v>TRIP_45</v>
      </c>
      <c r="C45" s="13" t="str">
        <f>B114</f>
        <v>JUNC_114</v>
      </c>
      <c r="D45" s="13" t="s">
        <v>438</v>
      </c>
      <c r="E45" s="14" t="s">
        <v>440</v>
      </c>
      <c r="G45" s="15" t="s">
        <v>435</v>
      </c>
      <c r="H45" s="15">
        <f>B28</f>
        <v>3.1499470138888888</v>
      </c>
      <c r="I45" s="15" t="s">
        <v>436</v>
      </c>
      <c r="R45" s="13"/>
      <c r="U45" s="36"/>
      <c r="V45" s="36"/>
    </row>
    <row r="46" spans="1:22" x14ac:dyDescent="0.25">
      <c r="A46" s="119" t="s">
        <v>433</v>
      </c>
      <c r="B46" s="12" t="str">
        <f>CONCATENATE("TRIP_",ROW())</f>
        <v>TRIP_46</v>
      </c>
      <c r="C46" s="13" t="str">
        <f>B114</f>
        <v>JUNC_114</v>
      </c>
      <c r="D46" s="13" t="s">
        <v>438</v>
      </c>
      <c r="E46" s="14" t="s">
        <v>434</v>
      </c>
      <c r="G46" s="15" t="s">
        <v>435</v>
      </c>
      <c r="H46" s="15">
        <f>B28+0.1</f>
        <v>3.2499470138888888</v>
      </c>
      <c r="I46" s="15" t="s">
        <v>436</v>
      </c>
      <c r="R46" s="13"/>
      <c r="U46" s="36"/>
      <c r="V46" s="36"/>
    </row>
    <row r="47" spans="1:22" x14ac:dyDescent="0.25">
      <c r="A47" s="119" t="s">
        <v>433</v>
      </c>
      <c r="B47" s="12" t="str">
        <f>CONCATENATE("TRIP_",ROW())</f>
        <v>TRIP_47</v>
      </c>
      <c r="D47" s="13" t="s">
        <v>437</v>
      </c>
      <c r="E47" s="14" t="s">
        <v>440</v>
      </c>
      <c r="G47" s="15" t="s">
        <v>435</v>
      </c>
      <c r="H47" s="15">
        <v>300</v>
      </c>
      <c r="I47" s="15" t="s">
        <v>436</v>
      </c>
      <c r="K47" s="11" t="s">
        <v>446</v>
      </c>
      <c r="R47" s="13"/>
      <c r="U47" s="36"/>
      <c r="V47" s="36"/>
    </row>
    <row r="48" spans="1:22" x14ac:dyDescent="0.25">
      <c r="A48" s="119" t="s">
        <v>442</v>
      </c>
      <c r="B48" s="12" t="s">
        <v>444</v>
      </c>
      <c r="C48" s="13" t="str">
        <f>B47</f>
        <v>TRIP_47</v>
      </c>
      <c r="D48" s="13" t="s">
        <v>443</v>
      </c>
      <c r="E48" s="14" t="str">
        <f>B45</f>
        <v>TRIP_45</v>
      </c>
      <c r="F48" s="15" t="s">
        <v>436</v>
      </c>
      <c r="K48" s="11" t="s">
        <v>439</v>
      </c>
      <c r="R48" s="13"/>
      <c r="U48" s="36"/>
      <c r="V48" s="36"/>
    </row>
    <row r="49" spans="1:24" x14ac:dyDescent="0.25">
      <c r="A49" s="119" t="s">
        <v>442</v>
      </c>
      <c r="B49" s="12" t="s">
        <v>445</v>
      </c>
      <c r="C49" s="13" t="str">
        <f>B47</f>
        <v>TRIP_47</v>
      </c>
      <c r="D49" s="13" t="s">
        <v>443</v>
      </c>
      <c r="E49" s="14" t="str">
        <f>B46</f>
        <v>TRIP_46</v>
      </c>
      <c r="F49" s="15" t="s">
        <v>436</v>
      </c>
      <c r="K49" s="11" t="s">
        <v>441</v>
      </c>
      <c r="R49" s="13"/>
      <c r="U49" s="36"/>
      <c r="V49" s="36"/>
    </row>
    <row r="50" spans="1:24" x14ac:dyDescent="0.25">
      <c r="A50" s="119"/>
      <c r="R50" s="13"/>
      <c r="U50" s="36"/>
      <c r="V50" s="36"/>
    </row>
    <row r="51" spans="1:24" x14ac:dyDescent="0.25">
      <c r="R51" s="13"/>
      <c r="U51" s="36"/>
      <c r="V51" s="36"/>
    </row>
    <row r="52" spans="1:24" x14ac:dyDescent="0.25">
      <c r="A52" s="11" t="s">
        <v>416</v>
      </c>
      <c r="R52" s="13"/>
      <c r="U52" s="36"/>
      <c r="V52" s="36"/>
    </row>
    <row r="53" spans="1:24" x14ac:dyDescent="0.25">
      <c r="A53" s="11" t="s">
        <v>35</v>
      </c>
      <c r="B53" s="12">
        <v>100</v>
      </c>
      <c r="R53" s="13"/>
      <c r="U53" s="36"/>
      <c r="V53" s="36"/>
    </row>
    <row r="54" spans="1:24" x14ac:dyDescent="0.25">
      <c r="A54" s="11" t="s">
        <v>36</v>
      </c>
      <c r="B54" s="12">
        <f>B26*100000</f>
        <v>8500000</v>
      </c>
      <c r="C54" s="13">
        <f>273.15+20</f>
        <v>293.14999999999998</v>
      </c>
      <c r="R54" s="13"/>
      <c r="U54" s="36"/>
      <c r="V54" s="36"/>
    </row>
    <row r="55" spans="1:24" x14ac:dyDescent="0.25">
      <c r="A55" s="11" t="s">
        <v>37</v>
      </c>
      <c r="B55" s="12" t="str">
        <f>CONCATENATE("TMDV_",ROW())</f>
        <v>TMDV_55</v>
      </c>
      <c r="C55" s="13">
        <v>1</v>
      </c>
      <c r="D55" s="13" t="s">
        <v>38</v>
      </c>
      <c r="E55" s="14">
        <v>1</v>
      </c>
      <c r="F55" s="15">
        <v>0</v>
      </c>
      <c r="G55" s="15">
        <v>0</v>
      </c>
      <c r="H55" s="15" t="s">
        <v>38</v>
      </c>
      <c r="I55" s="15" t="s">
        <v>38</v>
      </c>
      <c r="J55" s="11" t="s">
        <v>346</v>
      </c>
      <c r="K55" s="11" t="s">
        <v>38</v>
      </c>
      <c r="L55" s="11" t="s">
        <v>38</v>
      </c>
      <c r="M55" s="12" t="s">
        <v>38</v>
      </c>
      <c r="N55" s="12" t="s">
        <v>38</v>
      </c>
      <c r="O55" s="12" t="s">
        <v>38</v>
      </c>
      <c r="P55" s="12" t="s">
        <v>38</v>
      </c>
      <c r="Q55" s="17">
        <f>$B$26*100000</f>
        <v>8500000</v>
      </c>
      <c r="R55" s="13">
        <f>273.15+$B$27</f>
        <v>567.70555555555552</v>
      </c>
      <c r="S55" s="15" t="s">
        <v>38</v>
      </c>
      <c r="T55" s="15" t="s">
        <v>38</v>
      </c>
      <c r="U55" s="36" t="s">
        <v>38</v>
      </c>
      <c r="V55" s="36" t="s">
        <v>38</v>
      </c>
      <c r="X55" s="15">
        <f>98.78+0.61</f>
        <v>99.39</v>
      </c>
    </row>
    <row r="56" spans="1:24" x14ac:dyDescent="0.25">
      <c r="R56" s="13"/>
      <c r="U56" s="36"/>
      <c r="V56" s="36"/>
      <c r="X56" s="15">
        <f t="shared" ref="X56:X129" si="0">IF(OR(A56="Pipe", A56="Tmdpvol"), X55+C56*SIN(F56*PI()/180), X55)</f>
        <v>99.39</v>
      </c>
    </row>
    <row r="57" spans="1:24" x14ac:dyDescent="0.25">
      <c r="A57" s="11" t="s">
        <v>39</v>
      </c>
      <c r="B57" s="12" t="str">
        <f>CONCATENATE("JUNC_",ROW())</f>
        <v>JUNC_57</v>
      </c>
      <c r="C57" s="13" t="s">
        <v>38</v>
      </c>
      <c r="D57" s="13" t="s">
        <v>38</v>
      </c>
      <c r="E57" s="14">
        <f>(88.9-2*11.13)^2*PI()/4*0.001^2</f>
        <v>3.487866535690829E-3</v>
      </c>
      <c r="F57" s="15" t="s">
        <v>38</v>
      </c>
      <c r="G57" s="15" t="s">
        <v>38</v>
      </c>
      <c r="H57" s="15">
        <v>0</v>
      </c>
      <c r="I57" s="15">
        <v>0</v>
      </c>
      <c r="J57" s="11" t="s">
        <v>275</v>
      </c>
      <c r="K57" s="11" t="s">
        <v>38</v>
      </c>
      <c r="L57" s="11" t="s">
        <v>38</v>
      </c>
      <c r="M57" s="12" t="str">
        <f ca="1">OFFSET($A$1,ROW()-3,1)</f>
        <v>TMDV_55</v>
      </c>
      <c r="N57" s="12" t="str">
        <f ca="1">OFFSET($A$1,ROW()+1,1)</f>
        <v>PIPE_59</v>
      </c>
      <c r="O57" s="12">
        <v>2</v>
      </c>
      <c r="P57" s="12">
        <v>1</v>
      </c>
      <c r="Q57" s="17" t="s">
        <v>38</v>
      </c>
      <c r="R57" s="13" t="s">
        <v>38</v>
      </c>
      <c r="S57" s="15" t="s">
        <v>38</v>
      </c>
      <c r="T57" s="15" t="s">
        <v>38</v>
      </c>
      <c r="U57" s="36" t="s">
        <v>38</v>
      </c>
      <c r="V57" s="36" t="s">
        <v>38</v>
      </c>
      <c r="X57" s="15">
        <f t="shared" si="0"/>
        <v>99.39</v>
      </c>
    </row>
    <row r="58" spans="1:24" x14ac:dyDescent="0.25">
      <c r="R58" s="13"/>
      <c r="U58" s="36"/>
      <c r="V58" s="36"/>
      <c r="X58" s="15">
        <f t="shared" si="0"/>
        <v>99.39</v>
      </c>
    </row>
    <row r="59" spans="1:24" x14ac:dyDescent="0.25">
      <c r="A59" s="11" t="s">
        <v>41</v>
      </c>
      <c r="B59" s="12" t="str">
        <f t="shared" ref="B59:B73" si="1">CONCATENATE("PIPE_",ROW())</f>
        <v>PIPE_59</v>
      </c>
      <c r="C59" s="13">
        <v>0.61</v>
      </c>
      <c r="D59" s="13">
        <f>dx</f>
        <v>0.2</v>
      </c>
      <c r="E59" s="14">
        <f>(88.9-2*11.13)^2*PI()/4*0.001^2</f>
        <v>3.487866535690829E-3</v>
      </c>
      <c r="F59" s="15">
        <v>-90</v>
      </c>
      <c r="G59" s="15">
        <v>0</v>
      </c>
      <c r="H59" s="15">
        <v>0</v>
      </c>
      <c r="I59" s="15">
        <v>0</v>
      </c>
      <c r="J59" s="11" t="s">
        <v>41</v>
      </c>
      <c r="K59" s="11" t="s">
        <v>38</v>
      </c>
      <c r="L59" s="11" t="s">
        <v>38</v>
      </c>
      <c r="M59" s="12" t="s">
        <v>38</v>
      </c>
      <c r="N59" s="12" t="s">
        <v>38</v>
      </c>
      <c r="O59" s="12" t="s">
        <v>38</v>
      </c>
      <c r="P59" s="12" t="s">
        <v>38</v>
      </c>
      <c r="Q59" s="17">
        <f>roughness</f>
        <v>4.5000000000000003E-5</v>
      </c>
      <c r="R59" s="13" t="s">
        <v>38</v>
      </c>
      <c r="S59" s="15" t="s">
        <v>38</v>
      </c>
      <c r="T59" s="15" t="s">
        <v>38</v>
      </c>
      <c r="U59" s="36" t="s">
        <v>38</v>
      </c>
      <c r="V59" s="36" t="s">
        <v>38</v>
      </c>
      <c r="X59" s="15">
        <f t="shared" si="0"/>
        <v>98.78</v>
      </c>
    </row>
    <row r="60" spans="1:24" x14ac:dyDescent="0.25">
      <c r="A60" s="11" t="s">
        <v>41</v>
      </c>
      <c r="B60" s="12" t="str">
        <f t="shared" si="1"/>
        <v>PIPE_60</v>
      </c>
      <c r="C60" s="13">
        <v>0.35</v>
      </c>
      <c r="D60" s="13">
        <f>dx</f>
        <v>0.2</v>
      </c>
      <c r="E60" s="14">
        <f>(88.9-2*11.13)^2*PI()/4*0.001^2</f>
        <v>3.487866535690829E-3</v>
      </c>
      <c r="F60" s="15">
        <v>0</v>
      </c>
      <c r="G60" s="15">
        <v>0</v>
      </c>
      <c r="H60" s="15">
        <v>0</v>
      </c>
      <c r="I60" s="15">
        <v>0</v>
      </c>
      <c r="J60" s="11" t="s">
        <v>41</v>
      </c>
      <c r="K60" s="11" t="s">
        <v>38</v>
      </c>
      <c r="L60" s="11" t="s">
        <v>38</v>
      </c>
      <c r="M60" s="12" t="s">
        <v>38</v>
      </c>
      <c r="N60" s="12" t="s">
        <v>38</v>
      </c>
      <c r="O60" s="12" t="s">
        <v>38</v>
      </c>
      <c r="P60" s="12" t="s">
        <v>38</v>
      </c>
      <c r="Q60" s="17">
        <f>roughness</f>
        <v>4.5000000000000003E-5</v>
      </c>
      <c r="R60" s="13" t="s">
        <v>38</v>
      </c>
      <c r="S60" s="15" t="s">
        <v>38</v>
      </c>
      <c r="T60" s="15" t="s">
        <v>38</v>
      </c>
      <c r="U60" s="36" t="s">
        <v>38</v>
      </c>
      <c r="V60" s="36" t="s">
        <v>38</v>
      </c>
      <c r="X60" s="15">
        <f t="shared" si="0"/>
        <v>98.78</v>
      </c>
    </row>
    <row r="61" spans="1:24" x14ac:dyDescent="0.25">
      <c r="R61" s="13"/>
      <c r="U61" s="36"/>
      <c r="V61" s="36"/>
      <c r="X61" s="15">
        <f t="shared" si="0"/>
        <v>98.78</v>
      </c>
    </row>
    <row r="62" spans="1:24" x14ac:dyDescent="0.25">
      <c r="A62" s="11" t="s">
        <v>39</v>
      </c>
      <c r="B62" s="12" t="str">
        <f>CONCATENATE("JUNC_",ROW())</f>
        <v>JUNC_62</v>
      </c>
      <c r="C62" s="13" t="s">
        <v>38</v>
      </c>
      <c r="D62" s="13" t="s">
        <v>38</v>
      </c>
      <c r="E62" s="14">
        <v>0</v>
      </c>
      <c r="F62" s="15" t="s">
        <v>38</v>
      </c>
      <c r="G62" s="15" t="s">
        <v>38</v>
      </c>
      <c r="H62" s="15">
        <v>0</v>
      </c>
      <c r="I62" s="15">
        <v>0</v>
      </c>
      <c r="J62" s="11" t="s">
        <v>275</v>
      </c>
      <c r="K62" s="11" t="s">
        <v>38</v>
      </c>
      <c r="L62" s="11" t="s">
        <v>38</v>
      </c>
      <c r="M62" s="12" t="str">
        <f ca="1">OFFSET($A$1,ROW()-3,1)</f>
        <v>PIPE_60</v>
      </c>
      <c r="N62" s="12" t="str">
        <f>B199</f>
        <v>PIPE_199</v>
      </c>
      <c r="O62" s="12">
        <v>2</v>
      </c>
      <c r="P62" s="12">
        <v>1</v>
      </c>
      <c r="Q62" s="17" t="s">
        <v>38</v>
      </c>
      <c r="R62" s="13" t="s">
        <v>38</v>
      </c>
      <c r="S62" s="15" t="s">
        <v>38</v>
      </c>
      <c r="T62" s="15" t="s">
        <v>38</v>
      </c>
      <c r="U62" s="36" t="s">
        <v>38</v>
      </c>
      <c r="V62" s="36" t="s">
        <v>38</v>
      </c>
      <c r="W62" s="11">
        <v>98.78</v>
      </c>
      <c r="X62" s="15">
        <f t="shared" si="0"/>
        <v>98.78</v>
      </c>
    </row>
    <row r="63" spans="1:24" x14ac:dyDescent="0.25">
      <c r="A63" s="11" t="s">
        <v>347</v>
      </c>
      <c r="R63" s="13"/>
      <c r="U63" s="36"/>
      <c r="V63" s="36"/>
    </row>
    <row r="64" spans="1:24" x14ac:dyDescent="0.25">
      <c r="A64" s="11" t="s">
        <v>412</v>
      </c>
      <c r="R64" s="13"/>
      <c r="U64" s="36"/>
      <c r="V64" s="36"/>
    </row>
    <row r="65" spans="1:25" x14ac:dyDescent="0.25">
      <c r="A65" s="11" t="s">
        <v>35</v>
      </c>
      <c r="B65" s="12">
        <v>105</v>
      </c>
      <c r="R65" s="13"/>
      <c r="U65" s="36"/>
      <c r="V65" s="36"/>
    </row>
    <row r="66" spans="1:25" x14ac:dyDescent="0.25">
      <c r="A66" s="11" t="s">
        <v>39</v>
      </c>
      <c r="B66" s="12" t="str">
        <f>CONCATENATE("JUNC_",ROW())</f>
        <v>JUNC_66</v>
      </c>
      <c r="C66" s="13" t="s">
        <v>38</v>
      </c>
      <c r="D66" s="13" t="s">
        <v>38</v>
      </c>
      <c r="E66" s="14">
        <v>0</v>
      </c>
      <c r="F66" s="15" t="s">
        <v>38</v>
      </c>
      <c r="G66" s="15" t="s">
        <v>38</v>
      </c>
      <c r="H66" s="15">
        <v>0</v>
      </c>
      <c r="I66" s="15">
        <v>0</v>
      </c>
      <c r="J66" s="11" t="s">
        <v>275</v>
      </c>
      <c r="K66" s="11" t="s">
        <v>38</v>
      </c>
      <c r="L66" s="11" t="s">
        <v>38</v>
      </c>
      <c r="M66" s="12" t="str">
        <f>B199</f>
        <v>PIPE_199</v>
      </c>
      <c r="N66" s="12" t="str">
        <f ca="1">OFFSET($A$1,ROW()+1,1)</f>
        <v>PIPE_68</v>
      </c>
      <c r="O66" s="12">
        <v>2</v>
      </c>
      <c r="P66" s="12">
        <v>1</v>
      </c>
      <c r="Q66" s="17" t="s">
        <v>38</v>
      </c>
      <c r="R66" s="13" t="s">
        <v>38</v>
      </c>
      <c r="S66" s="15" t="s">
        <v>38</v>
      </c>
      <c r="T66" s="15" t="s">
        <v>38</v>
      </c>
      <c r="U66" s="36" t="s">
        <v>38</v>
      </c>
      <c r="V66" s="36" t="s">
        <v>38</v>
      </c>
      <c r="X66" s="15">
        <f>X199</f>
        <v>98.78</v>
      </c>
    </row>
    <row r="67" spans="1:25" x14ac:dyDescent="0.25">
      <c r="R67" s="13"/>
      <c r="U67" s="36"/>
      <c r="V67" s="36"/>
      <c r="X67" s="15">
        <f t="shared" si="0"/>
        <v>98.78</v>
      </c>
    </row>
    <row r="68" spans="1:25" x14ac:dyDescent="0.25">
      <c r="A68" s="11" t="s">
        <v>41</v>
      </c>
      <c r="B68" s="12" t="str">
        <f t="shared" si="1"/>
        <v>PIPE_68</v>
      </c>
      <c r="C68" s="13">
        <v>0.6</v>
      </c>
      <c r="D68" s="13">
        <f t="shared" ref="D68:D73" si="2">dx</f>
        <v>0.2</v>
      </c>
      <c r="E68" s="14">
        <f t="shared" ref="E68:E73" si="3">(88.9-2*11.13)^2*PI()/4*0.001^2</f>
        <v>3.487866535690829E-3</v>
      </c>
      <c r="F68" s="15">
        <v>90</v>
      </c>
      <c r="G68" s="15">
        <v>0</v>
      </c>
      <c r="H68" s="15">
        <v>0</v>
      </c>
      <c r="I68" s="15">
        <v>0</v>
      </c>
      <c r="J68" s="11" t="s">
        <v>41</v>
      </c>
      <c r="K68" s="11" t="s">
        <v>38</v>
      </c>
      <c r="L68" s="11" t="s">
        <v>38</v>
      </c>
      <c r="M68" s="12" t="s">
        <v>38</v>
      </c>
      <c r="N68" s="12" t="s">
        <v>38</v>
      </c>
      <c r="O68" s="12" t="s">
        <v>38</v>
      </c>
      <c r="P68" s="12" t="s">
        <v>38</v>
      </c>
      <c r="Q68" s="17">
        <f t="shared" ref="Q68:Q73" si="4">roughness</f>
        <v>4.5000000000000003E-5</v>
      </c>
      <c r="R68" s="13" t="s">
        <v>38</v>
      </c>
      <c r="S68" s="15" t="s">
        <v>38</v>
      </c>
      <c r="T68" s="15" t="s">
        <v>38</v>
      </c>
      <c r="U68" s="36" t="s">
        <v>38</v>
      </c>
      <c r="V68" s="36" t="s">
        <v>38</v>
      </c>
      <c r="X68" s="15">
        <f t="shared" si="0"/>
        <v>99.38</v>
      </c>
    </row>
    <row r="69" spans="1:25" x14ac:dyDescent="0.25">
      <c r="A69" s="11" t="s">
        <v>41</v>
      </c>
      <c r="B69" s="12" t="str">
        <f t="shared" si="1"/>
        <v>PIPE_69</v>
      </c>
      <c r="C69" s="13">
        <v>0.4</v>
      </c>
      <c r="D69" s="13">
        <f t="shared" si="2"/>
        <v>0.2</v>
      </c>
      <c r="E69" s="14">
        <f t="shared" si="3"/>
        <v>3.487866535690829E-3</v>
      </c>
      <c r="F69" s="15">
        <v>0</v>
      </c>
      <c r="G69" s="15">
        <v>0</v>
      </c>
      <c r="H69" s="15">
        <v>0</v>
      </c>
      <c r="I69" s="15">
        <v>0</v>
      </c>
      <c r="J69" s="11" t="s">
        <v>41</v>
      </c>
      <c r="K69" s="11" t="s">
        <v>38</v>
      </c>
      <c r="L69" s="11" t="s">
        <v>38</v>
      </c>
      <c r="M69" s="12" t="s">
        <v>38</v>
      </c>
      <c r="N69" s="12" t="s">
        <v>38</v>
      </c>
      <c r="O69" s="12" t="s">
        <v>38</v>
      </c>
      <c r="P69" s="12" t="s">
        <v>38</v>
      </c>
      <c r="Q69" s="17">
        <f t="shared" si="4"/>
        <v>4.5000000000000003E-5</v>
      </c>
      <c r="R69" s="13" t="s">
        <v>38</v>
      </c>
      <c r="S69" s="15" t="s">
        <v>38</v>
      </c>
      <c r="T69" s="15" t="s">
        <v>38</v>
      </c>
      <c r="U69" s="36" t="s">
        <v>38</v>
      </c>
      <c r="V69" s="36" t="s">
        <v>38</v>
      </c>
      <c r="X69" s="15">
        <f t="shared" si="0"/>
        <v>99.38</v>
      </c>
    </row>
    <row r="70" spans="1:25" x14ac:dyDescent="0.25">
      <c r="A70" s="11" t="s">
        <v>41</v>
      </c>
      <c r="B70" s="12" t="str">
        <f t="shared" si="1"/>
        <v>PIPE_70</v>
      </c>
      <c r="C70" s="13">
        <v>2.0299999999999998</v>
      </c>
      <c r="D70" s="13">
        <f t="shared" si="2"/>
        <v>0.2</v>
      </c>
      <c r="E70" s="14">
        <f t="shared" si="3"/>
        <v>3.487866535690829E-3</v>
      </c>
      <c r="F70" s="15">
        <v>-90</v>
      </c>
      <c r="G70" s="15">
        <v>0</v>
      </c>
      <c r="H70" s="15">
        <v>0</v>
      </c>
      <c r="I70" s="15">
        <v>0</v>
      </c>
      <c r="J70" s="11" t="s">
        <v>41</v>
      </c>
      <c r="K70" s="11" t="s">
        <v>38</v>
      </c>
      <c r="L70" s="11" t="s">
        <v>38</v>
      </c>
      <c r="M70" s="12" t="s">
        <v>38</v>
      </c>
      <c r="N70" s="12" t="s">
        <v>38</v>
      </c>
      <c r="O70" s="12" t="s">
        <v>38</v>
      </c>
      <c r="P70" s="12" t="s">
        <v>38</v>
      </c>
      <c r="Q70" s="17">
        <f t="shared" si="4"/>
        <v>4.5000000000000003E-5</v>
      </c>
      <c r="R70" s="13" t="s">
        <v>38</v>
      </c>
      <c r="S70" s="15" t="s">
        <v>38</v>
      </c>
      <c r="T70" s="15" t="s">
        <v>38</v>
      </c>
      <c r="U70" s="36" t="s">
        <v>38</v>
      </c>
      <c r="V70" s="36" t="s">
        <v>38</v>
      </c>
      <c r="X70" s="15">
        <f t="shared" si="0"/>
        <v>97.35</v>
      </c>
    </row>
    <row r="71" spans="1:25" x14ac:dyDescent="0.25">
      <c r="A71" s="11" t="s">
        <v>41</v>
      </c>
      <c r="B71" s="12" t="str">
        <f t="shared" si="1"/>
        <v>PIPE_71</v>
      </c>
      <c r="C71" s="13">
        <v>0.4</v>
      </c>
      <c r="D71" s="13">
        <f t="shared" si="2"/>
        <v>0.2</v>
      </c>
      <c r="E71" s="14">
        <f t="shared" si="3"/>
        <v>3.487866535690829E-3</v>
      </c>
      <c r="F71" s="15">
        <v>0</v>
      </c>
      <c r="G71" s="15">
        <v>0</v>
      </c>
      <c r="H71" s="15">
        <v>0</v>
      </c>
      <c r="I71" s="15">
        <v>0</v>
      </c>
      <c r="J71" s="11" t="s">
        <v>41</v>
      </c>
      <c r="K71" s="11" t="s">
        <v>38</v>
      </c>
      <c r="L71" s="11" t="s">
        <v>38</v>
      </c>
      <c r="M71" s="12" t="s">
        <v>38</v>
      </c>
      <c r="N71" s="12" t="s">
        <v>38</v>
      </c>
      <c r="O71" s="12" t="s">
        <v>38</v>
      </c>
      <c r="P71" s="12" t="s">
        <v>38</v>
      </c>
      <c r="Q71" s="17">
        <f t="shared" si="4"/>
        <v>4.5000000000000003E-5</v>
      </c>
      <c r="R71" s="13" t="s">
        <v>38</v>
      </c>
      <c r="S71" s="15" t="s">
        <v>38</v>
      </c>
      <c r="T71" s="15" t="s">
        <v>38</v>
      </c>
      <c r="U71" s="36" t="s">
        <v>38</v>
      </c>
      <c r="V71" s="36" t="s">
        <v>38</v>
      </c>
      <c r="X71" s="15">
        <f t="shared" si="0"/>
        <v>97.35</v>
      </c>
    </row>
    <row r="72" spans="1:25" x14ac:dyDescent="0.25">
      <c r="A72" s="11" t="s">
        <v>41</v>
      </c>
      <c r="B72" s="12" t="str">
        <f t="shared" si="1"/>
        <v>PIPE_72</v>
      </c>
      <c r="C72" s="13">
        <v>0.6</v>
      </c>
      <c r="D72" s="13">
        <f t="shared" si="2"/>
        <v>0.2</v>
      </c>
      <c r="E72" s="14">
        <f t="shared" si="3"/>
        <v>3.487866535690829E-3</v>
      </c>
      <c r="F72" s="15">
        <v>90</v>
      </c>
      <c r="G72" s="15">
        <v>0</v>
      </c>
      <c r="H72" s="15">
        <v>0</v>
      </c>
      <c r="I72" s="15">
        <v>0</v>
      </c>
      <c r="J72" s="11" t="s">
        <v>41</v>
      </c>
      <c r="K72" s="11" t="s">
        <v>38</v>
      </c>
      <c r="L72" s="11" t="s">
        <v>38</v>
      </c>
      <c r="M72" s="12" t="s">
        <v>38</v>
      </c>
      <c r="N72" s="12" t="s">
        <v>38</v>
      </c>
      <c r="O72" s="12" t="s">
        <v>38</v>
      </c>
      <c r="P72" s="12" t="s">
        <v>38</v>
      </c>
      <c r="Q72" s="17">
        <f t="shared" si="4"/>
        <v>4.5000000000000003E-5</v>
      </c>
      <c r="R72" s="13" t="s">
        <v>38</v>
      </c>
      <c r="S72" s="15" t="s">
        <v>38</v>
      </c>
      <c r="T72" s="15" t="s">
        <v>38</v>
      </c>
      <c r="U72" s="36" t="s">
        <v>38</v>
      </c>
      <c r="V72" s="36" t="s">
        <v>38</v>
      </c>
      <c r="X72" s="15">
        <f t="shared" si="0"/>
        <v>97.949999999999989</v>
      </c>
    </row>
    <row r="73" spans="1:25" x14ac:dyDescent="0.25">
      <c r="A73" s="11" t="s">
        <v>41</v>
      </c>
      <c r="B73" s="12" t="str">
        <f t="shared" si="1"/>
        <v>PIPE_73</v>
      </c>
      <c r="C73" s="13">
        <v>0.2</v>
      </c>
      <c r="D73" s="13">
        <f t="shared" si="2"/>
        <v>0.2</v>
      </c>
      <c r="E73" s="14">
        <f t="shared" si="3"/>
        <v>3.487866535690829E-3</v>
      </c>
      <c r="F73" s="15">
        <v>0</v>
      </c>
      <c r="G73" s="15">
        <v>0</v>
      </c>
      <c r="H73" s="15">
        <v>0</v>
      </c>
      <c r="I73" s="15">
        <v>0</v>
      </c>
      <c r="J73" s="11" t="s">
        <v>41</v>
      </c>
      <c r="K73" s="11" t="s">
        <v>38</v>
      </c>
      <c r="L73" s="11" t="s">
        <v>38</v>
      </c>
      <c r="M73" s="12" t="s">
        <v>38</v>
      </c>
      <c r="N73" s="12" t="s">
        <v>38</v>
      </c>
      <c r="O73" s="12" t="s">
        <v>38</v>
      </c>
      <c r="P73" s="12" t="s">
        <v>38</v>
      </c>
      <c r="Q73" s="17">
        <f t="shared" si="4"/>
        <v>4.5000000000000003E-5</v>
      </c>
      <c r="R73" s="13" t="s">
        <v>38</v>
      </c>
      <c r="S73" s="15" t="s">
        <v>38</v>
      </c>
      <c r="T73" s="15" t="s">
        <v>38</v>
      </c>
      <c r="U73" s="36" t="s">
        <v>38</v>
      </c>
      <c r="V73" s="36" t="s">
        <v>38</v>
      </c>
      <c r="X73" s="15">
        <f t="shared" si="0"/>
        <v>97.949999999999989</v>
      </c>
    </row>
    <row r="74" spans="1:25" x14ac:dyDescent="0.25">
      <c r="R74" s="13"/>
      <c r="U74" s="36"/>
      <c r="V74" s="36"/>
      <c r="X74" s="15">
        <f t="shared" si="0"/>
        <v>97.949999999999989</v>
      </c>
    </row>
    <row r="75" spans="1:25" x14ac:dyDescent="0.25">
      <c r="A75" s="11" t="s">
        <v>39</v>
      </c>
      <c r="B75" s="12" t="str">
        <f>CONCATENATE("JUNC_",ROW())</f>
        <v>JUNC_75</v>
      </c>
      <c r="C75" s="13" t="s">
        <v>38</v>
      </c>
      <c r="D75" s="13" t="s">
        <v>38</v>
      </c>
      <c r="E75" s="14">
        <v>0</v>
      </c>
      <c r="F75" s="15" t="s">
        <v>38</v>
      </c>
      <c r="G75" s="15" t="s">
        <v>38</v>
      </c>
      <c r="H75" s="15">
        <v>0</v>
      </c>
      <c r="I75" s="15">
        <v>0</v>
      </c>
      <c r="J75" s="11" t="s">
        <v>275</v>
      </c>
      <c r="K75" s="11" t="s">
        <v>38</v>
      </c>
      <c r="L75" s="11" t="s">
        <v>38</v>
      </c>
      <c r="M75" s="12" t="str">
        <f ca="1">OFFSET($A$1,ROW()-3,1)</f>
        <v>PIPE_73</v>
      </c>
      <c r="N75" s="12" t="str">
        <f>B235</f>
        <v>PIPE_235</v>
      </c>
      <c r="O75" s="12">
        <v>2</v>
      </c>
      <c r="P75" s="12">
        <v>1</v>
      </c>
      <c r="Q75" s="17" t="s">
        <v>38</v>
      </c>
      <c r="R75" s="13" t="s">
        <v>38</v>
      </c>
      <c r="S75" s="15" t="s">
        <v>38</v>
      </c>
      <c r="T75" s="15" t="s">
        <v>38</v>
      </c>
      <c r="U75" s="36" t="s">
        <v>38</v>
      </c>
      <c r="V75" s="36" t="s">
        <v>38</v>
      </c>
      <c r="X75" s="15">
        <f t="shared" si="0"/>
        <v>97.949999999999989</v>
      </c>
    </row>
    <row r="76" spans="1:25" x14ac:dyDescent="0.25">
      <c r="A76" s="11" t="s">
        <v>348</v>
      </c>
      <c r="R76" s="13"/>
      <c r="U76" s="36"/>
      <c r="V76" s="36"/>
    </row>
    <row r="77" spans="1:25" x14ac:dyDescent="0.25">
      <c r="A77" s="11" t="s">
        <v>413</v>
      </c>
      <c r="R77" s="13"/>
      <c r="U77" s="36"/>
      <c r="V77" s="36"/>
      <c r="W77" s="11">
        <v>97.95</v>
      </c>
      <c r="Y77" s="118"/>
    </row>
    <row r="78" spans="1:25" x14ac:dyDescent="0.25">
      <c r="A78" s="11" t="s">
        <v>35</v>
      </c>
      <c r="B78" s="13">
        <v>109</v>
      </c>
      <c r="R78" s="13"/>
      <c r="U78" s="36"/>
      <c r="V78" s="36"/>
    </row>
    <row r="79" spans="1:25" x14ac:dyDescent="0.25">
      <c r="A79" s="11" t="s">
        <v>39</v>
      </c>
      <c r="B79" s="13" t="str">
        <f>CONCATENATE("JUNC_",ROW())</f>
        <v>JUNC_79</v>
      </c>
      <c r="C79" s="13" t="s">
        <v>38</v>
      </c>
      <c r="D79" s="13" t="s">
        <v>38</v>
      </c>
      <c r="E79" s="14">
        <v>0</v>
      </c>
      <c r="F79" s="15" t="s">
        <v>38</v>
      </c>
      <c r="G79" s="15" t="s">
        <v>38</v>
      </c>
      <c r="H79" s="15">
        <v>0</v>
      </c>
      <c r="I79" s="15">
        <v>0</v>
      </c>
      <c r="J79" s="11" t="s">
        <v>275</v>
      </c>
      <c r="K79" s="11" t="s">
        <v>38</v>
      </c>
      <c r="L79" s="11" t="s">
        <v>38</v>
      </c>
      <c r="M79" s="12" t="str">
        <f>B249</f>
        <v>PIPE_249</v>
      </c>
      <c r="N79" s="12" t="str">
        <f ca="1">OFFSET($A$1,ROW()+1,1)</f>
        <v>PIPE_81</v>
      </c>
      <c r="O79" s="12">
        <v>2</v>
      </c>
      <c r="P79" s="12">
        <v>1</v>
      </c>
      <c r="Q79" s="17" t="s">
        <v>38</v>
      </c>
      <c r="R79" s="13" t="s">
        <v>38</v>
      </c>
      <c r="S79" s="15" t="s">
        <v>38</v>
      </c>
      <c r="T79" s="15" t="s">
        <v>38</v>
      </c>
      <c r="U79" s="36" t="s">
        <v>38</v>
      </c>
      <c r="V79" s="36" t="s">
        <v>38</v>
      </c>
      <c r="X79" s="15">
        <f>X269</f>
        <v>97.95</v>
      </c>
    </row>
    <row r="80" spans="1:25" x14ac:dyDescent="0.25">
      <c r="B80" s="13"/>
      <c r="R80" s="13"/>
      <c r="U80" s="36"/>
      <c r="V80" s="36"/>
      <c r="X80" s="15">
        <f t="shared" si="0"/>
        <v>97.95</v>
      </c>
    </row>
    <row r="81" spans="1:24" x14ac:dyDescent="0.25">
      <c r="A81" s="11" t="s">
        <v>41</v>
      </c>
      <c r="B81" s="12" t="str">
        <f t="shared" ref="B81:B83" si="5">CONCATENATE("PIPE_",ROW())</f>
        <v>PIPE_81</v>
      </c>
      <c r="C81" s="13">
        <v>1.43</v>
      </c>
      <c r="D81" s="13">
        <f>dx</f>
        <v>0.2</v>
      </c>
      <c r="E81" s="14">
        <f>(88.9-2*11.13)^2*PI()/4*0.001^2</f>
        <v>3.487866535690829E-3</v>
      </c>
      <c r="F81" s="15">
        <v>90</v>
      </c>
      <c r="G81" s="15">
        <v>0</v>
      </c>
      <c r="H81" s="15">
        <v>0</v>
      </c>
      <c r="I81" s="15">
        <v>0</v>
      </c>
      <c r="J81" s="11" t="s">
        <v>41</v>
      </c>
      <c r="K81" s="11" t="s">
        <v>38</v>
      </c>
      <c r="L81" s="11" t="s">
        <v>38</v>
      </c>
      <c r="M81" s="12" t="s">
        <v>38</v>
      </c>
      <c r="N81" s="12" t="s">
        <v>38</v>
      </c>
      <c r="O81" s="12" t="s">
        <v>38</v>
      </c>
      <c r="P81" s="12" t="s">
        <v>38</v>
      </c>
      <c r="Q81" s="17">
        <f>roughness</f>
        <v>4.5000000000000003E-5</v>
      </c>
      <c r="R81" s="13" t="s">
        <v>38</v>
      </c>
      <c r="S81" s="15" t="s">
        <v>38</v>
      </c>
      <c r="T81" s="15" t="s">
        <v>38</v>
      </c>
      <c r="U81" s="36" t="s">
        <v>38</v>
      </c>
      <c r="V81" s="36" t="s">
        <v>38</v>
      </c>
      <c r="X81" s="15">
        <f t="shared" si="0"/>
        <v>99.38000000000001</v>
      </c>
    </row>
    <row r="82" spans="1:24" x14ac:dyDescent="0.25">
      <c r="A82" s="11" t="s">
        <v>41</v>
      </c>
      <c r="B82" s="12" t="str">
        <f t="shared" si="5"/>
        <v>PIPE_82</v>
      </c>
      <c r="C82" s="13">
        <v>0.4</v>
      </c>
      <c r="D82" s="13">
        <f>dx</f>
        <v>0.2</v>
      </c>
      <c r="E82" s="14">
        <f>(88.9-2*11.13)^2*PI()/4*0.001^2</f>
        <v>3.487866535690829E-3</v>
      </c>
      <c r="F82" s="15">
        <v>0</v>
      </c>
      <c r="G82" s="15">
        <v>0</v>
      </c>
      <c r="H82" s="15">
        <v>0</v>
      </c>
      <c r="I82" s="15">
        <v>0</v>
      </c>
      <c r="J82" s="11" t="s">
        <v>41</v>
      </c>
      <c r="K82" s="11" t="s">
        <v>38</v>
      </c>
      <c r="L82" s="11" t="s">
        <v>38</v>
      </c>
      <c r="M82" s="12" t="s">
        <v>38</v>
      </c>
      <c r="N82" s="12" t="s">
        <v>38</v>
      </c>
      <c r="O82" s="12" t="s">
        <v>38</v>
      </c>
      <c r="P82" s="12" t="s">
        <v>38</v>
      </c>
      <c r="Q82" s="17">
        <f>roughness</f>
        <v>4.5000000000000003E-5</v>
      </c>
      <c r="R82" s="13" t="s">
        <v>38</v>
      </c>
      <c r="S82" s="15" t="s">
        <v>38</v>
      </c>
      <c r="T82" s="15" t="s">
        <v>38</v>
      </c>
      <c r="U82" s="36" t="s">
        <v>38</v>
      </c>
      <c r="V82" s="36" t="s">
        <v>38</v>
      </c>
      <c r="X82" s="15">
        <f t="shared" si="0"/>
        <v>99.38000000000001</v>
      </c>
    </row>
    <row r="83" spans="1:24" x14ac:dyDescent="0.25">
      <c r="A83" s="11" t="s">
        <v>41</v>
      </c>
      <c r="B83" s="12" t="str">
        <f t="shared" si="5"/>
        <v>PIPE_83</v>
      </c>
      <c r="C83" s="13">
        <v>0.6</v>
      </c>
      <c r="D83" s="13">
        <f>dx</f>
        <v>0.2</v>
      </c>
      <c r="E83" s="14">
        <f>(88.9-2*11.13)^2*PI()/4*0.001^2</f>
        <v>3.487866535690829E-3</v>
      </c>
      <c r="F83" s="15">
        <v>-90</v>
      </c>
      <c r="G83" s="15">
        <v>0</v>
      </c>
      <c r="H83" s="15">
        <v>0</v>
      </c>
      <c r="I83" s="15">
        <v>0</v>
      </c>
      <c r="J83" s="11" t="s">
        <v>41</v>
      </c>
      <c r="K83" s="11" t="s">
        <v>38</v>
      </c>
      <c r="L83" s="11" t="s">
        <v>38</v>
      </c>
      <c r="M83" s="12" t="s">
        <v>38</v>
      </c>
      <c r="N83" s="12" t="s">
        <v>38</v>
      </c>
      <c r="O83" s="12" t="s">
        <v>38</v>
      </c>
      <c r="P83" s="12" t="s">
        <v>38</v>
      </c>
      <c r="Q83" s="17">
        <f>roughness</f>
        <v>4.5000000000000003E-5</v>
      </c>
      <c r="R83" s="13" t="s">
        <v>38</v>
      </c>
      <c r="S83" s="15" t="s">
        <v>38</v>
      </c>
      <c r="T83" s="15" t="s">
        <v>38</v>
      </c>
      <c r="U83" s="36" t="s">
        <v>38</v>
      </c>
      <c r="V83" s="36" t="s">
        <v>38</v>
      </c>
      <c r="X83" s="15">
        <f t="shared" si="0"/>
        <v>98.780000000000015</v>
      </c>
    </row>
    <row r="84" spans="1:24" x14ac:dyDescent="0.25">
      <c r="A84" s="104"/>
      <c r="B84" s="105"/>
      <c r="R84" s="13"/>
      <c r="U84" s="36"/>
      <c r="V84" s="36"/>
      <c r="X84" s="15">
        <f t="shared" si="0"/>
        <v>98.780000000000015</v>
      </c>
    </row>
    <row r="85" spans="1:24" x14ac:dyDescent="0.25">
      <c r="A85" s="11" t="s">
        <v>39</v>
      </c>
      <c r="B85" s="12" t="str">
        <f>CONCATENATE("JUNC_",ROW())</f>
        <v>JUNC_85</v>
      </c>
      <c r="C85" s="13" t="s">
        <v>38</v>
      </c>
      <c r="D85" s="13" t="s">
        <v>38</v>
      </c>
      <c r="E85" s="14">
        <v>0</v>
      </c>
      <c r="F85" s="15" t="s">
        <v>38</v>
      </c>
      <c r="G85" s="15" t="s">
        <v>38</v>
      </c>
      <c r="H85" s="15">
        <v>0</v>
      </c>
      <c r="I85" s="15">
        <v>0</v>
      </c>
      <c r="J85" s="11" t="s">
        <v>275</v>
      </c>
      <c r="K85" s="11" t="s">
        <v>38</v>
      </c>
      <c r="L85" s="11" t="s">
        <v>38</v>
      </c>
      <c r="M85" s="12" t="str">
        <f ca="1">OFFSET($A$1,ROW()-3,1)</f>
        <v>PIPE_83</v>
      </c>
      <c r="N85" s="12" t="str">
        <f>B206</f>
        <v>PIPE_206</v>
      </c>
      <c r="O85" s="12">
        <v>2</v>
      </c>
      <c r="P85" s="12">
        <v>1</v>
      </c>
      <c r="Q85" s="17" t="s">
        <v>38</v>
      </c>
      <c r="R85" s="13" t="s">
        <v>38</v>
      </c>
      <c r="S85" s="15" t="s">
        <v>38</v>
      </c>
      <c r="T85" s="15" t="s">
        <v>38</v>
      </c>
      <c r="U85" s="36" t="s">
        <v>38</v>
      </c>
      <c r="V85" s="36" t="s">
        <v>38</v>
      </c>
      <c r="W85" s="15">
        <f>X205</f>
        <v>98.78</v>
      </c>
      <c r="X85" s="15">
        <f t="shared" si="0"/>
        <v>98.780000000000015</v>
      </c>
    </row>
    <row r="86" spans="1:24" x14ac:dyDescent="0.25">
      <c r="A86" s="11" t="s">
        <v>349</v>
      </c>
      <c r="B86" s="20"/>
      <c r="R86" s="13"/>
      <c r="U86" s="36"/>
      <c r="V86" s="36"/>
      <c r="X86" s="15">
        <f t="shared" si="0"/>
        <v>98.780000000000015</v>
      </c>
    </row>
    <row r="87" spans="1:24" x14ac:dyDescent="0.25">
      <c r="A87" s="11" t="s">
        <v>414</v>
      </c>
      <c r="R87" s="13"/>
      <c r="U87" s="36"/>
      <c r="V87" s="36"/>
      <c r="W87" s="11">
        <v>98.78</v>
      </c>
      <c r="X87" s="15">
        <f t="shared" si="0"/>
        <v>98.780000000000015</v>
      </c>
    </row>
    <row r="88" spans="1:24" x14ac:dyDescent="0.25">
      <c r="A88" s="11" t="s">
        <v>35</v>
      </c>
      <c r="B88" s="12">
        <v>113</v>
      </c>
      <c r="R88" s="13"/>
      <c r="U88" s="36"/>
      <c r="V88" s="36"/>
      <c r="W88" s="13"/>
      <c r="X88" s="15">
        <f t="shared" si="0"/>
        <v>98.780000000000015</v>
      </c>
    </row>
    <row r="89" spans="1:24" x14ac:dyDescent="0.25">
      <c r="A89" s="11" t="s">
        <v>39</v>
      </c>
      <c r="B89" s="12" t="str">
        <f>CONCATENATE("JUNC_",ROW())</f>
        <v>JUNC_89</v>
      </c>
      <c r="C89" s="13" t="s">
        <v>38</v>
      </c>
      <c r="D89" s="13" t="s">
        <v>38</v>
      </c>
      <c r="E89" s="14">
        <v>0</v>
      </c>
      <c r="F89" s="15" t="s">
        <v>38</v>
      </c>
      <c r="G89" s="15" t="s">
        <v>38</v>
      </c>
      <c r="H89" s="15">
        <v>0</v>
      </c>
      <c r="I89" s="15">
        <v>0</v>
      </c>
      <c r="J89" s="11" t="s">
        <v>275</v>
      </c>
      <c r="K89" s="11" t="s">
        <v>38</v>
      </c>
      <c r="L89" s="11" t="s">
        <v>38</v>
      </c>
      <c r="M89" s="12" t="str">
        <f>B220</f>
        <v>PIPE_220</v>
      </c>
      <c r="N89" s="12" t="str">
        <f ca="1">OFFSET($A$1,ROW()+1,1)</f>
        <v>PIPE_91</v>
      </c>
      <c r="O89" s="12">
        <v>2</v>
      </c>
      <c r="P89" s="12">
        <v>1</v>
      </c>
      <c r="Q89" s="17" t="s">
        <v>38</v>
      </c>
      <c r="R89" s="13" t="s">
        <v>38</v>
      </c>
      <c r="S89" s="15" t="s">
        <v>38</v>
      </c>
      <c r="T89" s="15" t="s">
        <v>38</v>
      </c>
      <c r="U89" s="36" t="s">
        <v>38</v>
      </c>
      <c r="V89" s="36" t="s">
        <v>38</v>
      </c>
      <c r="W89" s="13"/>
      <c r="X89" s="15">
        <f t="shared" si="0"/>
        <v>98.780000000000015</v>
      </c>
    </row>
    <row r="90" spans="1:24" x14ac:dyDescent="0.25">
      <c r="R90" s="13"/>
      <c r="U90" s="36"/>
      <c r="V90" s="36"/>
      <c r="W90" s="13"/>
      <c r="X90" s="15">
        <f t="shared" si="0"/>
        <v>98.780000000000015</v>
      </c>
    </row>
    <row r="91" spans="1:24" x14ac:dyDescent="0.25">
      <c r="A91" s="11" t="s">
        <v>41</v>
      </c>
      <c r="B91" s="12" t="str">
        <f t="shared" ref="B91:B93" si="6">CONCATENATE("PIPE_",ROW())</f>
        <v>PIPE_91</v>
      </c>
      <c r="C91" s="13">
        <v>0.6</v>
      </c>
      <c r="D91" s="13">
        <f>dx</f>
        <v>0.2</v>
      </c>
      <c r="E91" s="14">
        <f>(88.9-2*11.13)^2*PI()/4*0.001^2</f>
        <v>3.487866535690829E-3</v>
      </c>
      <c r="F91" s="15">
        <v>90</v>
      </c>
      <c r="G91" s="15">
        <v>0</v>
      </c>
      <c r="H91" s="15">
        <v>0</v>
      </c>
      <c r="I91" s="15">
        <v>0</v>
      </c>
      <c r="J91" s="11" t="s">
        <v>41</v>
      </c>
      <c r="K91" s="11" t="s">
        <v>38</v>
      </c>
      <c r="L91" s="11" t="s">
        <v>38</v>
      </c>
      <c r="M91" s="12" t="s">
        <v>38</v>
      </c>
      <c r="N91" s="12" t="s">
        <v>38</v>
      </c>
      <c r="O91" s="12" t="s">
        <v>38</v>
      </c>
      <c r="P91" s="12" t="s">
        <v>38</v>
      </c>
      <c r="Q91" s="17">
        <f>roughness</f>
        <v>4.5000000000000003E-5</v>
      </c>
      <c r="R91" s="13" t="s">
        <v>38</v>
      </c>
      <c r="S91" s="15" t="s">
        <v>38</v>
      </c>
      <c r="T91" s="15" t="s">
        <v>38</v>
      </c>
      <c r="U91" s="36" t="s">
        <v>38</v>
      </c>
      <c r="V91" s="36" t="s">
        <v>38</v>
      </c>
      <c r="W91" s="13"/>
      <c r="X91" s="15">
        <f t="shared" si="0"/>
        <v>99.38000000000001</v>
      </c>
    </row>
    <row r="92" spans="1:24" x14ac:dyDescent="0.25">
      <c r="A92" s="11" t="s">
        <v>41</v>
      </c>
      <c r="B92" s="12" t="str">
        <f t="shared" si="6"/>
        <v>PIPE_92</v>
      </c>
      <c r="C92" s="13">
        <v>0.4</v>
      </c>
      <c r="D92" s="13">
        <f>dx</f>
        <v>0.2</v>
      </c>
      <c r="E92" s="14">
        <f>(88.9-2*11.13)^2*PI()/4*0.001^2</f>
        <v>3.487866535690829E-3</v>
      </c>
      <c r="F92" s="15">
        <v>0</v>
      </c>
      <c r="G92" s="15">
        <v>0</v>
      </c>
      <c r="H92" s="15">
        <v>0</v>
      </c>
      <c r="I92" s="15">
        <v>0</v>
      </c>
      <c r="J92" s="11" t="s">
        <v>41</v>
      </c>
      <c r="K92" s="11" t="s">
        <v>38</v>
      </c>
      <c r="L92" s="11" t="s">
        <v>38</v>
      </c>
      <c r="M92" s="12" t="s">
        <v>38</v>
      </c>
      <c r="N92" s="12" t="s">
        <v>38</v>
      </c>
      <c r="O92" s="12" t="s">
        <v>38</v>
      </c>
      <c r="P92" s="12" t="s">
        <v>38</v>
      </c>
      <c r="Q92" s="17">
        <f>roughness</f>
        <v>4.5000000000000003E-5</v>
      </c>
      <c r="R92" s="13" t="s">
        <v>38</v>
      </c>
      <c r="S92" s="15" t="s">
        <v>38</v>
      </c>
      <c r="T92" s="15" t="s">
        <v>38</v>
      </c>
      <c r="U92" s="36" t="s">
        <v>38</v>
      </c>
      <c r="V92" s="36" t="s">
        <v>38</v>
      </c>
      <c r="W92" s="13"/>
      <c r="X92" s="15">
        <f t="shared" si="0"/>
        <v>99.38000000000001</v>
      </c>
    </row>
    <row r="93" spans="1:24" x14ac:dyDescent="0.25">
      <c r="A93" s="11" t="s">
        <v>41</v>
      </c>
      <c r="B93" s="12" t="str">
        <f t="shared" si="6"/>
        <v>PIPE_93</v>
      </c>
      <c r="C93" s="13">
        <v>1.43</v>
      </c>
      <c r="D93" s="13">
        <f>dx</f>
        <v>0.2</v>
      </c>
      <c r="E93" s="14">
        <f>(88.9-2*11.13)^2*PI()/4*0.001^2</f>
        <v>3.487866535690829E-3</v>
      </c>
      <c r="F93" s="15">
        <v>-90</v>
      </c>
      <c r="G93" s="15">
        <v>0</v>
      </c>
      <c r="H93" s="15">
        <v>0</v>
      </c>
      <c r="I93" s="15">
        <v>0</v>
      </c>
      <c r="J93" s="11" t="s">
        <v>41</v>
      </c>
      <c r="K93" s="11" t="s">
        <v>38</v>
      </c>
      <c r="L93" s="11" t="s">
        <v>38</v>
      </c>
      <c r="M93" s="12" t="s">
        <v>38</v>
      </c>
      <c r="N93" s="12" t="s">
        <v>38</v>
      </c>
      <c r="O93" s="12" t="s">
        <v>38</v>
      </c>
      <c r="P93" s="12" t="s">
        <v>38</v>
      </c>
      <c r="Q93" s="17">
        <f>roughness</f>
        <v>4.5000000000000003E-5</v>
      </c>
      <c r="R93" s="13" t="s">
        <v>38</v>
      </c>
      <c r="S93" s="15" t="s">
        <v>38</v>
      </c>
      <c r="T93" s="15" t="s">
        <v>38</v>
      </c>
      <c r="U93" s="36" t="s">
        <v>38</v>
      </c>
      <c r="V93" s="36" t="s">
        <v>38</v>
      </c>
      <c r="W93" s="13"/>
      <c r="X93" s="15">
        <f t="shared" si="0"/>
        <v>97.95</v>
      </c>
    </row>
    <row r="94" spans="1:24" x14ac:dyDescent="0.25">
      <c r="R94" s="13"/>
      <c r="U94" s="36"/>
      <c r="V94" s="36"/>
      <c r="W94" s="13"/>
      <c r="X94" s="15">
        <f t="shared" si="0"/>
        <v>97.95</v>
      </c>
    </row>
    <row r="95" spans="1:24" x14ac:dyDescent="0.25">
      <c r="A95" s="11" t="s">
        <v>39</v>
      </c>
      <c r="B95" s="12" t="str">
        <f>CONCATENATE("JUNC_",ROW())</f>
        <v>JUNC_95</v>
      </c>
      <c r="C95" s="13" t="s">
        <v>38</v>
      </c>
      <c r="D95" s="13" t="s">
        <v>38</v>
      </c>
      <c r="E95" s="14">
        <v>0</v>
      </c>
      <c r="F95" s="15" t="s">
        <v>38</v>
      </c>
      <c r="G95" s="15" t="s">
        <v>38</v>
      </c>
      <c r="H95" s="15">
        <v>0</v>
      </c>
      <c r="I95" s="15">
        <v>0</v>
      </c>
      <c r="J95" s="11" t="s">
        <v>275</v>
      </c>
      <c r="K95" s="11" t="s">
        <v>38</v>
      </c>
      <c r="L95" s="11" t="s">
        <v>38</v>
      </c>
      <c r="M95" s="12" t="str">
        <f ca="1">OFFSET($A$1,ROW()-3,1)</f>
        <v>PIPE_93</v>
      </c>
      <c r="N95" s="12" t="str">
        <f>B256</f>
        <v>PIPE_256</v>
      </c>
      <c r="O95" s="12">
        <v>2</v>
      </c>
      <c r="P95" s="12">
        <v>1</v>
      </c>
      <c r="Q95" s="17" t="s">
        <v>38</v>
      </c>
      <c r="R95" s="13" t="s">
        <v>38</v>
      </c>
      <c r="S95" s="15" t="s">
        <v>38</v>
      </c>
      <c r="T95" s="15" t="s">
        <v>38</v>
      </c>
      <c r="U95" s="36" t="s">
        <v>38</v>
      </c>
      <c r="V95" s="36" t="s">
        <v>38</v>
      </c>
      <c r="W95" s="13">
        <f>X255</f>
        <v>97.95</v>
      </c>
      <c r="X95" s="15">
        <f t="shared" si="0"/>
        <v>97.95</v>
      </c>
    </row>
    <row r="96" spans="1:24" x14ac:dyDescent="0.25">
      <c r="A96" s="11" t="s">
        <v>350</v>
      </c>
      <c r="R96" s="13"/>
      <c r="U96" s="36"/>
      <c r="V96" s="36"/>
      <c r="W96" s="13"/>
      <c r="X96" s="15">
        <f t="shared" si="0"/>
        <v>97.95</v>
      </c>
    </row>
    <row r="97" spans="1:24" x14ac:dyDescent="0.25">
      <c r="A97" s="11" t="s">
        <v>415</v>
      </c>
      <c r="R97" s="13"/>
      <c r="U97" s="36"/>
      <c r="V97" s="36"/>
      <c r="W97" s="13"/>
      <c r="X97" s="15">
        <f t="shared" si="0"/>
        <v>97.95</v>
      </c>
    </row>
    <row r="98" spans="1:24" x14ac:dyDescent="0.25">
      <c r="A98" s="11" t="s">
        <v>35</v>
      </c>
      <c r="B98" s="12">
        <v>117</v>
      </c>
      <c r="R98" s="13"/>
      <c r="U98" s="36"/>
      <c r="V98" s="36"/>
      <c r="W98" s="13"/>
      <c r="X98" s="15">
        <f t="shared" si="0"/>
        <v>97.95</v>
      </c>
    </row>
    <row r="99" spans="1:24" x14ac:dyDescent="0.25">
      <c r="A99" s="11" t="s">
        <v>39</v>
      </c>
      <c r="B99" s="12" t="str">
        <f>CONCATENATE("JUNC_",ROW())</f>
        <v>JUNC_99</v>
      </c>
      <c r="C99" s="13" t="s">
        <v>38</v>
      </c>
      <c r="D99" s="13" t="s">
        <v>38</v>
      </c>
      <c r="E99" s="14">
        <v>0</v>
      </c>
      <c r="F99" s="15" t="s">
        <v>38</v>
      </c>
      <c r="G99" s="15" t="s">
        <v>38</v>
      </c>
      <c r="H99" s="15">
        <v>0</v>
      </c>
      <c r="I99" s="15">
        <v>0</v>
      </c>
      <c r="J99" s="11" t="s">
        <v>275</v>
      </c>
      <c r="K99" s="11" t="s">
        <v>38</v>
      </c>
      <c r="L99" s="11" t="s">
        <v>38</v>
      </c>
      <c r="M99" s="12" t="str">
        <f>B270</f>
        <v>PIPE_270</v>
      </c>
      <c r="N99" s="12" t="str">
        <f ca="1">OFFSET($A$1,ROW()+1,1)</f>
        <v>PIPE_101</v>
      </c>
      <c r="O99" s="12">
        <v>2</v>
      </c>
      <c r="P99" s="12">
        <v>1</v>
      </c>
      <c r="Q99" s="17" t="s">
        <v>38</v>
      </c>
      <c r="R99" s="13" t="s">
        <v>38</v>
      </c>
      <c r="S99" s="15" t="s">
        <v>38</v>
      </c>
      <c r="T99" s="15" t="s">
        <v>38</v>
      </c>
      <c r="U99" s="36" t="s">
        <v>38</v>
      </c>
      <c r="V99" s="36" t="s">
        <v>38</v>
      </c>
      <c r="W99" s="13"/>
      <c r="X99" s="15">
        <f t="shared" si="0"/>
        <v>97.95</v>
      </c>
    </row>
    <row r="100" spans="1:24" x14ac:dyDescent="0.25">
      <c r="R100" s="13"/>
      <c r="U100" s="36"/>
      <c r="V100" s="36"/>
      <c r="W100" s="13"/>
      <c r="X100" s="15">
        <f t="shared" si="0"/>
        <v>97.95</v>
      </c>
    </row>
    <row r="101" spans="1:24" x14ac:dyDescent="0.25">
      <c r="A101" s="11" t="s">
        <v>41</v>
      </c>
      <c r="B101" s="12" t="str">
        <f t="shared" ref="B101:B104" si="7">CONCATENATE("PIPE_",ROW())</f>
        <v>PIPE_101</v>
      </c>
      <c r="C101" s="13">
        <v>1</v>
      </c>
      <c r="D101" s="13">
        <f>dx</f>
        <v>0.2</v>
      </c>
      <c r="E101" s="14">
        <f t="shared" ref="E101" si="8">(88.9-2*11.13)^2*PI()/4*0.001^2</f>
        <v>3.487866535690829E-3</v>
      </c>
      <c r="F101" s="15">
        <v>-45</v>
      </c>
      <c r="G101" s="15">
        <v>90</v>
      </c>
      <c r="H101" s="15">
        <v>0</v>
      </c>
      <c r="I101" s="15">
        <v>0</v>
      </c>
      <c r="J101" s="11" t="s">
        <v>41</v>
      </c>
      <c r="K101" s="11" t="s">
        <v>424</v>
      </c>
      <c r="L101" s="11" t="s">
        <v>38</v>
      </c>
      <c r="M101" s="12" t="s">
        <v>38</v>
      </c>
      <c r="N101" s="12" t="s">
        <v>38</v>
      </c>
      <c r="O101" s="12" t="s">
        <v>38</v>
      </c>
      <c r="P101" s="12" t="s">
        <v>38</v>
      </c>
      <c r="Q101" s="17">
        <f>roughness</f>
        <v>4.5000000000000003E-5</v>
      </c>
      <c r="R101" s="13" t="s">
        <v>38</v>
      </c>
      <c r="S101" s="15" t="s">
        <v>38</v>
      </c>
      <c r="T101" s="15" t="s">
        <v>38</v>
      </c>
      <c r="U101" s="36" t="s">
        <v>38</v>
      </c>
      <c r="V101" s="36" t="s">
        <v>38</v>
      </c>
      <c r="W101" s="13"/>
      <c r="X101" s="15">
        <f t="shared" si="0"/>
        <v>97.24289321881345</v>
      </c>
    </row>
    <row r="102" spans="1:24" x14ac:dyDescent="0.25">
      <c r="A102" s="11" t="s">
        <v>41</v>
      </c>
      <c r="B102" s="12" t="str">
        <f t="shared" si="7"/>
        <v>PIPE_102</v>
      </c>
      <c r="C102" s="13">
        <f>0.21/2+0.14</f>
        <v>0.245</v>
      </c>
      <c r="D102" s="13">
        <f>dx</f>
        <v>0.2</v>
      </c>
      <c r="E102" s="14">
        <f>(60.32-2*8.71)^2*PI()/4*0.001^2</f>
        <v>1.4454546338982977E-3</v>
      </c>
      <c r="F102" s="15">
        <v>-45</v>
      </c>
      <c r="G102" s="15">
        <v>90</v>
      </c>
      <c r="H102" s="15">
        <v>0</v>
      </c>
      <c r="I102" s="15">
        <v>0</v>
      </c>
      <c r="J102" s="11" t="s">
        <v>41</v>
      </c>
      <c r="K102" s="11" t="s">
        <v>424</v>
      </c>
      <c r="L102" s="11" t="s">
        <v>38</v>
      </c>
      <c r="M102" s="12" t="s">
        <v>38</v>
      </c>
      <c r="N102" s="12" t="s">
        <v>38</v>
      </c>
      <c r="O102" s="12" t="s">
        <v>38</v>
      </c>
      <c r="P102" s="12" t="s">
        <v>38</v>
      </c>
      <c r="Q102" s="17">
        <f>roughness</f>
        <v>4.5000000000000003E-5</v>
      </c>
      <c r="R102" s="13" t="s">
        <v>38</v>
      </c>
      <c r="S102" s="15" t="s">
        <v>38</v>
      </c>
      <c r="T102" s="15" t="s">
        <v>38</v>
      </c>
      <c r="U102" s="36" t="s">
        <v>38</v>
      </c>
      <c r="V102" s="36" t="s">
        <v>38</v>
      </c>
      <c r="W102" s="13"/>
      <c r="X102" s="15">
        <f t="shared" si="0"/>
        <v>97.069652057422743</v>
      </c>
    </row>
    <row r="103" spans="1:24" x14ac:dyDescent="0.25">
      <c r="A103" s="11" t="s">
        <v>41</v>
      </c>
      <c r="B103" s="12" t="str">
        <f t="shared" si="7"/>
        <v>PIPE_103</v>
      </c>
      <c r="C103" s="13">
        <v>0.3</v>
      </c>
      <c r="D103" s="13">
        <f>dx</f>
        <v>0.2</v>
      </c>
      <c r="E103" s="14">
        <f>(60.32-2*8.71)^2*PI()/4*0.001^2</f>
        <v>1.4454546338982977E-3</v>
      </c>
      <c r="F103" s="15">
        <v>0</v>
      </c>
      <c r="G103" s="15">
        <v>90</v>
      </c>
      <c r="H103" s="15">
        <v>0</v>
      </c>
      <c r="I103" s="15">
        <v>0</v>
      </c>
      <c r="J103" s="11" t="s">
        <v>41</v>
      </c>
      <c r="K103" s="11" t="s">
        <v>424</v>
      </c>
      <c r="L103" s="11" t="s">
        <v>38</v>
      </c>
      <c r="M103" s="12" t="s">
        <v>38</v>
      </c>
      <c r="N103" s="12" t="s">
        <v>38</v>
      </c>
      <c r="O103" s="12" t="s">
        <v>38</v>
      </c>
      <c r="P103" s="12" t="s">
        <v>38</v>
      </c>
      <c r="Q103" s="17">
        <f>roughness</f>
        <v>4.5000000000000003E-5</v>
      </c>
      <c r="R103" s="13" t="s">
        <v>38</v>
      </c>
      <c r="S103" s="15" t="s">
        <v>38</v>
      </c>
      <c r="T103" s="15" t="s">
        <v>38</v>
      </c>
      <c r="U103" s="36" t="s">
        <v>38</v>
      </c>
      <c r="V103" s="36" t="s">
        <v>38</v>
      </c>
      <c r="W103" s="13"/>
      <c r="X103" s="15">
        <f t="shared" si="0"/>
        <v>97.069652057422743</v>
      </c>
    </row>
    <row r="104" spans="1:24" x14ac:dyDescent="0.25">
      <c r="A104" s="11" t="s">
        <v>41</v>
      </c>
      <c r="B104" s="12" t="str">
        <f t="shared" si="7"/>
        <v>PIPE_104</v>
      </c>
      <c r="C104" s="13">
        <f>1.128+0.3/2</f>
        <v>1.2779999999999998</v>
      </c>
      <c r="D104" s="13">
        <f>dx</f>
        <v>0.2</v>
      </c>
      <c r="E104" s="14">
        <f>(60.32-2*8.71)^2*PI()/4*0.001^2</f>
        <v>1.4454546338982977E-3</v>
      </c>
      <c r="F104" s="15">
        <v>0</v>
      </c>
      <c r="G104" s="15">
        <v>180</v>
      </c>
      <c r="H104" s="15">
        <v>0</v>
      </c>
      <c r="I104" s="15">
        <v>0</v>
      </c>
      <c r="J104" s="11" t="s">
        <v>41</v>
      </c>
      <c r="K104" s="11" t="s">
        <v>424</v>
      </c>
      <c r="L104" s="11" t="s">
        <v>38</v>
      </c>
      <c r="M104" s="12" t="s">
        <v>38</v>
      </c>
      <c r="N104" s="12" t="s">
        <v>38</v>
      </c>
      <c r="O104" s="12" t="s">
        <v>38</v>
      </c>
      <c r="P104" s="12" t="s">
        <v>38</v>
      </c>
      <c r="Q104" s="17">
        <f>roughness</f>
        <v>4.5000000000000003E-5</v>
      </c>
      <c r="R104" s="13" t="s">
        <v>38</v>
      </c>
      <c r="S104" s="15" t="s">
        <v>38</v>
      </c>
      <c r="T104" s="15" t="s">
        <v>38</v>
      </c>
      <c r="U104" s="36" t="s">
        <v>38</v>
      </c>
      <c r="V104" s="36" t="s">
        <v>38</v>
      </c>
      <c r="W104" s="13"/>
      <c r="X104" s="15">
        <f t="shared" si="0"/>
        <v>97.069652057422743</v>
      </c>
    </row>
    <row r="105" spans="1:24" x14ac:dyDescent="0.25">
      <c r="R105" s="13"/>
      <c r="U105" s="36"/>
      <c r="V105" s="36"/>
      <c r="W105" s="13"/>
      <c r="X105" s="15">
        <f t="shared" si="0"/>
        <v>97.069652057422743</v>
      </c>
    </row>
    <row r="106" spans="1:24" x14ac:dyDescent="0.25">
      <c r="A106" s="11" t="s">
        <v>62</v>
      </c>
      <c r="B106" s="12" t="str">
        <f>CONCATENATE("JUNC_",ROW())</f>
        <v>JUNC_106</v>
      </c>
      <c r="C106" s="13" t="s">
        <v>38</v>
      </c>
      <c r="D106" s="13" t="s">
        <v>38</v>
      </c>
      <c r="E106" s="14">
        <f>(60.32-2*8.71)^2*PI()/4*0.001^2</f>
        <v>1.4454546338982977E-3</v>
      </c>
      <c r="F106" s="15" t="s">
        <v>38</v>
      </c>
      <c r="G106" s="15" t="s">
        <v>38</v>
      </c>
      <c r="H106" s="15">
        <f>Cv2K(42,E106)</f>
        <v>4.14020597763502</v>
      </c>
      <c r="I106" s="15">
        <f>H106</f>
        <v>4.14020597763502</v>
      </c>
      <c r="J106" s="11" t="s">
        <v>425</v>
      </c>
      <c r="K106" s="11" t="s">
        <v>38</v>
      </c>
      <c r="L106" s="11" t="s">
        <v>38</v>
      </c>
      <c r="M106" s="12" t="str">
        <f ca="1">OFFSET($A$1,ROW()-3,1)</f>
        <v>PIPE_104</v>
      </c>
      <c r="N106" s="12" t="str">
        <f ca="1">OFFSET($A$1,ROW()+1,1)</f>
        <v>PIPE_108</v>
      </c>
      <c r="O106" s="12">
        <v>2</v>
      </c>
      <c r="P106" s="12">
        <v>1</v>
      </c>
      <c r="Q106" s="17" t="s">
        <v>38</v>
      </c>
      <c r="R106" s="13" t="s">
        <v>38</v>
      </c>
      <c r="S106" s="15" t="s">
        <v>38</v>
      </c>
      <c r="T106" s="15">
        <v>1</v>
      </c>
      <c r="U106" s="36" t="s">
        <v>38</v>
      </c>
      <c r="V106" s="36" t="s">
        <v>38</v>
      </c>
      <c r="W106" s="13"/>
      <c r="X106" s="15">
        <f t="shared" si="0"/>
        <v>97.069652057422743</v>
      </c>
    </row>
    <row r="107" spans="1:24" x14ac:dyDescent="0.25">
      <c r="R107" s="13"/>
      <c r="U107" s="36"/>
      <c r="V107" s="36"/>
      <c r="W107" s="13"/>
      <c r="X107" s="15">
        <f t="shared" si="0"/>
        <v>97.069652057422743</v>
      </c>
    </row>
    <row r="108" spans="1:24" x14ac:dyDescent="0.25">
      <c r="A108" s="11" t="s">
        <v>41</v>
      </c>
      <c r="B108" s="12" t="str">
        <f t="shared" ref="B108" si="9">CONCATENATE("PIPE_",ROW())</f>
        <v>PIPE_108</v>
      </c>
      <c r="C108" s="13">
        <f>0.3/2+0.241+0.12+0.16+0.12+0.176+0.216/2</f>
        <v>1.0750000000000002</v>
      </c>
      <c r="D108" s="13">
        <f>dx</f>
        <v>0.2</v>
      </c>
      <c r="E108" s="14">
        <f>(60.32-2*8.71)^2*PI()/4*0.001^2</f>
        <v>1.4454546338982977E-3</v>
      </c>
      <c r="F108" s="15">
        <v>0</v>
      </c>
      <c r="G108" s="15">
        <v>180</v>
      </c>
      <c r="H108" s="15">
        <v>0</v>
      </c>
      <c r="I108" s="15">
        <v>0</v>
      </c>
      <c r="J108" s="11" t="s">
        <v>41</v>
      </c>
      <c r="K108" s="11" t="s">
        <v>424</v>
      </c>
      <c r="L108" s="11" t="s">
        <v>38</v>
      </c>
      <c r="M108" s="12" t="s">
        <v>38</v>
      </c>
      <c r="N108" s="12" t="s">
        <v>38</v>
      </c>
      <c r="O108" s="12" t="s">
        <v>38</v>
      </c>
      <c r="P108" s="12" t="s">
        <v>38</v>
      </c>
      <c r="Q108" s="17">
        <f>roughness</f>
        <v>4.5000000000000003E-5</v>
      </c>
      <c r="R108" s="13" t="s">
        <v>38</v>
      </c>
      <c r="S108" s="15" t="s">
        <v>38</v>
      </c>
      <c r="T108" s="15" t="s">
        <v>38</v>
      </c>
      <c r="U108" s="36" t="s">
        <v>38</v>
      </c>
      <c r="V108" s="36" t="s">
        <v>38</v>
      </c>
      <c r="W108" s="13"/>
      <c r="X108" s="15">
        <f t="shared" si="0"/>
        <v>97.069652057422743</v>
      </c>
    </row>
    <row r="109" spans="1:24" x14ac:dyDescent="0.25">
      <c r="R109" s="13"/>
      <c r="U109" s="36"/>
      <c r="V109" s="36"/>
      <c r="W109" s="13"/>
      <c r="X109" s="15">
        <f t="shared" si="0"/>
        <v>97.069652057422743</v>
      </c>
    </row>
    <row r="110" spans="1:24" x14ac:dyDescent="0.25">
      <c r="A110" s="11" t="s">
        <v>62</v>
      </c>
      <c r="B110" s="12" t="str">
        <f>CONCATENATE("JUNC_",ROW())</f>
        <v>JUNC_110</v>
      </c>
      <c r="C110" s="13" t="s">
        <v>38</v>
      </c>
      <c r="D110" s="13" t="s">
        <v>38</v>
      </c>
      <c r="E110" s="14">
        <f>(60.32-2*8.71)^2*PI()/4*0.001^2</f>
        <v>1.4454546338982977E-3</v>
      </c>
      <c r="F110" s="15" t="s">
        <v>38</v>
      </c>
      <c r="G110" s="15" t="s">
        <v>38</v>
      </c>
      <c r="H110" s="15">
        <f>Cv2K(67,E110)</f>
        <v>1.6269377020601863</v>
      </c>
      <c r="I110" s="15">
        <f>H110</f>
        <v>1.6269377020601863</v>
      </c>
      <c r="J110" s="11" t="s">
        <v>426</v>
      </c>
      <c r="K110" s="11" t="s">
        <v>38</v>
      </c>
      <c r="L110" s="11" t="s">
        <v>38</v>
      </c>
      <c r="M110" s="12" t="str">
        <f ca="1">OFFSET($A$1,ROW()-3,1)</f>
        <v>PIPE_108</v>
      </c>
      <c r="N110" s="12" t="str">
        <f ca="1">OFFSET($A$1,ROW()+1,1)</f>
        <v>PIPE_112</v>
      </c>
      <c r="O110" s="12">
        <v>2</v>
      </c>
      <c r="P110" s="12">
        <v>1</v>
      </c>
      <c r="Q110" s="17" t="s">
        <v>38</v>
      </c>
      <c r="R110" s="13" t="s">
        <v>38</v>
      </c>
      <c r="S110" s="15" t="s">
        <v>38</v>
      </c>
      <c r="T110" s="15">
        <v>1</v>
      </c>
      <c r="U110" s="36" t="s">
        <v>38</v>
      </c>
      <c r="V110" s="36" t="s">
        <v>38</v>
      </c>
      <c r="W110" s="13" t="s">
        <v>427</v>
      </c>
      <c r="X110" s="15">
        <f t="shared" si="0"/>
        <v>97.069652057422743</v>
      </c>
    </row>
    <row r="111" spans="1:24" x14ac:dyDescent="0.25">
      <c r="R111" s="13"/>
      <c r="U111" s="36"/>
      <c r="V111" s="36"/>
      <c r="W111" s="13"/>
      <c r="X111" s="15">
        <f t="shared" si="0"/>
        <v>97.069652057422743</v>
      </c>
    </row>
    <row r="112" spans="1:24" x14ac:dyDescent="0.25">
      <c r="A112" s="11" t="s">
        <v>41</v>
      </c>
      <c r="B112" s="12" t="str">
        <f t="shared" ref="B112" si="10">CONCATENATE("PIPE_",ROW())</f>
        <v>PIPE_112</v>
      </c>
      <c r="C112" s="13">
        <f>0.216/2+0.1+0.405+0.4/2</f>
        <v>0.81299999999999994</v>
      </c>
      <c r="D112" s="13">
        <f>dx</f>
        <v>0.2</v>
      </c>
      <c r="E112" s="14">
        <f>(60.32-2*8.71)^2*PI()/4*0.001^2</f>
        <v>1.4454546338982977E-3</v>
      </c>
      <c r="F112" s="15">
        <v>0</v>
      </c>
      <c r="G112" s="15">
        <v>180</v>
      </c>
      <c r="H112" s="15">
        <v>0</v>
      </c>
      <c r="I112" s="15">
        <v>0</v>
      </c>
      <c r="J112" s="11" t="s">
        <v>41</v>
      </c>
      <c r="K112" s="11" t="s">
        <v>424</v>
      </c>
      <c r="L112" s="11" t="s">
        <v>38</v>
      </c>
      <c r="M112" s="12" t="s">
        <v>38</v>
      </c>
      <c r="N112" s="12" t="s">
        <v>38</v>
      </c>
      <c r="O112" s="12" t="s">
        <v>38</v>
      </c>
      <c r="P112" s="12" t="s">
        <v>38</v>
      </c>
      <c r="Q112" s="17">
        <f>roughness</f>
        <v>4.5000000000000003E-5</v>
      </c>
      <c r="R112" s="13" t="s">
        <v>38</v>
      </c>
      <c r="S112" s="15" t="s">
        <v>38</v>
      </c>
      <c r="T112" s="15" t="s">
        <v>38</v>
      </c>
      <c r="U112" s="36" t="s">
        <v>38</v>
      </c>
      <c r="V112" s="36" t="s">
        <v>38</v>
      </c>
      <c r="W112" s="13"/>
      <c r="X112" s="15">
        <f t="shared" si="0"/>
        <v>97.069652057422743</v>
      </c>
    </row>
    <row r="113" spans="1:24" x14ac:dyDescent="0.25">
      <c r="A113" s="11" t="s">
        <v>36</v>
      </c>
      <c r="B113" s="12">
        <f>$B$29*100000</f>
        <v>1000000</v>
      </c>
      <c r="C113" s="13">
        <v>300</v>
      </c>
      <c r="R113" s="13"/>
      <c r="U113" s="36"/>
      <c r="V113" s="36"/>
      <c r="W113" s="13"/>
      <c r="X113" s="15">
        <f t="shared" si="0"/>
        <v>97.069652057422743</v>
      </c>
    </row>
    <row r="114" spans="1:24" x14ac:dyDescent="0.25">
      <c r="A114" s="11" t="s">
        <v>62</v>
      </c>
      <c r="B114" s="12" t="str">
        <f>CONCATENATE("JUNC_",ROW())</f>
        <v>JUNC_114</v>
      </c>
      <c r="C114" s="13" t="s">
        <v>38</v>
      </c>
      <c r="D114" s="13" t="s">
        <v>38</v>
      </c>
      <c r="E114" s="14">
        <f>K2At(3,E112,E112,E116)</f>
        <v>7.7883749438807204E-4</v>
      </c>
      <c r="F114" s="15" t="s">
        <v>38</v>
      </c>
      <c r="G114" s="15" t="s">
        <v>38</v>
      </c>
      <c r="H114" s="15">
        <v>0</v>
      </c>
      <c r="I114" s="15">
        <v>0</v>
      </c>
      <c r="J114" s="11" t="s">
        <v>432</v>
      </c>
      <c r="K114" s="11" t="s">
        <v>38</v>
      </c>
      <c r="L114" s="11" t="s">
        <v>38</v>
      </c>
      <c r="M114" s="12" t="str">
        <f ca="1">OFFSET($A$1,ROW()-3,1)</f>
        <v>PIPE_112</v>
      </c>
      <c r="N114" s="12" t="str">
        <f ca="1">OFFSET($A$1,ROW()+1,1)</f>
        <v>PIPE_116</v>
      </c>
      <c r="O114" s="12">
        <v>2</v>
      </c>
      <c r="P114" s="12">
        <v>1</v>
      </c>
      <c r="Q114" s="17" t="s">
        <v>38</v>
      </c>
      <c r="R114" s="13" t="s">
        <v>38</v>
      </c>
      <c r="S114" s="15" t="s">
        <v>38</v>
      </c>
      <c r="T114" s="15">
        <v>0</v>
      </c>
      <c r="U114" s="36" t="s">
        <v>38</v>
      </c>
      <c r="V114" s="36" t="s">
        <v>38</v>
      </c>
      <c r="W114" s="13" t="s">
        <v>453</v>
      </c>
      <c r="X114" s="15">
        <f t="shared" si="0"/>
        <v>97.069652057422743</v>
      </c>
    </row>
    <row r="115" spans="1:24" x14ac:dyDescent="0.25">
      <c r="R115" s="13"/>
      <c r="U115" s="36"/>
      <c r="V115" s="36"/>
      <c r="W115" s="13"/>
      <c r="X115" s="15">
        <f t="shared" si="0"/>
        <v>97.069652057422743</v>
      </c>
    </row>
    <row r="116" spans="1:24" x14ac:dyDescent="0.25">
      <c r="A116" s="11" t="s">
        <v>41</v>
      </c>
      <c r="B116" s="12" t="str">
        <f t="shared" ref="B116" si="11">CONCATENATE("PIPE_",ROW())</f>
        <v>PIPE_116</v>
      </c>
      <c r="C116" s="13">
        <f>0.4/2+0.428+0.216/2</f>
        <v>0.73599999999999999</v>
      </c>
      <c r="D116" s="13">
        <f>dx</f>
        <v>0.2</v>
      </c>
      <c r="E116" s="14">
        <f>(60.32-2*8.71)^2*PI()/4*0.001^2</f>
        <v>1.4454546338982977E-3</v>
      </c>
      <c r="F116" s="15">
        <v>0</v>
      </c>
      <c r="G116" s="15">
        <v>180</v>
      </c>
      <c r="H116" s="15">
        <v>0</v>
      </c>
      <c r="I116" s="15">
        <v>0</v>
      </c>
      <c r="J116" s="11" t="s">
        <v>41</v>
      </c>
      <c r="K116" s="11" t="s">
        <v>424</v>
      </c>
      <c r="L116" s="11" t="s">
        <v>38</v>
      </c>
      <c r="M116" s="12" t="s">
        <v>38</v>
      </c>
      <c r="N116" s="12" t="s">
        <v>38</v>
      </c>
      <c r="O116" s="12" t="s">
        <v>38</v>
      </c>
      <c r="P116" s="12" t="s">
        <v>38</v>
      </c>
      <c r="Q116" s="17">
        <f>roughness</f>
        <v>4.5000000000000003E-5</v>
      </c>
      <c r="R116" s="13" t="s">
        <v>38</v>
      </c>
      <c r="S116" s="15" t="s">
        <v>38</v>
      </c>
      <c r="T116" s="15" t="s">
        <v>38</v>
      </c>
      <c r="U116" s="36" t="s">
        <v>38</v>
      </c>
      <c r="V116" s="36" t="s">
        <v>38</v>
      </c>
      <c r="W116" s="13"/>
      <c r="X116" s="15">
        <f t="shared" si="0"/>
        <v>97.069652057422743</v>
      </c>
    </row>
    <row r="117" spans="1:24" x14ac:dyDescent="0.25">
      <c r="R117" s="13"/>
      <c r="U117" s="36"/>
      <c r="V117" s="36"/>
      <c r="W117" s="13"/>
      <c r="X117" s="15">
        <f t="shared" si="0"/>
        <v>97.069652057422743</v>
      </c>
    </row>
    <row r="118" spans="1:24" x14ac:dyDescent="0.25">
      <c r="A118" s="11" t="s">
        <v>62</v>
      </c>
      <c r="B118" s="12" t="str">
        <f>CONCATENATE("JUNC_",ROW())</f>
        <v>JUNC_118</v>
      </c>
      <c r="C118" s="13" t="s">
        <v>38</v>
      </c>
      <c r="D118" s="13" t="s">
        <v>38</v>
      </c>
      <c r="E118" s="14">
        <f>(60.32-2*8.71)^2*PI()/4*0.001^2</f>
        <v>1.4454546338982977E-3</v>
      </c>
      <c r="F118" s="15" t="s">
        <v>38</v>
      </c>
      <c r="G118" s="15" t="s">
        <v>38</v>
      </c>
      <c r="H118" s="15">
        <f>Cv2K(67,E118)</f>
        <v>1.6269377020601863</v>
      </c>
      <c r="I118" s="15">
        <f>H118</f>
        <v>1.6269377020601863</v>
      </c>
      <c r="J118" s="11" t="s">
        <v>428</v>
      </c>
      <c r="K118" s="11" t="s">
        <v>38</v>
      </c>
      <c r="L118" s="11" t="s">
        <v>38</v>
      </c>
      <c r="M118" s="12" t="str">
        <f ca="1">OFFSET($A$1,ROW()-3,1)</f>
        <v>PIPE_116</v>
      </c>
      <c r="N118" s="12" t="str">
        <f ca="1">OFFSET($A$1,ROW()+1,1)</f>
        <v>PIPE_120</v>
      </c>
      <c r="O118" s="12">
        <v>2</v>
      </c>
      <c r="P118" s="12">
        <v>1</v>
      </c>
      <c r="Q118" s="17" t="s">
        <v>38</v>
      </c>
      <c r="R118" s="13" t="s">
        <v>38</v>
      </c>
      <c r="S118" s="15" t="s">
        <v>38</v>
      </c>
      <c r="T118" s="15">
        <v>1</v>
      </c>
      <c r="U118" s="36" t="s">
        <v>38</v>
      </c>
      <c r="V118" s="36" t="s">
        <v>38</v>
      </c>
      <c r="W118" s="13" t="s">
        <v>427</v>
      </c>
      <c r="X118" s="15">
        <f t="shared" si="0"/>
        <v>97.069652057422743</v>
      </c>
    </row>
    <row r="119" spans="1:24" x14ac:dyDescent="0.25">
      <c r="R119" s="13"/>
      <c r="U119" s="36"/>
      <c r="V119" s="36"/>
      <c r="W119" s="13"/>
      <c r="X119" s="15">
        <f t="shared" si="0"/>
        <v>97.069652057422743</v>
      </c>
    </row>
    <row r="120" spans="1:24" x14ac:dyDescent="0.25">
      <c r="A120" s="11" t="s">
        <v>41</v>
      </c>
      <c r="B120" s="12" t="str">
        <f t="shared" ref="B120:B121" si="12">CONCATENATE("PIPE_",ROW())</f>
        <v>PIPE_120</v>
      </c>
      <c r="C120" s="13">
        <f>0.216/2+0.275+0.28+0.12/2</f>
        <v>0.72300000000000009</v>
      </c>
      <c r="D120" s="13">
        <f>dx</f>
        <v>0.2</v>
      </c>
      <c r="E120" s="14">
        <f>(60.32-2*8.71)^2*PI()/4*0.001^2</f>
        <v>1.4454546338982977E-3</v>
      </c>
      <c r="F120" s="15">
        <v>0</v>
      </c>
      <c r="G120" s="15">
        <v>180</v>
      </c>
      <c r="H120" s="15">
        <v>0</v>
      </c>
      <c r="I120" s="15">
        <v>0</v>
      </c>
      <c r="J120" s="11" t="s">
        <v>41</v>
      </c>
      <c r="K120" s="11" t="s">
        <v>429</v>
      </c>
      <c r="L120" s="11" t="s">
        <v>38</v>
      </c>
      <c r="M120" s="12" t="s">
        <v>38</v>
      </c>
      <c r="N120" s="12" t="s">
        <v>38</v>
      </c>
      <c r="O120" s="12" t="s">
        <v>38</v>
      </c>
      <c r="P120" s="12" t="s">
        <v>38</v>
      </c>
      <c r="Q120" s="17">
        <f>roughness</f>
        <v>4.5000000000000003E-5</v>
      </c>
      <c r="R120" s="13" t="s">
        <v>38</v>
      </c>
      <c r="S120" s="15" t="s">
        <v>38</v>
      </c>
      <c r="T120" s="15" t="s">
        <v>38</v>
      </c>
      <c r="U120" s="36" t="s">
        <v>38</v>
      </c>
      <c r="V120" s="36" t="s">
        <v>38</v>
      </c>
      <c r="W120" s="13"/>
      <c r="X120" s="15">
        <f t="shared" si="0"/>
        <v>97.069652057422743</v>
      </c>
    </row>
    <row r="121" spans="1:24" x14ac:dyDescent="0.25">
      <c r="A121" s="11" t="s">
        <v>41</v>
      </c>
      <c r="B121" s="12" t="str">
        <f t="shared" si="12"/>
        <v>PIPE_121</v>
      </c>
      <c r="C121" s="13">
        <f>0.06+0.59+0.05</f>
        <v>0.7</v>
      </c>
      <c r="D121" s="13">
        <f>dx</f>
        <v>0.2</v>
      </c>
      <c r="E121" s="14">
        <f>(60.32-2*8.71)^2*PI()/4*0.001^2</f>
        <v>1.4454546338982977E-3</v>
      </c>
      <c r="F121" s="15">
        <v>90</v>
      </c>
      <c r="G121" s="15">
        <v>0</v>
      </c>
      <c r="H121" s="15">
        <v>0</v>
      </c>
      <c r="I121" s="15">
        <v>0</v>
      </c>
      <c r="J121" s="11" t="s">
        <v>41</v>
      </c>
      <c r="K121" s="11" t="s">
        <v>429</v>
      </c>
      <c r="L121" s="11" t="s">
        <v>38</v>
      </c>
      <c r="M121" s="12" t="s">
        <v>38</v>
      </c>
      <c r="N121" s="12" t="s">
        <v>38</v>
      </c>
      <c r="O121" s="12" t="s">
        <v>38</v>
      </c>
      <c r="P121" s="12" t="s">
        <v>38</v>
      </c>
      <c r="Q121" s="17">
        <f>roughness</f>
        <v>4.5000000000000003E-5</v>
      </c>
      <c r="R121" s="13" t="s">
        <v>38</v>
      </c>
      <c r="S121" s="15" t="s">
        <v>38</v>
      </c>
      <c r="T121" s="15" t="s">
        <v>38</v>
      </c>
      <c r="U121" s="36" t="s">
        <v>38</v>
      </c>
      <c r="V121" s="36" t="s">
        <v>38</v>
      </c>
      <c r="W121" s="13"/>
      <c r="X121" s="15">
        <f t="shared" si="0"/>
        <v>97.769652057422746</v>
      </c>
    </row>
    <row r="122" spans="1:24" x14ac:dyDescent="0.25">
      <c r="R122" s="13"/>
      <c r="U122" s="36"/>
      <c r="V122" s="36"/>
      <c r="W122" s="13"/>
      <c r="X122" s="15">
        <f t="shared" si="0"/>
        <v>97.769652057422746</v>
      </c>
    </row>
    <row r="123" spans="1:24" x14ac:dyDescent="0.25">
      <c r="A123" s="11" t="s">
        <v>39</v>
      </c>
      <c r="B123" s="12" t="str">
        <f>CONCATENATE("JUNC_",ROW())</f>
        <v>JUNC_123</v>
      </c>
      <c r="C123" s="13" t="s">
        <v>38</v>
      </c>
      <c r="D123" s="13" t="s">
        <v>38</v>
      </c>
      <c r="E123" s="14">
        <f>35^2*PI()/4*0.001^2</f>
        <v>9.6211275016187413E-4</v>
      </c>
      <c r="F123" s="15" t="s">
        <v>38</v>
      </c>
      <c r="G123" s="15" t="s">
        <v>38</v>
      </c>
      <c r="H123" s="15">
        <v>0</v>
      </c>
      <c r="I123" s="15">
        <v>0</v>
      </c>
      <c r="J123" s="11" t="s">
        <v>430</v>
      </c>
      <c r="K123" s="11" t="s">
        <v>38</v>
      </c>
      <c r="L123" s="11" t="s">
        <v>38</v>
      </c>
      <c r="M123" s="12" t="str">
        <f ca="1">OFFSET($A$1,ROW()-3,1)</f>
        <v>PIPE_121</v>
      </c>
      <c r="N123" s="12" t="str">
        <f ca="1">OFFSET($A$1,ROW()+1,1)</f>
        <v>PIPE_125</v>
      </c>
      <c r="O123" s="12">
        <v>2</v>
      </c>
      <c r="P123" s="12">
        <v>1</v>
      </c>
      <c r="Q123" s="17" t="s">
        <v>38</v>
      </c>
      <c r="R123" s="13" t="s">
        <v>38</v>
      </c>
      <c r="S123" s="15" t="s">
        <v>38</v>
      </c>
      <c r="T123" s="15" t="s">
        <v>38</v>
      </c>
      <c r="U123" s="36" t="s">
        <v>38</v>
      </c>
      <c r="V123" s="36" t="s">
        <v>38</v>
      </c>
      <c r="W123" s="13"/>
      <c r="X123" s="15">
        <f t="shared" si="0"/>
        <v>97.769652057422746</v>
      </c>
    </row>
    <row r="124" spans="1:24" x14ac:dyDescent="0.25">
      <c r="R124" s="13"/>
      <c r="U124" s="36"/>
      <c r="V124" s="36"/>
      <c r="W124" s="13"/>
      <c r="X124" s="15">
        <f t="shared" si="0"/>
        <v>97.769652057422746</v>
      </c>
    </row>
    <row r="125" spans="1:24" x14ac:dyDescent="0.25">
      <c r="A125" s="11" t="s">
        <v>41</v>
      </c>
      <c r="B125" s="12" t="str">
        <f t="shared" ref="B125" si="13">CONCATENATE("PIPE_",ROW())</f>
        <v>PIPE_125</v>
      </c>
      <c r="C125" s="13">
        <f>0.06+0.59+0.05</f>
        <v>0.7</v>
      </c>
      <c r="D125" s="13">
        <f>dx</f>
        <v>0.2</v>
      </c>
      <c r="E125" s="14">
        <f>(60.32-2*8.71)^2*PI()/4*0.001^2</f>
        <v>1.4454546338982977E-3</v>
      </c>
      <c r="F125" s="15">
        <v>90</v>
      </c>
      <c r="G125" s="15">
        <v>0</v>
      </c>
      <c r="H125" s="15">
        <v>0</v>
      </c>
      <c r="I125" s="15">
        <v>0</v>
      </c>
      <c r="J125" s="11" t="s">
        <v>41</v>
      </c>
      <c r="K125" s="11" t="s">
        <v>429</v>
      </c>
      <c r="L125" s="11" t="s">
        <v>38</v>
      </c>
      <c r="M125" s="12" t="s">
        <v>38</v>
      </c>
      <c r="N125" s="12" t="s">
        <v>38</v>
      </c>
      <c r="O125" s="12" t="s">
        <v>38</v>
      </c>
      <c r="P125" s="12" t="s">
        <v>38</v>
      </c>
      <c r="Q125" s="17">
        <f>roughness</f>
        <v>4.5000000000000003E-5</v>
      </c>
      <c r="R125" s="13" t="s">
        <v>38</v>
      </c>
      <c r="S125" s="15" t="s">
        <v>38</v>
      </c>
      <c r="T125" s="15" t="s">
        <v>38</v>
      </c>
      <c r="U125" s="36" t="s">
        <v>38</v>
      </c>
      <c r="V125" s="36" t="s">
        <v>38</v>
      </c>
      <c r="W125" s="13"/>
      <c r="X125" s="15">
        <f t="shared" si="0"/>
        <v>98.469652057422749</v>
      </c>
    </row>
    <row r="126" spans="1:24" x14ac:dyDescent="0.25">
      <c r="R126" s="13"/>
      <c r="U126" s="36"/>
      <c r="V126" s="36"/>
      <c r="W126" s="13"/>
      <c r="X126" s="15">
        <f t="shared" si="0"/>
        <v>98.469652057422749</v>
      </c>
    </row>
    <row r="127" spans="1:24" x14ac:dyDescent="0.25">
      <c r="A127" s="11" t="s">
        <v>39</v>
      </c>
      <c r="B127" s="12" t="str">
        <f>CONCATENATE("JUNC_",ROW())</f>
        <v>JUNC_127</v>
      </c>
      <c r="C127" s="13" t="s">
        <v>38</v>
      </c>
      <c r="D127" s="13" t="s">
        <v>38</v>
      </c>
      <c r="E127" s="14">
        <v>0</v>
      </c>
      <c r="F127" s="15" t="s">
        <v>38</v>
      </c>
      <c r="G127" s="15" t="s">
        <v>38</v>
      </c>
      <c r="H127" s="15">
        <v>0</v>
      </c>
      <c r="I127" s="15">
        <v>0</v>
      </c>
      <c r="J127" s="11" t="s">
        <v>275</v>
      </c>
      <c r="K127" s="11" t="s">
        <v>38</v>
      </c>
      <c r="L127" s="11" t="s">
        <v>38</v>
      </c>
      <c r="M127" s="12" t="str">
        <f ca="1">OFFSET($A$1,ROW()-3,1)</f>
        <v>PIPE_125</v>
      </c>
      <c r="N127" s="12" t="str">
        <f ca="1">OFFSET($A$1,ROW()+1,1)</f>
        <v>TMDV_129</v>
      </c>
      <c r="O127" s="12">
        <v>2</v>
      </c>
      <c r="P127" s="12">
        <v>1</v>
      </c>
      <c r="Q127" s="17" t="s">
        <v>38</v>
      </c>
      <c r="R127" s="13" t="s">
        <v>38</v>
      </c>
      <c r="S127" s="15" t="s">
        <v>38</v>
      </c>
      <c r="T127" s="15" t="s">
        <v>38</v>
      </c>
      <c r="U127" s="36" t="s">
        <v>38</v>
      </c>
      <c r="V127" s="36" t="s">
        <v>38</v>
      </c>
      <c r="W127" s="13"/>
      <c r="X127" s="15">
        <f t="shared" si="0"/>
        <v>98.469652057422749</v>
      </c>
    </row>
    <row r="128" spans="1:24" x14ac:dyDescent="0.25">
      <c r="R128" s="13"/>
      <c r="U128" s="36"/>
      <c r="V128" s="36"/>
      <c r="W128" s="13"/>
      <c r="X128" s="15">
        <f t="shared" si="0"/>
        <v>98.469652057422749</v>
      </c>
    </row>
    <row r="129" spans="1:24" x14ac:dyDescent="0.25">
      <c r="A129" s="11" t="s">
        <v>37</v>
      </c>
      <c r="B129" s="12" t="str">
        <f>CONCATENATE("TMDV_",ROW())</f>
        <v>TMDV_129</v>
      </c>
      <c r="C129" s="13">
        <v>1</v>
      </c>
      <c r="D129" s="13" t="s">
        <v>38</v>
      </c>
      <c r="E129" s="14">
        <v>1</v>
      </c>
      <c r="F129" s="15">
        <v>0</v>
      </c>
      <c r="G129" s="15">
        <v>0</v>
      </c>
      <c r="H129" s="15" t="s">
        <v>38</v>
      </c>
      <c r="I129" s="15" t="s">
        <v>38</v>
      </c>
      <c r="J129" s="11" t="s">
        <v>286</v>
      </c>
      <c r="K129" s="11" t="s">
        <v>38</v>
      </c>
      <c r="L129" s="11" t="s">
        <v>38</v>
      </c>
      <c r="M129" s="12" t="s">
        <v>38</v>
      </c>
      <c r="N129" s="12" t="s">
        <v>38</v>
      </c>
      <c r="O129" s="12" t="s">
        <v>38</v>
      </c>
      <c r="P129" s="12" t="s">
        <v>38</v>
      </c>
      <c r="Q129" s="17">
        <f>$B$29*100000</f>
        <v>1000000</v>
      </c>
      <c r="R129" s="13">
        <v>300</v>
      </c>
      <c r="S129" s="15" t="s">
        <v>38</v>
      </c>
      <c r="T129" s="15" t="s">
        <v>38</v>
      </c>
      <c r="U129" s="36" t="s">
        <v>38</v>
      </c>
      <c r="V129" s="36" t="s">
        <v>38</v>
      </c>
      <c r="W129" s="13"/>
      <c r="X129" s="15">
        <f t="shared" si="0"/>
        <v>98.469652057422749</v>
      </c>
    </row>
    <row r="130" spans="1:24" x14ac:dyDescent="0.25">
      <c r="R130" s="13"/>
      <c r="U130" s="36"/>
      <c r="V130" s="36"/>
      <c r="W130" s="13"/>
    </row>
    <row r="131" spans="1:24" x14ac:dyDescent="0.25">
      <c r="R131" s="13"/>
      <c r="U131" s="36"/>
      <c r="V131" s="36"/>
      <c r="W131" s="13"/>
    </row>
    <row r="132" spans="1:24" x14ac:dyDescent="0.25">
      <c r="R132" s="13"/>
      <c r="U132" s="36"/>
      <c r="V132" s="36"/>
      <c r="W132" s="13"/>
    </row>
    <row r="133" spans="1:24" x14ac:dyDescent="0.25">
      <c r="R133" s="13"/>
      <c r="U133" s="36"/>
      <c r="V133" s="36"/>
      <c r="W133" s="13"/>
    </row>
    <row r="134" spans="1:24" x14ac:dyDescent="0.25">
      <c r="A134" s="11" t="s">
        <v>417</v>
      </c>
      <c r="R134" s="13"/>
      <c r="U134" s="36"/>
      <c r="V134" s="36"/>
      <c r="W134" s="13"/>
    </row>
    <row r="135" spans="1:24" x14ac:dyDescent="0.25">
      <c r="A135" s="11" t="s">
        <v>35</v>
      </c>
      <c r="B135" s="12">
        <v>200</v>
      </c>
      <c r="R135" s="13"/>
      <c r="U135" s="36"/>
      <c r="V135" s="36"/>
      <c r="W135" s="13"/>
    </row>
    <row r="136" spans="1:24" x14ac:dyDescent="0.25">
      <c r="A136" s="11" t="s">
        <v>36</v>
      </c>
      <c r="B136" s="12">
        <f>$B$33*100000</f>
        <v>300000</v>
      </c>
      <c r="C136" s="13">
        <f>273.15+B34</f>
        <v>308.14999999999998</v>
      </c>
      <c r="R136" s="13"/>
      <c r="U136" s="36"/>
      <c r="V136" s="36"/>
      <c r="W136" s="13"/>
    </row>
    <row r="137" spans="1:24" x14ac:dyDescent="0.25">
      <c r="A137" s="11" t="s">
        <v>37</v>
      </c>
      <c r="B137" s="12" t="str">
        <f>CONCATENATE("TMDV_",ROW())</f>
        <v>TMDV_137</v>
      </c>
      <c r="C137" s="13">
        <v>1</v>
      </c>
      <c r="D137" s="13" t="s">
        <v>38</v>
      </c>
      <c r="E137" s="14">
        <v>1</v>
      </c>
      <c r="F137" s="15">
        <v>0</v>
      </c>
      <c r="G137" s="15">
        <v>0</v>
      </c>
      <c r="H137" s="15" t="s">
        <v>38</v>
      </c>
      <c r="I137" s="15" t="s">
        <v>38</v>
      </c>
      <c r="J137" s="11" t="s">
        <v>351</v>
      </c>
      <c r="K137" s="11" t="s">
        <v>38</v>
      </c>
      <c r="L137" s="11" t="s">
        <v>38</v>
      </c>
      <c r="M137" s="12" t="s">
        <v>38</v>
      </c>
      <c r="N137" s="12" t="s">
        <v>38</v>
      </c>
      <c r="O137" s="12" t="s">
        <v>38</v>
      </c>
      <c r="P137" s="12" t="s">
        <v>38</v>
      </c>
      <c r="Q137" s="17">
        <v>500000</v>
      </c>
      <c r="R137" s="13">
        <f>273.15+$B$34</f>
        <v>308.14999999999998</v>
      </c>
      <c r="S137" s="15" t="s">
        <v>38</v>
      </c>
      <c r="T137" s="15" t="s">
        <v>38</v>
      </c>
      <c r="U137" s="36" t="s">
        <v>38</v>
      </c>
      <c r="V137" s="36" t="s">
        <v>38</v>
      </c>
      <c r="W137" s="13"/>
      <c r="X137" s="15">
        <v>107.22</v>
      </c>
    </row>
    <row r="138" spans="1:24" x14ac:dyDescent="0.25">
      <c r="R138" s="13"/>
      <c r="U138" s="36"/>
      <c r="V138" s="36"/>
      <c r="W138" s="13"/>
      <c r="X138" s="15">
        <f t="shared" ref="X138:X153" si="14">IF(OR(A138="Pipe", A138="Tmdpvol"), X137+C138*SIN(F138*PI()/180), X137)</f>
        <v>107.22</v>
      </c>
    </row>
    <row r="139" spans="1:24" x14ac:dyDescent="0.25">
      <c r="A139" s="11" t="s">
        <v>74</v>
      </c>
      <c r="B139" s="12" t="str">
        <f>CONCATENATE("JUNC_",ROW())</f>
        <v>JUNC_139</v>
      </c>
      <c r="C139" s="13" t="s">
        <v>38</v>
      </c>
      <c r="D139" s="13" t="s">
        <v>38</v>
      </c>
      <c r="E139" s="14">
        <v>0</v>
      </c>
      <c r="F139" s="15" t="s">
        <v>38</v>
      </c>
      <c r="G139" s="15" t="s">
        <v>38</v>
      </c>
      <c r="H139" s="15">
        <v>0</v>
      </c>
      <c r="I139" s="15">
        <v>0</v>
      </c>
      <c r="J139" s="11" t="s">
        <v>275</v>
      </c>
      <c r="K139" s="11" t="s">
        <v>38</v>
      </c>
      <c r="L139" s="11" t="s">
        <v>38</v>
      </c>
      <c r="M139" s="12" t="str">
        <f ca="1">OFFSET($A$1,ROW()-3,1)</f>
        <v>TMDV_137</v>
      </c>
      <c r="N139" s="12" t="str">
        <f ca="1">OFFSET($A$1,ROW()+1,1)</f>
        <v>PIPE_141</v>
      </c>
      <c r="O139" s="12">
        <v>2</v>
      </c>
      <c r="P139" s="12">
        <v>1</v>
      </c>
      <c r="Q139" s="17" t="s">
        <v>38</v>
      </c>
      <c r="R139" s="13" t="s">
        <v>38</v>
      </c>
      <c r="S139" s="15" t="s">
        <v>38</v>
      </c>
      <c r="T139" s="15" t="str">
        <f>brackedExpression(0,0,5,B35)</f>
        <v>[0;0;5;47.25]</v>
      </c>
      <c r="U139" s="36" t="s">
        <v>38</v>
      </c>
      <c r="V139" s="36" t="s">
        <v>38</v>
      </c>
      <c r="W139" s="13"/>
      <c r="X139" s="15">
        <f t="shared" si="14"/>
        <v>107.22</v>
      </c>
    </row>
    <row r="140" spans="1:24" x14ac:dyDescent="0.25">
      <c r="R140" s="13"/>
      <c r="U140" s="36"/>
      <c r="V140" s="36"/>
      <c r="W140" s="13"/>
      <c r="X140" s="15">
        <f t="shared" si="14"/>
        <v>107.22</v>
      </c>
    </row>
    <row r="141" spans="1:24" x14ac:dyDescent="0.25">
      <c r="A141" s="11" t="s">
        <v>41</v>
      </c>
      <c r="B141" s="12" t="str">
        <f t="shared" ref="B141:B151" si="15">CONCATENATE("PIPE_",ROW())</f>
        <v>PIPE_141</v>
      </c>
      <c r="C141" s="13">
        <v>0.95899999999999996</v>
      </c>
      <c r="D141" s="13">
        <f>dx</f>
        <v>0.2</v>
      </c>
      <c r="E141" s="14">
        <f>(168.3-2*7.11)^2*PI()/4*0.001^2</f>
        <v>1.8645860080428248E-2</v>
      </c>
      <c r="F141" s="15">
        <v>0</v>
      </c>
      <c r="G141" s="15">
        <v>0</v>
      </c>
      <c r="H141" s="15">
        <v>0</v>
      </c>
      <c r="I141" s="15">
        <v>0</v>
      </c>
      <c r="J141" s="11" t="s">
        <v>41</v>
      </c>
      <c r="K141" s="11" t="s">
        <v>353</v>
      </c>
      <c r="L141" s="11" t="s">
        <v>38</v>
      </c>
      <c r="M141" s="12" t="s">
        <v>38</v>
      </c>
      <c r="N141" s="12" t="s">
        <v>38</v>
      </c>
      <c r="O141" s="12" t="s">
        <v>38</v>
      </c>
      <c r="P141" s="12" t="s">
        <v>38</v>
      </c>
      <c r="Q141" s="17">
        <f>roughness</f>
        <v>4.5000000000000003E-5</v>
      </c>
      <c r="R141" s="13" t="s">
        <v>38</v>
      </c>
      <c r="S141" s="15" t="s">
        <v>38</v>
      </c>
      <c r="T141" s="15" t="s">
        <v>38</v>
      </c>
      <c r="U141" s="36" t="s">
        <v>38</v>
      </c>
      <c r="V141" s="36" t="s">
        <v>38</v>
      </c>
      <c r="W141" s="13"/>
      <c r="X141" s="15">
        <f t="shared" si="14"/>
        <v>107.22</v>
      </c>
    </row>
    <row r="142" spans="1:24" x14ac:dyDescent="0.25">
      <c r="A142" s="11" t="s">
        <v>41</v>
      </c>
      <c r="B142" s="12" t="str">
        <f t="shared" si="15"/>
        <v>PIPE_142</v>
      </c>
      <c r="C142" s="13">
        <v>0.9</v>
      </c>
      <c r="D142" s="13">
        <f>dx</f>
        <v>0.2</v>
      </c>
      <c r="E142" s="14">
        <f>(168.3-2*7.11)^2*PI()/4*0.001^2</f>
        <v>1.8645860080428248E-2</v>
      </c>
      <c r="F142" s="15">
        <v>0</v>
      </c>
      <c r="G142" s="15">
        <v>0</v>
      </c>
      <c r="H142" s="15">
        <v>0</v>
      </c>
      <c r="I142" s="15">
        <v>0</v>
      </c>
      <c r="J142" s="11" t="s">
        <v>41</v>
      </c>
      <c r="K142" s="11" t="s">
        <v>353</v>
      </c>
      <c r="L142" s="11" t="s">
        <v>38</v>
      </c>
      <c r="M142" s="12" t="s">
        <v>38</v>
      </c>
      <c r="N142" s="12" t="s">
        <v>38</v>
      </c>
      <c r="O142" s="12" t="s">
        <v>38</v>
      </c>
      <c r="P142" s="12" t="s">
        <v>38</v>
      </c>
      <c r="Q142" s="17">
        <f>roughness</f>
        <v>4.5000000000000003E-5</v>
      </c>
      <c r="R142" s="13" t="s">
        <v>38</v>
      </c>
      <c r="S142" s="15" t="s">
        <v>38</v>
      </c>
      <c r="T142" s="15" t="s">
        <v>38</v>
      </c>
      <c r="U142" s="36" t="s">
        <v>38</v>
      </c>
      <c r="V142" s="36" t="s">
        <v>38</v>
      </c>
      <c r="W142" s="13"/>
      <c r="X142" s="15">
        <f t="shared" si="14"/>
        <v>107.22</v>
      </c>
    </row>
    <row r="143" spans="1:24" x14ac:dyDescent="0.25">
      <c r="A143" s="11" t="s">
        <v>41</v>
      </c>
      <c r="B143" s="12" t="str">
        <f t="shared" si="15"/>
        <v>PIPE_143</v>
      </c>
      <c r="C143" s="13">
        <f>0.229+1.475*2+0.1+0.08/2</f>
        <v>3.3190000000000004</v>
      </c>
      <c r="D143" s="13">
        <f>dx</f>
        <v>0.2</v>
      </c>
      <c r="E143" s="14">
        <f>(168.3-2*7.11)^2*PI()/4*0.001^2</f>
        <v>1.8645860080428248E-2</v>
      </c>
      <c r="F143" s="15">
        <v>-90</v>
      </c>
      <c r="G143" s="15">
        <v>0</v>
      </c>
      <c r="H143" s="15">
        <v>0</v>
      </c>
      <c r="I143" s="15">
        <v>0</v>
      </c>
      <c r="J143" s="11" t="s">
        <v>41</v>
      </c>
      <c r="K143" s="11" t="s">
        <v>353</v>
      </c>
      <c r="L143" s="11" t="s">
        <v>38</v>
      </c>
      <c r="M143" s="12" t="s">
        <v>38</v>
      </c>
      <c r="N143" s="12" t="s">
        <v>38</v>
      </c>
      <c r="O143" s="12" t="s">
        <v>38</v>
      </c>
      <c r="P143" s="12" t="s">
        <v>38</v>
      </c>
      <c r="Q143" s="17">
        <f>roughness</f>
        <v>4.5000000000000003E-5</v>
      </c>
      <c r="R143" s="13" t="s">
        <v>38</v>
      </c>
      <c r="S143" s="15" t="s">
        <v>38</v>
      </c>
      <c r="T143" s="15" t="s">
        <v>38</v>
      </c>
      <c r="U143" s="36" t="s">
        <v>38</v>
      </c>
      <c r="V143" s="36" t="s">
        <v>38</v>
      </c>
      <c r="W143" s="13"/>
      <c r="X143" s="15">
        <f t="shared" si="14"/>
        <v>103.901</v>
      </c>
    </row>
    <row r="144" spans="1:24" x14ac:dyDescent="0.25">
      <c r="R144" s="13"/>
      <c r="U144" s="36"/>
      <c r="V144" s="36"/>
      <c r="W144" s="13"/>
      <c r="X144" s="15">
        <f t="shared" si="14"/>
        <v>103.901</v>
      </c>
    </row>
    <row r="145" spans="1:25" x14ac:dyDescent="0.25">
      <c r="A145" s="11" t="s">
        <v>62</v>
      </c>
      <c r="B145" s="12" t="str">
        <f>CONCATENATE("JUNC_",ROW())</f>
        <v>JUNC_145</v>
      </c>
      <c r="C145" s="13" t="s">
        <v>38</v>
      </c>
      <c r="D145" s="13" t="s">
        <v>38</v>
      </c>
      <c r="E145" s="14">
        <f>(168.3-2*7.11)^2*PI()/4*0.001^2</f>
        <v>1.8645860080428248E-2</v>
      </c>
      <c r="F145" s="15" t="s">
        <v>38</v>
      </c>
      <c r="G145" s="15" t="s">
        <v>38</v>
      </c>
      <c r="H145" s="15">
        <v>0</v>
      </c>
      <c r="I145" s="15">
        <v>0</v>
      </c>
      <c r="J145" s="11" t="s">
        <v>354</v>
      </c>
      <c r="K145" s="11" t="s">
        <v>353</v>
      </c>
      <c r="L145" s="11" t="s">
        <v>38</v>
      </c>
      <c r="M145" s="12" t="str">
        <f ca="1">OFFSET($A$1,ROW()-3,1)</f>
        <v>PIPE_143</v>
      </c>
      <c r="N145" s="12" t="str">
        <f ca="1">OFFSET($A$1,ROW()+1,1)</f>
        <v>PIPE_147</v>
      </c>
      <c r="O145" s="12">
        <v>2</v>
      </c>
      <c r="P145" s="12">
        <v>1</v>
      </c>
      <c r="Q145" s="17" t="s">
        <v>38</v>
      </c>
      <c r="R145" s="13" t="s">
        <v>38</v>
      </c>
      <c r="S145" s="15" t="s">
        <v>38</v>
      </c>
      <c r="T145" s="15">
        <f>$B$39</f>
        <v>1</v>
      </c>
      <c r="U145" s="36" t="s">
        <v>38</v>
      </c>
      <c r="V145" s="36" t="s">
        <v>38</v>
      </c>
      <c r="W145" s="13"/>
      <c r="X145" s="15">
        <f t="shared" si="14"/>
        <v>103.901</v>
      </c>
    </row>
    <row r="146" spans="1:25" x14ac:dyDescent="0.25">
      <c r="R146" s="13"/>
      <c r="U146" s="36"/>
      <c r="V146" s="36"/>
      <c r="W146" s="13"/>
      <c r="X146" s="15">
        <f t="shared" si="14"/>
        <v>103.901</v>
      </c>
    </row>
    <row r="147" spans="1:25" x14ac:dyDescent="0.25">
      <c r="A147" s="11" t="s">
        <v>41</v>
      </c>
      <c r="B147" s="12" t="str">
        <f t="shared" si="15"/>
        <v>PIPE_147</v>
      </c>
      <c r="C147" s="13">
        <f>0.08/2+0.1+3.65+0.229</f>
        <v>4.0190000000000001</v>
      </c>
      <c r="D147" s="13">
        <f>dx</f>
        <v>0.2</v>
      </c>
      <c r="E147" s="14">
        <f>(168.3-2*7.11)^2*PI()/4*0.001^2</f>
        <v>1.8645860080428248E-2</v>
      </c>
      <c r="F147" s="15">
        <v>-90</v>
      </c>
      <c r="G147" s="15">
        <v>0</v>
      </c>
      <c r="H147" s="15">
        <v>0</v>
      </c>
      <c r="I147" s="15">
        <v>0</v>
      </c>
      <c r="J147" s="11" t="s">
        <v>41</v>
      </c>
      <c r="K147" s="11" t="s">
        <v>353</v>
      </c>
      <c r="L147" s="11" t="s">
        <v>38</v>
      </c>
      <c r="M147" s="12" t="s">
        <v>38</v>
      </c>
      <c r="N147" s="12" t="s">
        <v>38</v>
      </c>
      <c r="O147" s="12" t="s">
        <v>38</v>
      </c>
      <c r="P147" s="12" t="s">
        <v>38</v>
      </c>
      <c r="Q147" s="17">
        <f>roughness</f>
        <v>4.5000000000000003E-5</v>
      </c>
      <c r="R147" s="13" t="s">
        <v>38</v>
      </c>
      <c r="S147" s="15" t="s">
        <v>38</v>
      </c>
      <c r="T147" s="15" t="s">
        <v>38</v>
      </c>
      <c r="U147" s="36" t="s">
        <v>38</v>
      </c>
      <c r="V147" s="36" t="s">
        <v>38</v>
      </c>
      <c r="W147" s="13"/>
      <c r="X147" s="15">
        <f t="shared" si="14"/>
        <v>99.881999999999991</v>
      </c>
    </row>
    <row r="148" spans="1:25" x14ac:dyDescent="0.25">
      <c r="A148" s="11" t="s">
        <v>41</v>
      </c>
      <c r="B148" s="12" t="str">
        <f t="shared" si="15"/>
        <v>PIPE_148</v>
      </c>
      <c r="C148" s="13">
        <v>0.75</v>
      </c>
      <c r="D148" s="13">
        <f>dx</f>
        <v>0.2</v>
      </c>
      <c r="E148" s="14">
        <f>(168.3-2*7.11)^2*PI()/4*0.001^2</f>
        <v>1.8645860080428248E-2</v>
      </c>
      <c r="F148" s="15">
        <v>0</v>
      </c>
      <c r="G148" s="15">
        <v>0</v>
      </c>
      <c r="H148" s="15">
        <v>0</v>
      </c>
      <c r="I148" s="15">
        <v>0</v>
      </c>
      <c r="J148" s="11" t="s">
        <v>41</v>
      </c>
      <c r="K148" s="11" t="s">
        <v>353</v>
      </c>
      <c r="L148" s="11" t="s">
        <v>38</v>
      </c>
      <c r="M148" s="12" t="s">
        <v>38</v>
      </c>
      <c r="N148" s="12" t="s">
        <v>38</v>
      </c>
      <c r="O148" s="12" t="s">
        <v>38</v>
      </c>
      <c r="P148" s="12" t="s">
        <v>38</v>
      </c>
      <c r="Q148" s="17">
        <f>roughness</f>
        <v>4.5000000000000003E-5</v>
      </c>
      <c r="R148" s="13" t="s">
        <v>38</v>
      </c>
      <c r="S148" s="15" t="s">
        <v>38</v>
      </c>
      <c r="T148" s="15" t="s">
        <v>38</v>
      </c>
      <c r="U148" s="36" t="s">
        <v>38</v>
      </c>
      <c r="V148" s="36" t="s">
        <v>38</v>
      </c>
      <c r="W148" s="13"/>
      <c r="X148" s="15">
        <f t="shared" si="14"/>
        <v>99.881999999999991</v>
      </c>
    </row>
    <row r="149" spans="1:25" x14ac:dyDescent="0.25">
      <c r="A149" s="11" t="s">
        <v>41</v>
      </c>
      <c r="B149" s="12" t="str">
        <f t="shared" si="15"/>
        <v>PIPE_149</v>
      </c>
      <c r="C149" s="13">
        <v>4.5</v>
      </c>
      <c r="D149" s="13">
        <f>dx</f>
        <v>0.2</v>
      </c>
      <c r="E149" s="14">
        <f>(168.3-2*7.11)^2*PI()/4*0.001^2</f>
        <v>1.8645860080428248E-2</v>
      </c>
      <c r="F149" s="15">
        <v>0</v>
      </c>
      <c r="G149" s="15">
        <v>0</v>
      </c>
      <c r="H149" s="15">
        <v>0</v>
      </c>
      <c r="I149" s="15">
        <v>0</v>
      </c>
      <c r="J149" s="11" t="s">
        <v>41</v>
      </c>
      <c r="K149" s="11" t="s">
        <v>353</v>
      </c>
      <c r="L149" s="11" t="s">
        <v>38</v>
      </c>
      <c r="M149" s="12" t="s">
        <v>38</v>
      </c>
      <c r="N149" s="12" t="s">
        <v>38</v>
      </c>
      <c r="O149" s="12" t="s">
        <v>38</v>
      </c>
      <c r="P149" s="12" t="s">
        <v>38</v>
      </c>
      <c r="Q149" s="17">
        <f>roughness</f>
        <v>4.5000000000000003E-5</v>
      </c>
      <c r="R149" s="13" t="s">
        <v>38</v>
      </c>
      <c r="S149" s="15" t="s">
        <v>38</v>
      </c>
      <c r="T149" s="15" t="s">
        <v>38</v>
      </c>
      <c r="U149" s="36" t="s">
        <v>38</v>
      </c>
      <c r="V149" s="36" t="s">
        <v>38</v>
      </c>
      <c r="W149" s="13"/>
      <c r="X149" s="15">
        <f t="shared" si="14"/>
        <v>99.881999999999991</v>
      </c>
    </row>
    <row r="150" spans="1:25" x14ac:dyDescent="0.25">
      <c r="A150" s="11" t="s">
        <v>41</v>
      </c>
      <c r="B150" s="12" t="str">
        <f t="shared" si="15"/>
        <v>PIPE_150</v>
      </c>
      <c r="C150" s="13">
        <v>1.9319999999999999</v>
      </c>
      <c r="D150" s="13">
        <f>dx</f>
        <v>0.2</v>
      </c>
      <c r="E150" s="14">
        <f>(168.3-2*7.11)^2*PI()/4*0.001^2</f>
        <v>1.8645860080428248E-2</v>
      </c>
      <c r="F150" s="15">
        <v>-90</v>
      </c>
      <c r="G150" s="15">
        <v>0</v>
      </c>
      <c r="H150" s="15">
        <v>0</v>
      </c>
      <c r="I150" s="15">
        <v>0</v>
      </c>
      <c r="J150" s="11" t="s">
        <v>41</v>
      </c>
      <c r="K150" s="11" t="s">
        <v>353</v>
      </c>
      <c r="L150" s="11" t="s">
        <v>38</v>
      </c>
      <c r="M150" s="12" t="s">
        <v>38</v>
      </c>
      <c r="N150" s="12" t="s">
        <v>38</v>
      </c>
      <c r="O150" s="12" t="s">
        <v>38</v>
      </c>
      <c r="P150" s="12" t="s">
        <v>38</v>
      </c>
      <c r="Q150" s="17">
        <f>roughness</f>
        <v>4.5000000000000003E-5</v>
      </c>
      <c r="R150" s="13" t="s">
        <v>38</v>
      </c>
      <c r="S150" s="15" t="s">
        <v>38</v>
      </c>
      <c r="T150" s="15" t="s">
        <v>38</v>
      </c>
      <c r="U150" s="36" t="s">
        <v>38</v>
      </c>
      <c r="V150" s="36" t="s">
        <v>38</v>
      </c>
      <c r="W150" s="13" t="s">
        <v>360</v>
      </c>
      <c r="X150" s="15">
        <f t="shared" si="14"/>
        <v>97.949999999999989</v>
      </c>
    </row>
    <row r="151" spans="1:25" x14ac:dyDescent="0.25">
      <c r="A151" s="11" t="s">
        <v>41</v>
      </c>
      <c r="B151" s="12" t="str">
        <f t="shared" si="15"/>
        <v>PIPE_151</v>
      </c>
      <c r="C151" s="13">
        <v>0.629</v>
      </c>
      <c r="D151" s="13">
        <f>dx</f>
        <v>0.2</v>
      </c>
      <c r="E151" s="14">
        <f>(168.3-2*7.11)^2*PI()/4*0.001^2</f>
        <v>1.8645860080428248E-2</v>
      </c>
      <c r="F151" s="15">
        <v>0</v>
      </c>
      <c r="G151" s="15">
        <v>0</v>
      </c>
      <c r="H151" s="15">
        <v>0</v>
      </c>
      <c r="I151" s="15">
        <v>0</v>
      </c>
      <c r="J151" s="11" t="s">
        <v>41</v>
      </c>
      <c r="K151" s="11" t="s">
        <v>353</v>
      </c>
      <c r="L151" s="11" t="s">
        <v>38</v>
      </c>
      <c r="M151" s="12" t="s">
        <v>38</v>
      </c>
      <c r="N151" s="12" t="s">
        <v>38</v>
      </c>
      <c r="O151" s="12" t="s">
        <v>38</v>
      </c>
      <c r="P151" s="12" t="s">
        <v>38</v>
      </c>
      <c r="Q151" s="17">
        <f>roughness</f>
        <v>4.5000000000000003E-5</v>
      </c>
      <c r="R151" s="13" t="s">
        <v>38</v>
      </c>
      <c r="S151" s="15" t="s">
        <v>38</v>
      </c>
      <c r="T151" s="15" t="s">
        <v>38</v>
      </c>
      <c r="U151" s="36" t="s">
        <v>38</v>
      </c>
      <c r="V151" s="36" t="s">
        <v>38</v>
      </c>
      <c r="W151" s="13"/>
      <c r="X151" s="15">
        <f t="shared" si="14"/>
        <v>97.949999999999989</v>
      </c>
    </row>
    <row r="152" spans="1:25" x14ac:dyDescent="0.25">
      <c r="R152" s="13"/>
      <c r="U152" s="36"/>
      <c r="V152" s="36"/>
      <c r="W152" s="13"/>
      <c r="X152" s="15">
        <f t="shared" si="14"/>
        <v>97.949999999999989</v>
      </c>
    </row>
    <row r="153" spans="1:25" x14ac:dyDescent="0.25">
      <c r="A153" s="11" t="s">
        <v>39</v>
      </c>
      <c r="B153" s="12" t="str">
        <f>CONCATENATE("JUNC_",ROW())</f>
        <v>JUNC_153</v>
      </c>
      <c r="C153" s="13" t="s">
        <v>38</v>
      </c>
      <c r="D153" s="13" t="s">
        <v>38</v>
      </c>
      <c r="E153" s="14">
        <v>0</v>
      </c>
      <c r="F153" s="15" t="s">
        <v>38</v>
      </c>
      <c r="G153" s="15" t="s">
        <v>38</v>
      </c>
      <c r="H153" s="15">
        <v>0</v>
      </c>
      <c r="I153" s="15">
        <v>0</v>
      </c>
      <c r="J153" s="11" t="s">
        <v>275</v>
      </c>
      <c r="K153" s="11" t="s">
        <v>38</v>
      </c>
      <c r="L153" s="11" t="s">
        <v>38</v>
      </c>
      <c r="M153" s="12" t="str">
        <f ca="1">OFFSET($A$1,ROW()-3,1)</f>
        <v>PIPE_151</v>
      </c>
      <c r="N153" s="12" t="str">
        <f>B228</f>
        <v>PIPE_228</v>
      </c>
      <c r="O153" s="12">
        <v>2</v>
      </c>
      <c r="P153" s="12">
        <v>1</v>
      </c>
      <c r="Q153" s="17" t="s">
        <v>38</v>
      </c>
      <c r="R153" s="13" t="s">
        <v>38</v>
      </c>
      <c r="S153" s="15" t="s">
        <v>38</v>
      </c>
      <c r="T153" s="15" t="s">
        <v>38</v>
      </c>
      <c r="U153" s="36" t="s">
        <v>38</v>
      </c>
      <c r="V153" s="36" t="s">
        <v>38</v>
      </c>
      <c r="W153" s="13">
        <f>X228</f>
        <v>97.95</v>
      </c>
      <c r="X153" s="15">
        <f t="shared" si="14"/>
        <v>97.949999999999989</v>
      </c>
      <c r="Y153" s="118">
        <f>X153-W153</f>
        <v>0</v>
      </c>
    </row>
    <row r="154" spans="1:25" x14ac:dyDescent="0.25">
      <c r="A154" s="11" t="s">
        <v>352</v>
      </c>
      <c r="R154" s="13"/>
      <c r="U154" s="36"/>
      <c r="V154" s="36"/>
      <c r="W154" s="13"/>
    </row>
    <row r="155" spans="1:25" x14ac:dyDescent="0.25">
      <c r="A155" s="11" t="s">
        <v>410</v>
      </c>
      <c r="R155" s="13"/>
      <c r="U155" s="36"/>
      <c r="V155" s="36"/>
      <c r="W155" s="13">
        <v>97.95</v>
      </c>
    </row>
    <row r="156" spans="1:25" x14ac:dyDescent="0.25">
      <c r="A156" s="11" t="s">
        <v>35</v>
      </c>
      <c r="B156" s="12">
        <v>207</v>
      </c>
      <c r="R156" s="13"/>
      <c r="U156" s="36"/>
      <c r="V156" s="36"/>
      <c r="W156" s="13"/>
    </row>
    <row r="157" spans="1:25" x14ac:dyDescent="0.25">
      <c r="A157" s="11" t="s">
        <v>39</v>
      </c>
      <c r="B157" s="12" t="str">
        <f>CONCATENATE("JUNC_",ROW())</f>
        <v>JUNC_157</v>
      </c>
      <c r="C157" s="13" t="s">
        <v>38</v>
      </c>
      <c r="D157" s="13" t="s">
        <v>38</v>
      </c>
      <c r="E157" s="14">
        <v>0</v>
      </c>
      <c r="F157" s="15" t="s">
        <v>38</v>
      </c>
      <c r="G157" s="15" t="s">
        <v>38</v>
      </c>
      <c r="H157" s="15">
        <v>0</v>
      </c>
      <c r="I157" s="15">
        <v>0</v>
      </c>
      <c r="J157" s="11" t="s">
        <v>275</v>
      </c>
      <c r="K157" s="11" t="s">
        <v>38</v>
      </c>
      <c r="L157" s="11" t="s">
        <v>38</v>
      </c>
      <c r="M157" s="12" t="str">
        <f>B228</f>
        <v>PIPE_228</v>
      </c>
      <c r="N157" s="12" t="str">
        <f ca="1">OFFSET($A$1,ROW()+1,1)</f>
        <v>PIPE_159</v>
      </c>
      <c r="O157" s="12">
        <v>2</v>
      </c>
      <c r="P157" s="12">
        <v>1</v>
      </c>
      <c r="Q157" s="17" t="s">
        <v>38</v>
      </c>
      <c r="R157" s="13" t="s">
        <v>38</v>
      </c>
      <c r="S157" s="15" t="s">
        <v>38</v>
      </c>
      <c r="T157" s="15" t="s">
        <v>38</v>
      </c>
      <c r="U157" s="36" t="s">
        <v>38</v>
      </c>
      <c r="V157" s="36" t="s">
        <v>38</v>
      </c>
      <c r="W157" s="13"/>
      <c r="X157" s="15">
        <f>X228</f>
        <v>97.95</v>
      </c>
    </row>
    <row r="158" spans="1:25" x14ac:dyDescent="0.25">
      <c r="R158" s="13"/>
      <c r="U158" s="36"/>
      <c r="V158" s="36"/>
      <c r="W158" s="13"/>
      <c r="X158" s="15">
        <f t="shared" ref="X158:X174" si="16">IF(OR(A158="Pipe", A158="Tmdpvol"), X157+C158*SIN(F158*PI()/180), X157)</f>
        <v>97.95</v>
      </c>
    </row>
    <row r="159" spans="1:25" x14ac:dyDescent="0.25">
      <c r="A159" s="11" t="s">
        <v>41</v>
      </c>
      <c r="B159" s="12" t="str">
        <f t="shared" ref="B159:B161" si="17">CONCATENATE("PIPE_",ROW())</f>
        <v>PIPE_159</v>
      </c>
      <c r="C159" s="13">
        <v>0.22900000000000001</v>
      </c>
      <c r="D159" s="13">
        <f>dx</f>
        <v>0.2</v>
      </c>
      <c r="E159" s="14">
        <f>(168.3-2*7.11)^2*PI()/4*0.001^2</f>
        <v>1.8645860080428248E-2</v>
      </c>
      <c r="F159" s="15">
        <v>0</v>
      </c>
      <c r="G159" s="15">
        <v>0</v>
      </c>
      <c r="H159" s="15">
        <v>0</v>
      </c>
      <c r="I159" s="15">
        <v>0</v>
      </c>
      <c r="J159" s="11" t="s">
        <v>41</v>
      </c>
      <c r="K159" s="11" t="s">
        <v>355</v>
      </c>
      <c r="L159" s="11" t="s">
        <v>38</v>
      </c>
      <c r="M159" s="12" t="s">
        <v>38</v>
      </c>
      <c r="N159" s="12" t="s">
        <v>38</v>
      </c>
      <c r="O159" s="12" t="s">
        <v>38</v>
      </c>
      <c r="P159" s="12" t="s">
        <v>38</v>
      </c>
      <c r="Q159" s="17">
        <f>roughness</f>
        <v>4.5000000000000003E-5</v>
      </c>
      <c r="R159" s="13" t="s">
        <v>38</v>
      </c>
      <c r="S159" s="15" t="s">
        <v>38</v>
      </c>
      <c r="T159" s="15" t="s">
        <v>38</v>
      </c>
      <c r="U159" s="36" t="s">
        <v>38</v>
      </c>
      <c r="V159" s="36" t="s">
        <v>38</v>
      </c>
      <c r="W159" s="13"/>
      <c r="X159" s="15">
        <f t="shared" si="16"/>
        <v>97.95</v>
      </c>
    </row>
    <row r="160" spans="1:25" x14ac:dyDescent="0.25">
      <c r="A160" s="11" t="s">
        <v>41</v>
      </c>
      <c r="B160" s="12" t="str">
        <f t="shared" si="17"/>
        <v>PIPE_160</v>
      </c>
      <c r="C160" s="13">
        <f>0.229+0.143</f>
        <v>0.372</v>
      </c>
      <c r="D160" s="13">
        <f>dx</f>
        <v>0.2</v>
      </c>
      <c r="E160" s="14">
        <f>(168.3-2*7.11)^2*PI()/4*0.001^2</f>
        <v>1.8645860080428248E-2</v>
      </c>
      <c r="F160" s="15">
        <v>90</v>
      </c>
      <c r="G160" s="15">
        <v>0</v>
      </c>
      <c r="H160" s="15">
        <v>0</v>
      </c>
      <c r="I160" s="15">
        <v>0</v>
      </c>
      <c r="J160" s="11" t="s">
        <v>41</v>
      </c>
      <c r="K160" s="11" t="s">
        <v>355</v>
      </c>
      <c r="L160" s="11" t="s">
        <v>38</v>
      </c>
      <c r="M160" s="12" t="s">
        <v>38</v>
      </c>
      <c r="N160" s="12" t="s">
        <v>38</v>
      </c>
      <c r="O160" s="12" t="s">
        <v>38</v>
      </c>
      <c r="P160" s="12" t="s">
        <v>38</v>
      </c>
      <c r="Q160" s="17">
        <f>roughness</f>
        <v>4.5000000000000003E-5</v>
      </c>
      <c r="R160" s="13" t="s">
        <v>38</v>
      </c>
      <c r="S160" s="15" t="s">
        <v>38</v>
      </c>
      <c r="T160" s="15" t="s">
        <v>38</v>
      </c>
      <c r="U160" s="36" t="s">
        <v>38</v>
      </c>
      <c r="V160" s="36" t="s">
        <v>38</v>
      </c>
      <c r="W160" s="13"/>
      <c r="X160" s="15">
        <f t="shared" si="16"/>
        <v>98.322000000000003</v>
      </c>
    </row>
    <row r="161" spans="1:24" x14ac:dyDescent="0.25">
      <c r="A161" s="11" t="s">
        <v>41</v>
      </c>
      <c r="B161" s="12" t="str">
        <f t="shared" si="17"/>
        <v>PIPE_161</v>
      </c>
      <c r="C161" s="13">
        <f>0.143+3.325+0.1</f>
        <v>3.5680000000000001</v>
      </c>
      <c r="D161" s="13">
        <f>dx</f>
        <v>0.2</v>
      </c>
      <c r="E161" s="14">
        <f>(168.3-2*7.11)^2*PI()/4*0.001^2</f>
        <v>1.8645860080428248E-2</v>
      </c>
      <c r="F161" s="15">
        <v>90</v>
      </c>
      <c r="G161" s="15">
        <v>0</v>
      </c>
      <c r="H161" s="15">
        <v>0</v>
      </c>
      <c r="I161" s="15">
        <v>0</v>
      </c>
      <c r="J161" s="11" t="s">
        <v>41</v>
      </c>
      <c r="K161" s="11" t="s">
        <v>355</v>
      </c>
      <c r="L161" s="11" t="s">
        <v>38</v>
      </c>
      <c r="M161" s="12" t="s">
        <v>38</v>
      </c>
      <c r="N161" s="12" t="s">
        <v>38</v>
      </c>
      <c r="O161" s="12" t="s">
        <v>38</v>
      </c>
      <c r="P161" s="12" t="s">
        <v>38</v>
      </c>
      <c r="Q161" s="17">
        <f>roughness</f>
        <v>4.5000000000000003E-5</v>
      </c>
      <c r="R161" s="13" t="s">
        <v>38</v>
      </c>
      <c r="S161" s="15" t="s">
        <v>38</v>
      </c>
      <c r="T161" s="15" t="s">
        <v>38</v>
      </c>
      <c r="U161" s="36" t="s">
        <v>38</v>
      </c>
      <c r="V161" s="36" t="s">
        <v>38</v>
      </c>
      <c r="W161" s="13"/>
      <c r="X161" s="15">
        <f t="shared" si="16"/>
        <v>101.89</v>
      </c>
    </row>
    <row r="162" spans="1:24" x14ac:dyDescent="0.25">
      <c r="R162" s="13"/>
      <c r="U162" s="36"/>
      <c r="V162" s="36"/>
      <c r="W162" s="13"/>
      <c r="X162" s="15">
        <f t="shared" si="16"/>
        <v>101.89</v>
      </c>
    </row>
    <row r="163" spans="1:24" x14ac:dyDescent="0.25">
      <c r="A163" s="11" t="s">
        <v>39</v>
      </c>
      <c r="B163" s="12" t="str">
        <f>CONCATENATE("JUNC_",ROW())</f>
        <v>JUNC_163</v>
      </c>
      <c r="C163" s="13" t="s">
        <v>38</v>
      </c>
      <c r="D163" s="13" t="s">
        <v>38</v>
      </c>
      <c r="E163" s="14">
        <v>0</v>
      </c>
      <c r="F163" s="15" t="s">
        <v>38</v>
      </c>
      <c r="G163" s="15" t="s">
        <v>38</v>
      </c>
      <c r="H163" s="15">
        <v>0</v>
      </c>
      <c r="I163" s="15">
        <v>0</v>
      </c>
      <c r="J163" s="11" t="s">
        <v>356</v>
      </c>
      <c r="K163" s="11" t="s">
        <v>38</v>
      </c>
      <c r="L163" s="11" t="s">
        <v>38</v>
      </c>
      <c r="M163" s="12" t="str">
        <f ca="1">OFFSET($A$1,ROW()-3,1)</f>
        <v>PIPE_161</v>
      </c>
      <c r="N163" s="12" t="str">
        <f ca="1">OFFSET($A$1,ROW()+1,1)</f>
        <v>PIPE_165</v>
      </c>
      <c r="O163" s="12">
        <v>2</v>
      </c>
      <c r="P163" s="12">
        <v>1</v>
      </c>
      <c r="Q163" s="17" t="s">
        <v>38</v>
      </c>
      <c r="R163" s="13" t="s">
        <v>38</v>
      </c>
      <c r="S163" s="15" t="s">
        <v>38</v>
      </c>
      <c r="T163" s="15" t="s">
        <v>38</v>
      </c>
      <c r="U163" s="36" t="s">
        <v>38</v>
      </c>
      <c r="V163" s="36" t="s">
        <v>38</v>
      </c>
      <c r="W163" s="13"/>
      <c r="X163" s="15">
        <f t="shared" si="16"/>
        <v>101.89</v>
      </c>
    </row>
    <row r="164" spans="1:24" x14ac:dyDescent="0.25">
      <c r="R164" s="13"/>
      <c r="U164" s="36"/>
      <c r="V164" s="36"/>
      <c r="W164" s="13"/>
      <c r="X164" s="15">
        <f t="shared" si="16"/>
        <v>101.89</v>
      </c>
    </row>
    <row r="165" spans="1:24" x14ac:dyDescent="0.25">
      <c r="A165" s="11" t="s">
        <v>41</v>
      </c>
      <c r="B165" s="12" t="str">
        <f t="shared" ref="B165" si="18">CONCATENATE("PIPE_",ROW())</f>
        <v>PIPE_165</v>
      </c>
      <c r="C165" s="13">
        <f>0.1+1.84+0.076/2</f>
        <v>1.9780000000000002</v>
      </c>
      <c r="D165" s="13">
        <f>dx</f>
        <v>0.2</v>
      </c>
      <c r="E165" s="14">
        <f>(168.3-2*7.11)^2*PI()/4*0.001^2</f>
        <v>1.8645860080428248E-2</v>
      </c>
      <c r="F165" s="15">
        <v>90</v>
      </c>
      <c r="G165" s="15">
        <v>0</v>
      </c>
      <c r="H165" s="15">
        <v>0</v>
      </c>
      <c r="I165" s="15">
        <v>0</v>
      </c>
      <c r="J165" s="11" t="s">
        <v>41</v>
      </c>
      <c r="K165" s="11" t="s">
        <v>355</v>
      </c>
      <c r="L165" s="11" t="s">
        <v>38</v>
      </c>
      <c r="M165" s="12" t="s">
        <v>38</v>
      </c>
      <c r="N165" s="12" t="s">
        <v>38</v>
      </c>
      <c r="O165" s="12" t="s">
        <v>38</v>
      </c>
      <c r="P165" s="12" t="s">
        <v>38</v>
      </c>
      <c r="Q165" s="17">
        <f>roughness</f>
        <v>4.5000000000000003E-5</v>
      </c>
      <c r="R165" s="13" t="s">
        <v>38</v>
      </c>
      <c r="S165" s="15" t="s">
        <v>38</v>
      </c>
      <c r="T165" s="15" t="s">
        <v>38</v>
      </c>
      <c r="U165" s="36" t="s">
        <v>38</v>
      </c>
      <c r="V165" s="36" t="s">
        <v>38</v>
      </c>
      <c r="W165" s="13"/>
      <c r="X165" s="15">
        <f t="shared" si="16"/>
        <v>103.86799999999999</v>
      </c>
    </row>
    <row r="166" spans="1:24" x14ac:dyDescent="0.25">
      <c r="R166" s="13"/>
      <c r="U166" s="36"/>
      <c r="V166" s="36"/>
      <c r="W166" s="13"/>
      <c r="X166" s="15">
        <f t="shared" si="16"/>
        <v>103.86799999999999</v>
      </c>
    </row>
    <row r="167" spans="1:24" x14ac:dyDescent="0.25">
      <c r="A167" s="11" t="s">
        <v>62</v>
      </c>
      <c r="B167" s="12" t="str">
        <f>CONCATENATE("JUNC_",ROW())</f>
        <v>JUNC_167</v>
      </c>
      <c r="C167" s="13" t="s">
        <v>38</v>
      </c>
      <c r="D167" s="13" t="s">
        <v>38</v>
      </c>
      <c r="E167" s="14">
        <f>(168.3-2*7.11)^2*PI()/4*0.001^2</f>
        <v>1.8645860080428248E-2</v>
      </c>
      <c r="F167" s="15" t="s">
        <v>38</v>
      </c>
      <c r="G167" s="15" t="s">
        <v>38</v>
      </c>
      <c r="H167" s="15">
        <v>0</v>
      </c>
      <c r="I167" s="15">
        <v>0</v>
      </c>
      <c r="J167" s="11" t="s">
        <v>357</v>
      </c>
      <c r="K167" s="11" t="s">
        <v>38</v>
      </c>
      <c r="L167" s="11" t="s">
        <v>38</v>
      </c>
      <c r="M167" s="12" t="str">
        <f ca="1">OFFSET($A$1,ROW()-3,1)</f>
        <v>PIPE_165</v>
      </c>
      <c r="N167" s="12" t="str">
        <f ca="1">OFFSET($A$1,ROW()+1,1)</f>
        <v>PIPE_169</v>
      </c>
      <c r="O167" s="12">
        <v>2</v>
      </c>
      <c r="P167" s="12">
        <v>1</v>
      </c>
      <c r="Q167" s="17" t="s">
        <v>38</v>
      </c>
      <c r="R167" s="13" t="s">
        <v>38</v>
      </c>
      <c r="S167" s="15" t="s">
        <v>38</v>
      </c>
      <c r="T167" s="15">
        <f>$B$40</f>
        <v>1</v>
      </c>
      <c r="U167" s="36" t="s">
        <v>38</v>
      </c>
      <c r="V167" s="36" t="s">
        <v>38</v>
      </c>
      <c r="W167" s="13"/>
      <c r="X167" s="15">
        <f t="shared" si="16"/>
        <v>103.86799999999999</v>
      </c>
    </row>
    <row r="168" spans="1:24" x14ac:dyDescent="0.25">
      <c r="R168" s="13"/>
      <c r="U168" s="36"/>
      <c r="V168" s="36"/>
      <c r="W168" s="13"/>
      <c r="X168" s="15">
        <f t="shared" si="16"/>
        <v>103.86799999999999</v>
      </c>
    </row>
    <row r="169" spans="1:24" x14ac:dyDescent="0.25">
      <c r="A169" s="11" t="s">
        <v>41</v>
      </c>
      <c r="B169" s="12" t="str">
        <f t="shared" ref="B169:B170" si="19">CONCATENATE("PIPE_",ROW())</f>
        <v>PIPE_169</v>
      </c>
      <c r="C169" s="13">
        <f>0.076/2+2.361+0.229</f>
        <v>2.6280000000000001</v>
      </c>
      <c r="D169" s="13">
        <f>dx</f>
        <v>0.2</v>
      </c>
      <c r="E169" s="14">
        <f>(168.3-2*7.11)^2*PI()/4*0.001^2</f>
        <v>1.8645860080428248E-2</v>
      </c>
      <c r="F169" s="15">
        <v>90</v>
      </c>
      <c r="G169" s="15">
        <v>0</v>
      </c>
      <c r="H169" s="15">
        <v>0</v>
      </c>
      <c r="I169" s="15">
        <v>0</v>
      </c>
      <c r="J169" s="11" t="s">
        <v>41</v>
      </c>
      <c r="K169" s="11" t="s">
        <v>355</v>
      </c>
      <c r="L169" s="11" t="s">
        <v>38</v>
      </c>
      <c r="M169" s="12" t="s">
        <v>38</v>
      </c>
      <c r="N169" s="12" t="s">
        <v>38</v>
      </c>
      <c r="O169" s="12" t="s">
        <v>38</v>
      </c>
      <c r="P169" s="12" t="s">
        <v>38</v>
      </c>
      <c r="Q169" s="17">
        <f>roughness</f>
        <v>4.5000000000000003E-5</v>
      </c>
      <c r="R169" s="13" t="s">
        <v>38</v>
      </c>
      <c r="S169" s="15" t="s">
        <v>38</v>
      </c>
      <c r="T169" s="15" t="s">
        <v>38</v>
      </c>
      <c r="U169" s="36" t="s">
        <v>38</v>
      </c>
      <c r="V169" s="36" t="s">
        <v>38</v>
      </c>
      <c r="W169" s="13"/>
      <c r="X169" s="15">
        <f t="shared" si="16"/>
        <v>106.496</v>
      </c>
    </row>
    <row r="170" spans="1:24" x14ac:dyDescent="0.25">
      <c r="A170" s="11" t="s">
        <v>41</v>
      </c>
      <c r="B170" s="12" t="str">
        <f t="shared" si="19"/>
        <v>PIPE_170</v>
      </c>
      <c r="C170" s="13">
        <v>0.65900000000000003</v>
      </c>
      <c r="D170" s="13">
        <f>dx</f>
        <v>0.2</v>
      </c>
      <c r="E170" s="14">
        <f>(168.3-2*7.11)^2*PI()/4*0.001^2</f>
        <v>1.8645860080428248E-2</v>
      </c>
      <c r="F170" s="15">
        <v>0</v>
      </c>
      <c r="G170" s="15">
        <v>0</v>
      </c>
      <c r="H170" s="15">
        <v>0</v>
      </c>
      <c r="I170" s="15">
        <v>0</v>
      </c>
      <c r="J170" s="11" t="s">
        <v>41</v>
      </c>
      <c r="K170" s="11" t="s">
        <v>355</v>
      </c>
      <c r="L170" s="11" t="s">
        <v>38</v>
      </c>
      <c r="M170" s="12" t="s">
        <v>38</v>
      </c>
      <c r="N170" s="12" t="s">
        <v>38</v>
      </c>
      <c r="O170" s="12" t="s">
        <v>38</v>
      </c>
      <c r="P170" s="12" t="s">
        <v>38</v>
      </c>
      <c r="Q170" s="17">
        <f>roughness</f>
        <v>4.5000000000000003E-5</v>
      </c>
      <c r="R170" s="13" t="s">
        <v>38</v>
      </c>
      <c r="S170" s="15" t="s">
        <v>38</v>
      </c>
      <c r="T170" s="15" t="s">
        <v>38</v>
      </c>
      <c r="U170" s="36" t="s">
        <v>38</v>
      </c>
      <c r="V170" s="36" t="s">
        <v>38</v>
      </c>
      <c r="W170" s="13"/>
      <c r="X170" s="15">
        <f t="shared" si="16"/>
        <v>106.496</v>
      </c>
    </row>
    <row r="171" spans="1:24" x14ac:dyDescent="0.25">
      <c r="R171" s="13"/>
      <c r="U171" s="36"/>
      <c r="V171" s="36"/>
      <c r="W171" s="13"/>
      <c r="X171" s="15">
        <f t="shared" si="16"/>
        <v>106.496</v>
      </c>
    </row>
    <row r="172" spans="1:24" x14ac:dyDescent="0.25">
      <c r="A172" s="11" t="s">
        <v>39</v>
      </c>
      <c r="B172" s="12" t="str">
        <f>CONCATENATE("JUNC_",ROW())</f>
        <v>JUNC_172</v>
      </c>
      <c r="C172" s="13" t="s">
        <v>38</v>
      </c>
      <c r="D172" s="13" t="s">
        <v>38</v>
      </c>
      <c r="E172" s="14">
        <v>0</v>
      </c>
      <c r="F172" s="15" t="s">
        <v>38</v>
      </c>
      <c r="G172" s="15" t="s">
        <v>38</v>
      </c>
      <c r="H172" s="15">
        <v>0</v>
      </c>
      <c r="I172" s="15">
        <v>0</v>
      </c>
      <c r="J172" s="11" t="s">
        <v>275</v>
      </c>
      <c r="K172" s="11" t="s">
        <v>38</v>
      </c>
      <c r="L172" s="11" t="s">
        <v>38</v>
      </c>
      <c r="M172" s="12" t="str">
        <f ca="1">OFFSET($A$1,ROW()-3,1)</f>
        <v>PIPE_170</v>
      </c>
      <c r="N172" s="12" t="str">
        <f ca="1">OFFSET($A$1,ROW()+1,1)</f>
        <v>TMDV_174</v>
      </c>
      <c r="O172" s="12">
        <v>2</v>
      </c>
      <c r="P172" s="12">
        <v>1</v>
      </c>
      <c r="Q172" s="17" t="s">
        <v>38</v>
      </c>
      <c r="R172" s="13" t="s">
        <v>38</v>
      </c>
      <c r="S172" s="15" t="s">
        <v>38</v>
      </c>
      <c r="T172" s="15" t="s">
        <v>38</v>
      </c>
      <c r="U172" s="36" t="s">
        <v>38</v>
      </c>
      <c r="V172" s="36" t="s">
        <v>38</v>
      </c>
      <c r="W172" s="13"/>
      <c r="X172" s="15">
        <f t="shared" si="16"/>
        <v>106.496</v>
      </c>
    </row>
    <row r="173" spans="1:24" x14ac:dyDescent="0.25">
      <c r="R173" s="13"/>
      <c r="U173" s="36"/>
      <c r="V173" s="36"/>
      <c r="W173" s="13"/>
      <c r="X173" s="15">
        <f t="shared" si="16"/>
        <v>106.496</v>
      </c>
    </row>
    <row r="174" spans="1:24" x14ac:dyDescent="0.25">
      <c r="A174" s="11" t="s">
        <v>37</v>
      </c>
      <c r="B174" s="12" t="str">
        <f>CONCATENATE("TMDV_",ROW())</f>
        <v>TMDV_174</v>
      </c>
      <c r="C174" s="13">
        <v>1</v>
      </c>
      <c r="D174" s="13" t="s">
        <v>38</v>
      </c>
      <c r="E174" s="14">
        <v>1</v>
      </c>
      <c r="F174" s="15">
        <v>0</v>
      </c>
      <c r="G174" s="15">
        <v>0</v>
      </c>
      <c r="H174" s="15" t="s">
        <v>38</v>
      </c>
      <c r="I174" s="15" t="s">
        <v>38</v>
      </c>
      <c r="J174" s="11" t="s">
        <v>286</v>
      </c>
      <c r="K174" s="11" t="s">
        <v>38</v>
      </c>
      <c r="L174" s="11" t="s">
        <v>38</v>
      </c>
      <c r="M174" s="12" t="s">
        <v>38</v>
      </c>
      <c r="N174" s="12" t="s">
        <v>38</v>
      </c>
      <c r="O174" s="12" t="s">
        <v>38</v>
      </c>
      <c r="P174" s="12" t="s">
        <v>38</v>
      </c>
      <c r="Q174" s="17">
        <v>100000</v>
      </c>
      <c r="R174" s="13">
        <v>293.14999999999998</v>
      </c>
      <c r="S174" s="15" t="s">
        <v>38</v>
      </c>
      <c r="T174" s="15" t="s">
        <v>38</v>
      </c>
      <c r="U174" s="36" t="s">
        <v>38</v>
      </c>
      <c r="V174" s="36" t="s">
        <v>38</v>
      </c>
      <c r="W174" s="13"/>
      <c r="X174" s="15">
        <f t="shared" si="16"/>
        <v>106.496</v>
      </c>
    </row>
    <row r="175" spans="1:24" x14ac:dyDescent="0.25">
      <c r="R175" s="13"/>
      <c r="U175" s="36"/>
      <c r="V175" s="36"/>
      <c r="W175" s="13"/>
    </row>
    <row r="176" spans="1:24" x14ac:dyDescent="0.25">
      <c r="R176" s="13"/>
      <c r="U176" s="36"/>
      <c r="V176" s="36"/>
      <c r="W176" s="13"/>
    </row>
    <row r="177" spans="1:23" x14ac:dyDescent="0.25">
      <c r="R177" s="13"/>
      <c r="U177" s="36"/>
      <c r="V177" s="36"/>
      <c r="W177" s="13"/>
    </row>
    <row r="178" spans="1:23" x14ac:dyDescent="0.25">
      <c r="A178" s="11" t="s">
        <v>411</v>
      </c>
      <c r="R178" s="13"/>
      <c r="U178" s="36"/>
      <c r="V178" s="36"/>
      <c r="W178" s="13"/>
    </row>
    <row r="179" spans="1:23" x14ac:dyDescent="0.25">
      <c r="A179" s="11" t="s">
        <v>35</v>
      </c>
      <c r="B179" s="12">
        <v>251</v>
      </c>
      <c r="R179" s="13"/>
      <c r="U179" s="36"/>
      <c r="V179" s="36"/>
      <c r="W179" s="13"/>
    </row>
    <row r="180" spans="1:23" x14ac:dyDescent="0.25">
      <c r="A180" s="11" t="s">
        <v>36</v>
      </c>
      <c r="B180" s="12">
        <f>$B$33*100000</f>
        <v>300000</v>
      </c>
      <c r="C180" s="13">
        <f>273.15+B34</f>
        <v>308.14999999999998</v>
      </c>
      <c r="R180" s="13"/>
      <c r="U180" s="36"/>
      <c r="V180" s="36"/>
      <c r="W180" s="13"/>
    </row>
    <row r="181" spans="1:23" x14ac:dyDescent="0.25">
      <c r="A181" s="11" t="s">
        <v>39</v>
      </c>
      <c r="B181" s="12" t="str">
        <f>CONCATENATE("JUNC_",ROW())</f>
        <v>JUNC_181</v>
      </c>
      <c r="C181" s="13" t="s">
        <v>38</v>
      </c>
      <c r="D181" s="13" t="s">
        <v>38</v>
      </c>
      <c r="E181" s="14">
        <v>0</v>
      </c>
      <c r="F181" s="15" t="s">
        <v>38</v>
      </c>
      <c r="G181" s="15" t="s">
        <v>38</v>
      </c>
      <c r="H181" s="15">
        <v>0</v>
      </c>
      <c r="I181" s="15">
        <v>0</v>
      </c>
      <c r="J181" s="11" t="s">
        <v>275</v>
      </c>
      <c r="K181" s="11" t="s">
        <v>38</v>
      </c>
      <c r="L181" s="11" t="s">
        <v>38</v>
      </c>
      <c r="M181" s="12" t="str">
        <f>B160</f>
        <v>PIPE_160</v>
      </c>
      <c r="N181" s="12" t="str">
        <f ca="1">OFFSET($A$1,ROW()+1,1)</f>
        <v>PIPE_183</v>
      </c>
      <c r="O181" s="12">
        <v>2</v>
      </c>
      <c r="P181" s="12">
        <v>1</v>
      </c>
      <c r="Q181" s="17" t="s">
        <v>38</v>
      </c>
      <c r="R181" s="13" t="s">
        <v>38</v>
      </c>
      <c r="S181" s="15" t="s">
        <v>38</v>
      </c>
      <c r="T181" s="15" t="s">
        <v>38</v>
      </c>
      <c r="U181" s="36" t="s">
        <v>38</v>
      </c>
      <c r="V181" s="36" t="s">
        <v>38</v>
      </c>
      <c r="W181" s="13"/>
    </row>
    <row r="182" spans="1:23" x14ac:dyDescent="0.25">
      <c r="R182" s="13"/>
      <c r="U182" s="36"/>
      <c r="V182" s="36"/>
      <c r="W182" s="13"/>
    </row>
    <row r="183" spans="1:23" x14ac:dyDescent="0.25">
      <c r="A183" s="11" t="s">
        <v>41</v>
      </c>
      <c r="B183" s="12" t="str">
        <f t="shared" ref="B183:B187" si="20">CONCATENATE("PIPE_",ROW())</f>
        <v>PIPE_183</v>
      </c>
      <c r="C183" s="13">
        <f>0.175+0.475</f>
        <v>0.64999999999999991</v>
      </c>
      <c r="D183" s="13">
        <f>dx</f>
        <v>0.2</v>
      </c>
      <c r="E183" s="14">
        <f>77.92^2*PI()/4*0.001^2</f>
        <v>4.768565683579121E-3</v>
      </c>
      <c r="F183" s="15">
        <v>0</v>
      </c>
      <c r="G183" s="15">
        <v>0</v>
      </c>
      <c r="H183" s="15">
        <v>0</v>
      </c>
      <c r="I183" s="15">
        <v>0</v>
      </c>
      <c r="J183" s="11" t="s">
        <v>41</v>
      </c>
      <c r="K183" s="11" t="s">
        <v>358</v>
      </c>
      <c r="L183" s="11" t="s">
        <v>38</v>
      </c>
      <c r="M183" s="12" t="s">
        <v>38</v>
      </c>
      <c r="N183" s="12" t="s">
        <v>38</v>
      </c>
      <c r="O183" s="12" t="s">
        <v>38</v>
      </c>
      <c r="P183" s="12" t="s">
        <v>38</v>
      </c>
      <c r="Q183" s="17">
        <f>roughness</f>
        <v>4.5000000000000003E-5</v>
      </c>
      <c r="R183" s="13" t="s">
        <v>38</v>
      </c>
      <c r="S183" s="15" t="s">
        <v>38</v>
      </c>
      <c r="T183" s="15" t="s">
        <v>38</v>
      </c>
      <c r="U183" s="36" t="s">
        <v>38</v>
      </c>
      <c r="V183" s="36" t="s">
        <v>38</v>
      </c>
      <c r="W183" s="13"/>
    </row>
    <row r="184" spans="1:23" x14ac:dyDescent="0.25">
      <c r="A184" s="11" t="s">
        <v>41</v>
      </c>
      <c r="B184" s="12" t="str">
        <f t="shared" si="20"/>
        <v>PIPE_184</v>
      </c>
      <c r="C184" s="13">
        <v>0.44800000000000001</v>
      </c>
      <c r="D184" s="13">
        <f>dx</f>
        <v>0.2</v>
      </c>
      <c r="E184" s="14">
        <f>77.92^2*PI()/4*0.001^2</f>
        <v>4.768565683579121E-3</v>
      </c>
      <c r="F184" s="15">
        <v>0</v>
      </c>
      <c r="G184" s="15">
        <v>0</v>
      </c>
      <c r="H184" s="15">
        <v>0</v>
      </c>
      <c r="I184" s="15">
        <v>0</v>
      </c>
      <c r="J184" s="11" t="s">
        <v>41</v>
      </c>
      <c r="K184" s="11" t="s">
        <v>358</v>
      </c>
      <c r="L184" s="11" t="s">
        <v>38</v>
      </c>
      <c r="M184" s="12" t="s">
        <v>38</v>
      </c>
      <c r="N184" s="12" t="s">
        <v>38</v>
      </c>
      <c r="O184" s="12" t="s">
        <v>38</v>
      </c>
      <c r="P184" s="12" t="s">
        <v>38</v>
      </c>
      <c r="Q184" s="17">
        <f>roughness</f>
        <v>4.5000000000000003E-5</v>
      </c>
      <c r="R184" s="13" t="s">
        <v>38</v>
      </c>
      <c r="S184" s="15" t="s">
        <v>38</v>
      </c>
      <c r="T184" s="15" t="s">
        <v>38</v>
      </c>
      <c r="U184" s="36" t="s">
        <v>38</v>
      </c>
      <c r="V184" s="36" t="s">
        <v>38</v>
      </c>
      <c r="W184" s="13"/>
    </row>
    <row r="185" spans="1:23" x14ac:dyDescent="0.25">
      <c r="A185" s="11" t="s">
        <v>41</v>
      </c>
      <c r="B185" s="12" t="str">
        <f t="shared" si="20"/>
        <v>PIPE_185</v>
      </c>
      <c r="C185" s="13">
        <f>0.114+0.063/2</f>
        <v>0.14550000000000002</v>
      </c>
      <c r="D185" s="13">
        <f>dx</f>
        <v>0.2</v>
      </c>
      <c r="E185" s="14">
        <f>77.92^2*PI()/4*0.001^2</f>
        <v>4.768565683579121E-3</v>
      </c>
      <c r="F185" s="15">
        <v>90</v>
      </c>
      <c r="G185" s="15">
        <v>0</v>
      </c>
      <c r="H185" s="15">
        <v>0</v>
      </c>
      <c r="I185" s="15">
        <v>0</v>
      </c>
      <c r="J185" s="11" t="s">
        <v>41</v>
      </c>
      <c r="K185" s="11" t="s">
        <v>358</v>
      </c>
      <c r="L185" s="11" t="s">
        <v>38</v>
      </c>
      <c r="M185" s="12" t="s">
        <v>38</v>
      </c>
      <c r="N185" s="12" t="s">
        <v>38</v>
      </c>
      <c r="O185" s="12" t="s">
        <v>38</v>
      </c>
      <c r="P185" s="12" t="s">
        <v>38</v>
      </c>
      <c r="Q185" s="17">
        <f>roughness</f>
        <v>4.5000000000000003E-5</v>
      </c>
      <c r="R185" s="13" t="s">
        <v>38</v>
      </c>
      <c r="S185" s="15" t="s">
        <v>38</v>
      </c>
      <c r="T185" s="15" t="s">
        <v>38</v>
      </c>
      <c r="U185" s="36" t="s">
        <v>38</v>
      </c>
      <c r="V185" s="36" t="s">
        <v>38</v>
      </c>
      <c r="W185" s="13"/>
    </row>
    <row r="186" spans="1:23" x14ac:dyDescent="0.25">
      <c r="A186" s="11" t="s">
        <v>41</v>
      </c>
      <c r="B186" s="12" t="str">
        <f t="shared" si="20"/>
        <v>PIPE_186</v>
      </c>
      <c r="C186" s="13">
        <f>0.063/2+0.08+0.063/2</f>
        <v>0.14300000000000002</v>
      </c>
      <c r="D186" s="13">
        <f>dx</f>
        <v>0.2</v>
      </c>
      <c r="E186" s="14">
        <f>(60.32-2*3.91)^2*PI()/4*0.001^2</f>
        <v>2.1647536878642167E-3</v>
      </c>
      <c r="F186" s="15">
        <v>90</v>
      </c>
      <c r="G186" s="15">
        <v>0</v>
      </c>
      <c r="H186" s="15">
        <v>0</v>
      </c>
      <c r="I186" s="15">
        <v>0</v>
      </c>
      <c r="J186" s="11" t="s">
        <v>41</v>
      </c>
      <c r="K186" s="11" t="s">
        <v>358</v>
      </c>
      <c r="L186" s="11" t="s">
        <v>38</v>
      </c>
      <c r="M186" s="12" t="s">
        <v>38</v>
      </c>
      <c r="N186" s="12" t="s">
        <v>38</v>
      </c>
      <c r="O186" s="12" t="s">
        <v>38</v>
      </c>
      <c r="P186" s="12" t="s">
        <v>38</v>
      </c>
      <c r="Q186" s="17">
        <f>roughness</f>
        <v>4.5000000000000003E-5</v>
      </c>
      <c r="R186" s="13" t="s">
        <v>38</v>
      </c>
      <c r="S186" s="15" t="s">
        <v>38</v>
      </c>
      <c r="T186" s="15" t="s">
        <v>38</v>
      </c>
      <c r="U186" s="36" t="s">
        <v>38</v>
      </c>
      <c r="V186" s="36" t="s">
        <v>38</v>
      </c>
      <c r="W186" s="13"/>
    </row>
    <row r="187" spans="1:23" x14ac:dyDescent="0.25">
      <c r="A187" s="11" t="s">
        <v>41</v>
      </c>
      <c r="B187" s="12" t="str">
        <f t="shared" si="20"/>
        <v>PIPE_187</v>
      </c>
      <c r="C187" s="13">
        <f>0.063/2+0.1+0.071</f>
        <v>0.20250000000000001</v>
      </c>
      <c r="D187" s="13">
        <f>dx</f>
        <v>0.2</v>
      </c>
      <c r="E187" s="14">
        <f>(48.26-2*3.68)^2*PI()/4*0.001^2</f>
        <v>1.3138219017128853E-3</v>
      </c>
      <c r="F187" s="15">
        <v>90</v>
      </c>
      <c r="G187" s="15">
        <v>0</v>
      </c>
      <c r="H187" s="15">
        <v>0</v>
      </c>
      <c r="I187" s="15">
        <v>0</v>
      </c>
      <c r="J187" s="11" t="s">
        <v>41</v>
      </c>
      <c r="K187" s="11" t="s">
        <v>358</v>
      </c>
      <c r="L187" s="11" t="s">
        <v>38</v>
      </c>
      <c r="M187" s="12" t="s">
        <v>38</v>
      </c>
      <c r="N187" s="12" t="s">
        <v>38</v>
      </c>
      <c r="O187" s="12" t="s">
        <v>38</v>
      </c>
      <c r="P187" s="12" t="s">
        <v>38</v>
      </c>
      <c r="Q187" s="17">
        <f>roughness</f>
        <v>4.5000000000000003E-5</v>
      </c>
      <c r="R187" s="13" t="s">
        <v>38</v>
      </c>
      <c r="S187" s="15" t="s">
        <v>38</v>
      </c>
      <c r="T187" s="15" t="s">
        <v>38</v>
      </c>
      <c r="U187" s="36" t="s">
        <v>38</v>
      </c>
      <c r="V187" s="36" t="s">
        <v>38</v>
      </c>
      <c r="W187" s="13"/>
    </row>
    <row r="188" spans="1:23" x14ac:dyDescent="0.25">
      <c r="R188" s="13"/>
      <c r="U188" s="36"/>
      <c r="V188" s="36"/>
      <c r="W188" s="13"/>
    </row>
    <row r="189" spans="1:23" x14ac:dyDescent="0.25">
      <c r="A189" s="11" t="s">
        <v>62</v>
      </c>
      <c r="B189" s="12" t="str">
        <f>CONCATENATE("JUNC_",ROW())</f>
        <v>JUNC_189</v>
      </c>
      <c r="C189" s="13" t="s">
        <v>38</v>
      </c>
      <c r="D189" s="13" t="s">
        <v>38</v>
      </c>
      <c r="E189" s="14">
        <f>(48.26-2*3.68)^2*PI()/4*0.001^2</f>
        <v>1.3138219017128853E-3</v>
      </c>
      <c r="F189" s="15" t="s">
        <v>38</v>
      </c>
      <c r="G189" s="15" t="s">
        <v>38</v>
      </c>
      <c r="H189" s="15">
        <v>0</v>
      </c>
      <c r="I189" s="15">
        <v>0</v>
      </c>
      <c r="J189" s="11" t="s">
        <v>359</v>
      </c>
      <c r="K189" s="11" t="s">
        <v>38</v>
      </c>
      <c r="L189" s="11" t="s">
        <v>38</v>
      </c>
      <c r="M189" s="12" t="str">
        <f ca="1">OFFSET($A$1,ROW()-3,1)</f>
        <v>PIPE_187</v>
      </c>
      <c r="N189" s="12" t="str">
        <f ca="1">OFFSET($A$1,ROW()+1,1)</f>
        <v>TMDV_191</v>
      </c>
      <c r="O189" s="12">
        <v>2</v>
      </c>
      <c r="P189" s="12">
        <v>1</v>
      </c>
      <c r="Q189" s="17" t="s">
        <v>38</v>
      </c>
      <c r="R189" s="13" t="s">
        <v>38</v>
      </c>
      <c r="S189" s="15" t="s">
        <v>38</v>
      </c>
      <c r="T189" s="15">
        <v>0</v>
      </c>
      <c r="U189" s="36" t="s">
        <v>38</v>
      </c>
      <c r="V189" s="36" t="s">
        <v>38</v>
      </c>
      <c r="W189" s="13"/>
    </row>
    <row r="190" spans="1:23" x14ac:dyDescent="0.25">
      <c r="R190" s="13"/>
      <c r="U190" s="36"/>
      <c r="V190" s="36"/>
      <c r="W190" s="13"/>
    </row>
    <row r="191" spans="1:23" x14ac:dyDescent="0.25">
      <c r="A191" s="11" t="s">
        <v>37</v>
      </c>
      <c r="B191" s="12" t="str">
        <f>CONCATENATE("TMDV_",ROW())</f>
        <v>TMDV_191</v>
      </c>
      <c r="C191" s="13">
        <v>1</v>
      </c>
      <c r="D191" s="13" t="s">
        <v>38</v>
      </c>
      <c r="E191" s="14">
        <v>1</v>
      </c>
      <c r="F191" s="15">
        <v>0</v>
      </c>
      <c r="G191" s="15">
        <v>0</v>
      </c>
      <c r="H191" s="15" t="s">
        <v>38</v>
      </c>
      <c r="I191" s="15" t="s">
        <v>38</v>
      </c>
      <c r="J191" s="11" t="s">
        <v>286</v>
      </c>
      <c r="K191" s="11" t="s">
        <v>38</v>
      </c>
      <c r="L191" s="11" t="s">
        <v>38</v>
      </c>
      <c r="M191" s="12" t="s">
        <v>38</v>
      </c>
      <c r="N191" s="12" t="s">
        <v>38</v>
      </c>
      <c r="O191" s="12" t="s">
        <v>38</v>
      </c>
      <c r="P191" s="12" t="s">
        <v>38</v>
      </c>
      <c r="Q191" s="17">
        <v>100000</v>
      </c>
      <c r="R191" s="13">
        <v>293.14999999999998</v>
      </c>
      <c r="S191" s="15" t="s">
        <v>38</v>
      </c>
      <c r="T191" s="15" t="s">
        <v>38</v>
      </c>
      <c r="U191" s="36" t="s">
        <v>38</v>
      </c>
      <c r="V191" s="36" t="s">
        <v>38</v>
      </c>
      <c r="W191" s="13"/>
    </row>
    <row r="192" spans="1:23" x14ac:dyDescent="0.25">
      <c r="R192" s="13"/>
      <c r="U192" s="36"/>
      <c r="V192" s="36"/>
      <c r="W192" s="13"/>
    </row>
    <row r="193" spans="1:29" x14ac:dyDescent="0.25">
      <c r="R193" s="13"/>
      <c r="U193" s="36"/>
      <c r="V193" s="36"/>
      <c r="W193" s="13"/>
    </row>
    <row r="194" spans="1:29" ht="26.25" x14ac:dyDescent="0.4">
      <c r="A194" s="120" t="s">
        <v>418</v>
      </c>
      <c r="R194" s="13"/>
      <c r="U194" s="36"/>
      <c r="V194" s="36"/>
      <c r="W194" s="13"/>
    </row>
    <row r="195" spans="1:29" x14ac:dyDescent="0.25">
      <c r="R195" s="13"/>
      <c r="U195" s="36"/>
      <c r="V195" s="36"/>
      <c r="W195" s="13"/>
    </row>
    <row r="196" spans="1:29" x14ac:dyDescent="0.25">
      <c r="A196" s="11" t="s">
        <v>335</v>
      </c>
      <c r="R196" s="13"/>
      <c r="U196" s="36"/>
      <c r="V196" s="36"/>
      <c r="W196" s="13"/>
    </row>
    <row r="197" spans="1:29" x14ac:dyDescent="0.25">
      <c r="A197" s="11" t="s">
        <v>35</v>
      </c>
      <c r="B197" s="12">
        <v>300</v>
      </c>
      <c r="R197" s="13"/>
      <c r="U197" s="36"/>
      <c r="V197" s="36"/>
      <c r="W197" s="13"/>
    </row>
    <row r="198" spans="1:29" x14ac:dyDescent="0.25">
      <c r="A198" s="11" t="s">
        <v>36</v>
      </c>
      <c r="B198" s="12">
        <f>$B$26*100000</f>
        <v>8500000</v>
      </c>
      <c r="C198" s="13">
        <v>293.14999999999998</v>
      </c>
      <c r="R198" s="13"/>
      <c r="U198" s="36"/>
      <c r="V198" s="36"/>
      <c r="W198" s="13"/>
      <c r="AC198" s="116"/>
    </row>
    <row r="199" spans="1:29" x14ac:dyDescent="0.25">
      <c r="A199" s="11" t="s">
        <v>41</v>
      </c>
      <c r="B199" s="12" t="str">
        <f>CONCATENATE("PIPE_",ROW())</f>
        <v>PIPE_199</v>
      </c>
      <c r="C199" s="13">
        <v>3.5</v>
      </c>
      <c r="D199" s="13">
        <f>dx</f>
        <v>0.2</v>
      </c>
      <c r="E199" s="14">
        <f>77956*0.001^2</f>
        <v>7.7955999999999998E-2</v>
      </c>
      <c r="F199" s="15">
        <v>0</v>
      </c>
      <c r="G199" s="15">
        <v>0</v>
      </c>
      <c r="H199" s="15">
        <f>Cv2K(57.61,E199)</f>
        <v>6400.5153107979422</v>
      </c>
      <c r="I199" s="15">
        <f>H199</f>
        <v>6400.5153107979422</v>
      </c>
      <c r="J199" s="11" t="s">
        <v>374</v>
      </c>
      <c r="K199" s="11" t="s">
        <v>38</v>
      </c>
      <c r="L199" s="11" t="s">
        <v>38</v>
      </c>
      <c r="M199" s="12" t="s">
        <v>38</v>
      </c>
      <c r="N199" s="12" t="s">
        <v>38</v>
      </c>
      <c r="O199" s="12" t="s">
        <v>38</v>
      </c>
      <c r="P199" s="12" t="s">
        <v>38</v>
      </c>
      <c r="Q199" s="17">
        <f>roughness</f>
        <v>4.5000000000000003E-5</v>
      </c>
      <c r="R199" s="13" t="s">
        <v>38</v>
      </c>
      <c r="S199" s="15" t="s">
        <v>38</v>
      </c>
      <c r="T199" s="15" t="s">
        <v>38</v>
      </c>
      <c r="U199" s="36" t="s">
        <v>38</v>
      </c>
      <c r="V199" s="36" t="s">
        <v>38</v>
      </c>
      <c r="W199" s="13"/>
      <c r="X199" s="15">
        <v>98.78</v>
      </c>
    </row>
    <row r="200" spans="1:29" x14ac:dyDescent="0.25">
      <c r="R200" s="13"/>
      <c r="U200" s="36"/>
      <c r="V200" s="36"/>
      <c r="W200" s="13"/>
    </row>
    <row r="201" spans="1:29" x14ac:dyDescent="0.25">
      <c r="J201" s="103"/>
      <c r="R201" s="13"/>
      <c r="U201" s="36"/>
      <c r="V201" s="36"/>
      <c r="W201" s="13"/>
    </row>
    <row r="202" spans="1:29" x14ac:dyDescent="0.25">
      <c r="J202" s="103"/>
      <c r="R202" s="13"/>
      <c r="U202" s="36"/>
      <c r="V202" s="36"/>
      <c r="W202" s="13"/>
    </row>
    <row r="203" spans="1:29" x14ac:dyDescent="0.25">
      <c r="A203" s="11" t="s">
        <v>336</v>
      </c>
      <c r="R203" s="13"/>
      <c r="U203" s="36"/>
      <c r="V203" s="36"/>
      <c r="W203" s="13"/>
    </row>
    <row r="204" spans="1:29" x14ac:dyDescent="0.25">
      <c r="A204" s="11" t="s">
        <v>35</v>
      </c>
      <c r="B204" s="12">
        <v>310</v>
      </c>
      <c r="R204" s="13"/>
      <c r="U204" s="36"/>
      <c r="V204" s="36"/>
      <c r="W204" s="13"/>
    </row>
    <row r="205" spans="1:29" x14ac:dyDescent="0.25">
      <c r="A205" s="11" t="s">
        <v>36</v>
      </c>
      <c r="B205" s="12">
        <f>$B$26*100000</f>
        <v>8500000</v>
      </c>
      <c r="C205" s="13">
        <v>293.14999999999998</v>
      </c>
      <c r="R205" s="13"/>
      <c r="U205" s="36"/>
      <c r="V205" s="36"/>
      <c r="W205" s="13"/>
      <c r="X205" s="15">
        <v>98.78</v>
      </c>
    </row>
    <row r="206" spans="1:29" x14ac:dyDescent="0.25">
      <c r="A206" s="11" t="s">
        <v>41</v>
      </c>
      <c r="B206" s="12" t="str">
        <f>CONCATENATE("PIPE_",ROW())</f>
        <v>PIPE_206</v>
      </c>
      <c r="C206" s="13">
        <v>0.2</v>
      </c>
      <c r="D206" s="13">
        <f>dx</f>
        <v>0.2</v>
      </c>
      <c r="E206" s="14">
        <f>6461*0.001^2</f>
        <v>6.4609999999999997E-3</v>
      </c>
      <c r="F206" s="15">
        <v>0</v>
      </c>
      <c r="G206" s="15">
        <v>0</v>
      </c>
      <c r="H206" s="15">
        <v>0</v>
      </c>
      <c r="I206" s="15">
        <v>0</v>
      </c>
      <c r="J206" s="11" t="s">
        <v>41</v>
      </c>
      <c r="K206" s="11" t="s">
        <v>38</v>
      </c>
      <c r="L206" s="11" t="s">
        <v>38</v>
      </c>
      <c r="M206" s="12" t="s">
        <v>38</v>
      </c>
      <c r="N206" s="12" t="s">
        <v>38</v>
      </c>
      <c r="O206" s="12" t="s">
        <v>38</v>
      </c>
      <c r="P206" s="12" t="s">
        <v>38</v>
      </c>
      <c r="Q206" s="17">
        <f>roughness</f>
        <v>4.5000000000000003E-5</v>
      </c>
      <c r="R206" s="13" t="s">
        <v>38</v>
      </c>
      <c r="S206" s="15" t="s">
        <v>38</v>
      </c>
      <c r="T206" s="15" t="s">
        <v>38</v>
      </c>
      <c r="U206" s="36" t="s">
        <v>38</v>
      </c>
      <c r="V206" s="36" t="s">
        <v>38</v>
      </c>
      <c r="W206" s="13"/>
      <c r="X206" s="15">
        <f t="shared" ref="X206:X220" si="21">IF(OR(A206="Pipe", A206="Tmdpvol"), X205+C206*SIN(F206*PI()/180), X205)</f>
        <v>98.78</v>
      </c>
    </row>
    <row r="207" spans="1:29" s="15" customFormat="1" x14ac:dyDescent="0.25">
      <c r="A207" s="11"/>
      <c r="B207" s="12"/>
      <c r="C207" s="13"/>
      <c r="D207" s="13"/>
      <c r="E207" s="14"/>
      <c r="J207" s="11"/>
      <c r="K207" s="11"/>
      <c r="L207" s="11"/>
      <c r="M207" s="12"/>
      <c r="N207" s="12"/>
      <c r="O207" s="12"/>
      <c r="P207" s="12"/>
      <c r="Q207" s="17"/>
      <c r="R207" s="13"/>
      <c r="U207" s="36"/>
      <c r="V207" s="36"/>
      <c r="W207" s="13"/>
      <c r="X207" s="15">
        <f t="shared" si="21"/>
        <v>98.78</v>
      </c>
      <c r="Z207" s="11"/>
      <c r="AA207" s="11"/>
      <c r="AB207" s="11"/>
      <c r="AC207" s="11"/>
    </row>
    <row r="208" spans="1:29" s="15" customFormat="1" x14ac:dyDescent="0.25">
      <c r="A208" s="11" t="s">
        <v>39</v>
      </c>
      <c r="B208" s="12" t="str">
        <f>CONCATENATE("JUNC_",ROW())</f>
        <v>JUNC_208</v>
      </c>
      <c r="C208" s="13" t="s">
        <v>38</v>
      </c>
      <c r="D208" s="13" t="s">
        <v>38</v>
      </c>
      <c r="E208" s="14">
        <f>6461*0.001^2</f>
        <v>6.4609999999999997E-3</v>
      </c>
      <c r="F208" s="15" t="s">
        <v>38</v>
      </c>
      <c r="G208" s="15" t="s">
        <v>38</v>
      </c>
      <c r="H208" s="15">
        <v>0</v>
      </c>
      <c r="I208" s="15">
        <v>0</v>
      </c>
      <c r="J208" s="11" t="s">
        <v>275</v>
      </c>
      <c r="K208" s="11" t="s">
        <v>38</v>
      </c>
      <c r="L208" s="11" t="s">
        <v>38</v>
      </c>
      <c r="M208" s="12" t="str">
        <f ca="1">OFFSET($A$1,ROW()-3,1)</f>
        <v>PIPE_206</v>
      </c>
      <c r="N208" s="12" t="str">
        <f ca="1">OFFSET($A$1,ROW()+1,1)</f>
        <v>PIPE_210</v>
      </c>
      <c r="O208" s="12">
        <v>2</v>
      </c>
      <c r="P208" s="12">
        <v>1</v>
      </c>
      <c r="Q208" s="17" t="s">
        <v>38</v>
      </c>
      <c r="R208" s="13" t="s">
        <v>38</v>
      </c>
      <c r="S208" s="15" t="s">
        <v>38</v>
      </c>
      <c r="T208" s="15" t="s">
        <v>38</v>
      </c>
      <c r="U208" s="36" t="s">
        <v>38</v>
      </c>
      <c r="V208" s="36" t="s">
        <v>38</v>
      </c>
      <c r="W208" s="13"/>
      <c r="X208" s="15">
        <f t="shared" si="21"/>
        <v>98.78</v>
      </c>
      <c r="Z208" s="11"/>
      <c r="AA208" s="11"/>
      <c r="AB208" s="11"/>
      <c r="AC208" s="11"/>
    </row>
    <row r="209" spans="1:29" s="15" customFormat="1" x14ac:dyDescent="0.25">
      <c r="A209" s="11"/>
      <c r="B209" s="12"/>
      <c r="C209" s="13"/>
      <c r="D209" s="13"/>
      <c r="E209" s="14"/>
      <c r="J209" s="11"/>
      <c r="K209" s="11"/>
      <c r="L209" s="11"/>
      <c r="M209" s="12"/>
      <c r="N209" s="12"/>
      <c r="O209" s="12"/>
      <c r="P209" s="12"/>
      <c r="Q209" s="17"/>
      <c r="R209" s="13"/>
      <c r="U209" s="36"/>
      <c r="V209" s="36"/>
      <c r="W209" s="13"/>
      <c r="X209" s="15">
        <f t="shared" si="21"/>
        <v>98.78</v>
      </c>
      <c r="Z209" s="11"/>
      <c r="AA209" s="11"/>
      <c r="AB209" s="11"/>
      <c r="AC209" s="11"/>
    </row>
    <row r="210" spans="1:29" s="15" customFormat="1" x14ac:dyDescent="0.25">
      <c r="A210" s="11" t="s">
        <v>41</v>
      </c>
      <c r="B210" s="12" t="str">
        <f t="shared" ref="B210:B212" si="22">CONCATENATE("PIPE_",ROW())</f>
        <v>PIPE_210</v>
      </c>
      <c r="C210" s="13">
        <v>3.5</v>
      </c>
      <c r="D210" s="13">
        <f t="shared" ref="D210:D216" si="23">dx</f>
        <v>0.2</v>
      </c>
      <c r="E210" s="14">
        <f t="shared" ref="E210:E216" si="24">6461*0.001^2</f>
        <v>6.4609999999999997E-3</v>
      </c>
      <c r="F210" s="15">
        <v>0</v>
      </c>
      <c r="G210" s="15">
        <v>0</v>
      </c>
      <c r="H210" s="15">
        <v>0</v>
      </c>
      <c r="I210" s="15">
        <v>0</v>
      </c>
      <c r="J210" s="11" t="s">
        <v>337</v>
      </c>
      <c r="K210" s="11" t="s">
        <v>38</v>
      </c>
      <c r="L210" s="11" t="s">
        <v>38</v>
      </c>
      <c r="M210" s="12" t="s">
        <v>38</v>
      </c>
      <c r="N210" s="12" t="s">
        <v>38</v>
      </c>
      <c r="O210" s="12" t="s">
        <v>38</v>
      </c>
      <c r="P210" s="12" t="s">
        <v>38</v>
      </c>
      <c r="Q210" s="17">
        <f t="shared" ref="Q210:Q216" si="25">roughness</f>
        <v>4.5000000000000003E-5</v>
      </c>
      <c r="R210" s="13" t="s">
        <v>38</v>
      </c>
      <c r="S210" s="15" t="s">
        <v>38</v>
      </c>
      <c r="T210" s="15" t="s">
        <v>38</v>
      </c>
      <c r="U210" s="36" t="s">
        <v>38</v>
      </c>
      <c r="V210" s="36" t="s">
        <v>38</v>
      </c>
      <c r="W210" s="13"/>
      <c r="X210" s="15">
        <f t="shared" si="21"/>
        <v>98.78</v>
      </c>
      <c r="Z210" s="11"/>
      <c r="AA210" s="11"/>
      <c r="AB210" s="11"/>
      <c r="AC210" s="11"/>
    </row>
    <row r="211" spans="1:29" s="15" customFormat="1" x14ac:dyDescent="0.25">
      <c r="A211" s="11" t="s">
        <v>41</v>
      </c>
      <c r="B211" s="12" t="str">
        <f t="shared" si="22"/>
        <v>PIPE_211</v>
      </c>
      <c r="C211" s="13">
        <v>0.2</v>
      </c>
      <c r="D211" s="13">
        <f t="shared" si="23"/>
        <v>0.2</v>
      </c>
      <c r="E211" s="14">
        <f t="shared" si="24"/>
        <v>6.4609999999999997E-3</v>
      </c>
      <c r="F211" s="15">
        <v>-90</v>
      </c>
      <c r="G211" s="15">
        <v>0</v>
      </c>
      <c r="H211" s="15">
        <f>Cv2K(28.63/2,E211)</f>
        <v>712.07932237705393</v>
      </c>
      <c r="I211" s="15">
        <f>H211</f>
        <v>712.07932237705393</v>
      </c>
      <c r="J211" s="11" t="s">
        <v>342</v>
      </c>
      <c r="K211" s="11" t="s">
        <v>38</v>
      </c>
      <c r="L211" s="11" t="s">
        <v>38</v>
      </c>
      <c r="M211" s="12" t="s">
        <v>38</v>
      </c>
      <c r="N211" s="12" t="s">
        <v>38</v>
      </c>
      <c r="O211" s="12" t="s">
        <v>38</v>
      </c>
      <c r="P211" s="12" t="s">
        <v>38</v>
      </c>
      <c r="Q211" s="17">
        <f t="shared" si="25"/>
        <v>4.5000000000000003E-5</v>
      </c>
      <c r="R211" s="13" t="s">
        <v>38</v>
      </c>
      <c r="S211" s="15" t="s">
        <v>38</v>
      </c>
      <c r="T211" s="15" t="s">
        <v>38</v>
      </c>
      <c r="U211" s="36" t="s">
        <v>38</v>
      </c>
      <c r="V211" s="36" t="s">
        <v>38</v>
      </c>
      <c r="W211" s="13"/>
      <c r="X211" s="15">
        <f t="shared" si="21"/>
        <v>98.58</v>
      </c>
      <c r="Z211" s="11"/>
      <c r="AA211" s="11"/>
      <c r="AB211" s="11"/>
      <c r="AC211" s="11"/>
    </row>
    <row r="212" spans="1:29" s="15" customFormat="1" x14ac:dyDescent="0.25">
      <c r="A212" s="11" t="s">
        <v>41</v>
      </c>
      <c r="B212" s="12" t="str">
        <f t="shared" si="22"/>
        <v>PIPE_212</v>
      </c>
      <c r="C212" s="13">
        <v>3.5</v>
      </c>
      <c r="D212" s="13">
        <f t="shared" si="23"/>
        <v>0.2</v>
      </c>
      <c r="E212" s="14">
        <f t="shared" si="24"/>
        <v>6.4609999999999997E-3</v>
      </c>
      <c r="F212" s="15">
        <v>0</v>
      </c>
      <c r="G212" s="15">
        <v>0</v>
      </c>
      <c r="H212" s="15">
        <v>0</v>
      </c>
      <c r="I212" s="15">
        <v>0</v>
      </c>
      <c r="J212" s="11" t="s">
        <v>338</v>
      </c>
      <c r="K212" s="11" t="s">
        <v>38</v>
      </c>
      <c r="L212" s="11" t="s">
        <v>38</v>
      </c>
      <c r="M212" s="12" t="s">
        <v>38</v>
      </c>
      <c r="N212" s="12" t="s">
        <v>38</v>
      </c>
      <c r="O212" s="12" t="s">
        <v>38</v>
      </c>
      <c r="P212" s="12" t="s">
        <v>38</v>
      </c>
      <c r="Q212" s="17">
        <f t="shared" si="25"/>
        <v>4.5000000000000003E-5</v>
      </c>
      <c r="R212" s="13" t="s">
        <v>38</v>
      </c>
      <c r="S212" s="15" t="s">
        <v>38</v>
      </c>
      <c r="T212" s="15" t="s">
        <v>38</v>
      </c>
      <c r="U212" s="36" t="s">
        <v>38</v>
      </c>
      <c r="V212" s="36" t="s">
        <v>38</v>
      </c>
      <c r="W212" s="13"/>
      <c r="X212" s="15">
        <f t="shared" si="21"/>
        <v>98.58</v>
      </c>
      <c r="Z212" s="11"/>
      <c r="AA212" s="11"/>
      <c r="AB212" s="11"/>
      <c r="AC212" s="11"/>
    </row>
    <row r="213" spans="1:29" s="15" customFormat="1" x14ac:dyDescent="0.25">
      <c r="A213" s="11" t="s">
        <v>41</v>
      </c>
      <c r="B213" s="12" t="str">
        <f>CONCATENATE("PIPE_",ROW())</f>
        <v>PIPE_213</v>
      </c>
      <c r="C213" s="13">
        <v>0.2</v>
      </c>
      <c r="D213" s="13">
        <f t="shared" si="23"/>
        <v>0.2</v>
      </c>
      <c r="E213" s="14">
        <f t="shared" si="24"/>
        <v>6.4609999999999997E-3</v>
      </c>
      <c r="F213" s="15">
        <v>0</v>
      </c>
      <c r="G213" s="15">
        <v>0</v>
      </c>
      <c r="H213" s="15">
        <v>0</v>
      </c>
      <c r="I213" s="15">
        <v>0</v>
      </c>
      <c r="J213" s="11" t="s">
        <v>339</v>
      </c>
      <c r="K213" s="11" t="s">
        <v>38</v>
      </c>
      <c r="L213" s="11" t="s">
        <v>38</v>
      </c>
      <c r="M213" s="12" t="s">
        <v>38</v>
      </c>
      <c r="N213" s="12" t="s">
        <v>38</v>
      </c>
      <c r="O213" s="12" t="s">
        <v>38</v>
      </c>
      <c r="P213" s="12" t="s">
        <v>38</v>
      </c>
      <c r="Q213" s="17">
        <f t="shared" si="25"/>
        <v>4.5000000000000003E-5</v>
      </c>
      <c r="R213" s="13" t="s">
        <v>38</v>
      </c>
      <c r="S213" s="15" t="s">
        <v>38</v>
      </c>
      <c r="T213" s="15" t="s">
        <v>38</v>
      </c>
      <c r="U213" s="36" t="s">
        <v>38</v>
      </c>
      <c r="V213" s="36" t="s">
        <v>38</v>
      </c>
      <c r="W213" s="13"/>
      <c r="X213" s="15">
        <f t="shared" si="21"/>
        <v>98.58</v>
      </c>
      <c r="Z213" s="11"/>
      <c r="AA213" s="11"/>
      <c r="AB213" s="11"/>
      <c r="AC213" s="11"/>
    </row>
    <row r="214" spans="1:29" s="15" customFormat="1" x14ac:dyDescent="0.25">
      <c r="A214" s="11" t="s">
        <v>41</v>
      </c>
      <c r="B214" s="12" t="str">
        <f t="shared" ref="B214:B216" si="26">CONCATENATE("PIPE_",ROW())</f>
        <v>PIPE_214</v>
      </c>
      <c r="C214" s="13">
        <v>3.5</v>
      </c>
      <c r="D214" s="13">
        <f t="shared" si="23"/>
        <v>0.2</v>
      </c>
      <c r="E214" s="14">
        <f t="shared" si="24"/>
        <v>6.4609999999999997E-3</v>
      </c>
      <c r="F214" s="15">
        <v>0</v>
      </c>
      <c r="G214" s="15">
        <v>0</v>
      </c>
      <c r="H214" s="15">
        <v>0</v>
      </c>
      <c r="I214" s="15">
        <v>0</v>
      </c>
      <c r="J214" s="11" t="s">
        <v>340</v>
      </c>
      <c r="K214" s="11" t="s">
        <v>38</v>
      </c>
      <c r="L214" s="11" t="s">
        <v>38</v>
      </c>
      <c r="M214" s="12" t="s">
        <v>38</v>
      </c>
      <c r="N214" s="12" t="s">
        <v>38</v>
      </c>
      <c r="O214" s="12" t="s">
        <v>38</v>
      </c>
      <c r="P214" s="12" t="s">
        <v>38</v>
      </c>
      <c r="Q214" s="17">
        <f t="shared" si="25"/>
        <v>4.5000000000000003E-5</v>
      </c>
      <c r="R214" s="13" t="s">
        <v>38</v>
      </c>
      <c r="S214" s="15" t="s">
        <v>38</v>
      </c>
      <c r="T214" s="15" t="s">
        <v>38</v>
      </c>
      <c r="U214" s="36" t="s">
        <v>38</v>
      </c>
      <c r="V214" s="36" t="s">
        <v>38</v>
      </c>
      <c r="W214" s="13"/>
      <c r="X214" s="15">
        <f t="shared" si="21"/>
        <v>98.58</v>
      </c>
      <c r="Z214" s="11"/>
      <c r="AA214" s="11"/>
      <c r="AB214" s="11"/>
      <c r="AC214" s="11"/>
    </row>
    <row r="215" spans="1:29" s="15" customFormat="1" x14ac:dyDescent="0.25">
      <c r="A215" s="11" t="s">
        <v>41</v>
      </c>
      <c r="B215" s="12" t="str">
        <f t="shared" si="26"/>
        <v>PIPE_215</v>
      </c>
      <c r="C215" s="13">
        <v>0.2</v>
      </c>
      <c r="D215" s="13">
        <f t="shared" si="23"/>
        <v>0.2</v>
      </c>
      <c r="E215" s="14">
        <f t="shared" si="24"/>
        <v>6.4609999999999997E-3</v>
      </c>
      <c r="F215" s="15">
        <v>90</v>
      </c>
      <c r="G215" s="15">
        <v>0</v>
      </c>
      <c r="H215" s="15">
        <f>Cv2K(28.63/2,E215)</f>
        <v>712.07932237705393</v>
      </c>
      <c r="I215" s="15">
        <f>H215</f>
        <v>712.07932237705393</v>
      </c>
      <c r="J215" s="11" t="s">
        <v>342</v>
      </c>
      <c r="K215" s="11" t="s">
        <v>38</v>
      </c>
      <c r="L215" s="11" t="s">
        <v>38</v>
      </c>
      <c r="M215" s="12" t="s">
        <v>38</v>
      </c>
      <c r="N215" s="12" t="s">
        <v>38</v>
      </c>
      <c r="O215" s="12" t="s">
        <v>38</v>
      </c>
      <c r="P215" s="12" t="s">
        <v>38</v>
      </c>
      <c r="Q215" s="17">
        <f t="shared" si="25"/>
        <v>4.5000000000000003E-5</v>
      </c>
      <c r="R215" s="13" t="s">
        <v>38</v>
      </c>
      <c r="S215" s="15" t="s">
        <v>38</v>
      </c>
      <c r="T215" s="15" t="s">
        <v>38</v>
      </c>
      <c r="U215" s="36" t="s">
        <v>38</v>
      </c>
      <c r="V215" s="36" t="s">
        <v>38</v>
      </c>
      <c r="W215" s="13"/>
      <c r="X215" s="15">
        <f t="shared" si="21"/>
        <v>98.78</v>
      </c>
      <c r="Z215" s="11"/>
      <c r="AA215" s="11"/>
      <c r="AB215" s="11"/>
      <c r="AC215" s="11"/>
    </row>
    <row r="216" spans="1:29" s="15" customFormat="1" x14ac:dyDescent="0.25">
      <c r="A216" s="11" t="s">
        <v>41</v>
      </c>
      <c r="B216" s="12" t="str">
        <f t="shared" si="26"/>
        <v>PIPE_216</v>
      </c>
      <c r="C216" s="13">
        <v>3.5</v>
      </c>
      <c r="D216" s="13">
        <f t="shared" si="23"/>
        <v>0.2</v>
      </c>
      <c r="E216" s="14">
        <f t="shared" si="24"/>
        <v>6.4609999999999997E-3</v>
      </c>
      <c r="F216" s="15">
        <v>0</v>
      </c>
      <c r="G216" s="15">
        <v>0</v>
      </c>
      <c r="H216" s="15">
        <v>0</v>
      </c>
      <c r="I216" s="15">
        <v>0</v>
      </c>
      <c r="J216" s="11" t="s">
        <v>341</v>
      </c>
      <c r="K216" s="11" t="s">
        <v>38</v>
      </c>
      <c r="L216" s="11" t="s">
        <v>38</v>
      </c>
      <c r="M216" s="12" t="s">
        <v>38</v>
      </c>
      <c r="N216" s="12" t="s">
        <v>38</v>
      </c>
      <c r="O216" s="12" t="s">
        <v>38</v>
      </c>
      <c r="P216" s="12" t="s">
        <v>38</v>
      </c>
      <c r="Q216" s="17">
        <f t="shared" si="25"/>
        <v>4.5000000000000003E-5</v>
      </c>
      <c r="R216" s="13" t="s">
        <v>38</v>
      </c>
      <c r="S216" s="15" t="s">
        <v>38</v>
      </c>
      <c r="T216" s="15" t="s">
        <v>38</v>
      </c>
      <c r="U216" s="36" t="s">
        <v>38</v>
      </c>
      <c r="V216" s="36" t="s">
        <v>38</v>
      </c>
      <c r="W216" s="13"/>
      <c r="X216" s="15">
        <f t="shared" si="21"/>
        <v>98.78</v>
      </c>
      <c r="Z216" s="11"/>
      <c r="AA216" s="11"/>
      <c r="AB216" s="11"/>
      <c r="AC216" s="11"/>
    </row>
    <row r="217" spans="1:29" s="15" customFormat="1" x14ac:dyDescent="0.25">
      <c r="A217" s="11"/>
      <c r="B217" s="12"/>
      <c r="C217" s="13"/>
      <c r="D217" s="13"/>
      <c r="E217" s="14"/>
      <c r="J217" s="11"/>
      <c r="K217" s="11"/>
      <c r="L217" s="11"/>
      <c r="M217" s="12"/>
      <c r="N217" s="12"/>
      <c r="O217" s="12"/>
      <c r="P217" s="12"/>
      <c r="Q217" s="17"/>
      <c r="R217" s="13"/>
      <c r="U217" s="36"/>
      <c r="V217" s="36"/>
      <c r="W217" s="13"/>
      <c r="X217" s="15">
        <f t="shared" si="21"/>
        <v>98.78</v>
      </c>
      <c r="Z217" s="11"/>
      <c r="AA217" s="11"/>
      <c r="AB217" s="11"/>
      <c r="AC217" s="11"/>
    </row>
    <row r="218" spans="1:29" s="15" customFormat="1" x14ac:dyDescent="0.25">
      <c r="A218" s="11" t="s">
        <v>39</v>
      </c>
      <c r="B218" s="12" t="str">
        <f>CONCATENATE("JUNC_",ROW())</f>
        <v>JUNC_218</v>
      </c>
      <c r="C218" s="13" t="s">
        <v>38</v>
      </c>
      <c r="D218" s="13" t="s">
        <v>38</v>
      </c>
      <c r="E218" s="14">
        <f>6461*0.001^2</f>
        <v>6.4609999999999997E-3</v>
      </c>
      <c r="F218" s="15" t="s">
        <v>38</v>
      </c>
      <c r="G218" s="15" t="s">
        <v>38</v>
      </c>
      <c r="H218" s="15">
        <v>0</v>
      </c>
      <c r="I218" s="15">
        <v>0</v>
      </c>
      <c r="J218" s="11" t="s">
        <v>275</v>
      </c>
      <c r="K218" s="11" t="s">
        <v>38</v>
      </c>
      <c r="L218" s="11" t="s">
        <v>38</v>
      </c>
      <c r="M218" s="12" t="str">
        <f ca="1">OFFSET($A$1,ROW()-3,1)</f>
        <v>PIPE_216</v>
      </c>
      <c r="N218" s="12" t="str">
        <f ca="1">OFFSET($A$1,ROW()+1,1)</f>
        <v>PIPE_220</v>
      </c>
      <c r="O218" s="12">
        <v>2</v>
      </c>
      <c r="P218" s="12">
        <v>1</v>
      </c>
      <c r="Q218" s="17" t="s">
        <v>38</v>
      </c>
      <c r="R218" s="13" t="s">
        <v>38</v>
      </c>
      <c r="S218" s="15" t="s">
        <v>38</v>
      </c>
      <c r="T218" s="15" t="s">
        <v>38</v>
      </c>
      <c r="U218" s="36" t="s">
        <v>38</v>
      </c>
      <c r="V218" s="36" t="s">
        <v>38</v>
      </c>
      <c r="W218" s="13"/>
      <c r="X218" s="15">
        <f t="shared" si="21"/>
        <v>98.78</v>
      </c>
      <c r="Z218" s="11"/>
      <c r="AA218" s="11"/>
      <c r="AB218" s="11"/>
      <c r="AC218" s="11"/>
    </row>
    <row r="219" spans="1:29" s="15" customFormat="1" x14ac:dyDescent="0.25">
      <c r="A219" s="11"/>
      <c r="B219" s="12"/>
      <c r="C219" s="13"/>
      <c r="D219" s="13"/>
      <c r="E219" s="14"/>
      <c r="J219" s="11"/>
      <c r="K219" s="11"/>
      <c r="L219" s="11"/>
      <c r="M219" s="12"/>
      <c r="N219" s="12"/>
      <c r="O219" s="12"/>
      <c r="P219" s="12"/>
      <c r="Q219" s="17"/>
      <c r="R219" s="13"/>
      <c r="U219" s="36"/>
      <c r="V219" s="36"/>
      <c r="W219" s="13"/>
      <c r="X219" s="15">
        <f t="shared" si="21"/>
        <v>98.78</v>
      </c>
      <c r="Z219" s="11"/>
      <c r="AA219" s="11"/>
      <c r="AB219" s="11"/>
      <c r="AC219" s="11"/>
    </row>
    <row r="220" spans="1:29" s="15" customFormat="1" x14ac:dyDescent="0.25">
      <c r="A220" s="11" t="s">
        <v>41</v>
      </c>
      <c r="B220" s="12" t="str">
        <f>CONCATENATE("PIPE_",ROW())</f>
        <v>PIPE_220</v>
      </c>
      <c r="C220" s="13">
        <v>0.2</v>
      </c>
      <c r="D220" s="13">
        <f>dx</f>
        <v>0.2</v>
      </c>
      <c r="E220" s="14">
        <f>6461*0.001^2</f>
        <v>6.4609999999999997E-3</v>
      </c>
      <c r="F220" s="15">
        <v>0</v>
      </c>
      <c r="G220" s="15">
        <v>0</v>
      </c>
      <c r="H220" s="15">
        <v>0</v>
      </c>
      <c r="I220" s="15">
        <v>0</v>
      </c>
      <c r="J220" s="11" t="s">
        <v>41</v>
      </c>
      <c r="K220" s="11" t="s">
        <v>38</v>
      </c>
      <c r="L220" s="11" t="s">
        <v>38</v>
      </c>
      <c r="M220" s="12" t="s">
        <v>38</v>
      </c>
      <c r="N220" s="12" t="s">
        <v>38</v>
      </c>
      <c r="O220" s="12" t="s">
        <v>38</v>
      </c>
      <c r="P220" s="12" t="s">
        <v>38</v>
      </c>
      <c r="Q220" s="17">
        <f>roughness</f>
        <v>4.5000000000000003E-5</v>
      </c>
      <c r="R220" s="13" t="s">
        <v>38</v>
      </c>
      <c r="S220" s="15" t="s">
        <v>38</v>
      </c>
      <c r="T220" s="15" t="s">
        <v>38</v>
      </c>
      <c r="U220" s="36" t="s">
        <v>38</v>
      </c>
      <c r="V220" s="36" t="s">
        <v>38</v>
      </c>
      <c r="W220" s="13"/>
      <c r="X220" s="15">
        <f t="shared" si="21"/>
        <v>98.78</v>
      </c>
      <c r="Z220" s="11"/>
      <c r="AA220" s="11"/>
      <c r="AB220" s="11"/>
      <c r="AC220" s="11"/>
    </row>
    <row r="221" spans="1:29" s="15" customFormat="1" x14ac:dyDescent="0.25">
      <c r="A221" s="11"/>
      <c r="B221" s="12"/>
      <c r="C221" s="13"/>
      <c r="D221" s="13"/>
      <c r="E221" s="14"/>
      <c r="J221" s="11"/>
      <c r="K221" s="11"/>
      <c r="L221" s="11"/>
      <c r="M221" s="12"/>
      <c r="N221" s="12"/>
      <c r="O221" s="12"/>
      <c r="P221" s="12"/>
      <c r="Q221" s="17"/>
      <c r="R221" s="13"/>
      <c r="U221" s="36"/>
      <c r="V221" s="36"/>
      <c r="W221" s="13"/>
      <c r="Z221" s="11"/>
      <c r="AA221" s="11"/>
      <c r="AB221" s="11"/>
      <c r="AC221" s="11"/>
    </row>
    <row r="222" spans="1:29" s="15" customFormat="1" x14ac:dyDescent="0.25">
      <c r="A222" s="11"/>
      <c r="B222" s="12"/>
      <c r="C222" s="13"/>
      <c r="D222" s="13"/>
      <c r="E222" s="14"/>
      <c r="J222" s="11"/>
      <c r="K222" s="11"/>
      <c r="L222" s="11"/>
      <c r="M222" s="12"/>
      <c r="N222" s="12"/>
      <c r="O222" s="12"/>
      <c r="P222" s="12"/>
      <c r="Q222" s="17"/>
      <c r="R222" s="13"/>
      <c r="U222" s="36"/>
      <c r="V222" s="36"/>
      <c r="W222" s="13"/>
      <c r="Z222" s="11"/>
      <c r="AA222" s="11"/>
      <c r="AB222" s="11"/>
      <c r="AC222" s="11"/>
    </row>
    <row r="223" spans="1:29" x14ac:dyDescent="0.25">
      <c r="R223" s="13"/>
      <c r="U223" s="36"/>
      <c r="V223" s="36"/>
      <c r="W223" s="13"/>
    </row>
    <row r="224" spans="1:29" x14ac:dyDescent="0.25">
      <c r="R224" s="13"/>
      <c r="U224" s="36"/>
      <c r="V224" s="36"/>
      <c r="W224" s="13"/>
    </row>
    <row r="225" spans="1:29" x14ac:dyDescent="0.25">
      <c r="A225" s="11" t="s">
        <v>343</v>
      </c>
      <c r="R225" s="13"/>
      <c r="U225" s="36"/>
      <c r="V225" s="36"/>
      <c r="W225" s="13"/>
    </row>
    <row r="226" spans="1:29" x14ac:dyDescent="0.25">
      <c r="A226" s="11" t="s">
        <v>35</v>
      </c>
      <c r="B226" s="12">
        <v>320</v>
      </c>
      <c r="R226" s="13"/>
      <c r="U226" s="36"/>
      <c r="V226" s="36"/>
      <c r="W226" s="13"/>
    </row>
    <row r="227" spans="1:29" x14ac:dyDescent="0.25">
      <c r="A227" s="11" t="s">
        <v>36</v>
      </c>
      <c r="B227" s="12">
        <f>$B$33*100000</f>
        <v>300000</v>
      </c>
      <c r="C227" s="13">
        <v>293.14999999999998</v>
      </c>
      <c r="R227" s="13"/>
      <c r="U227" s="36"/>
      <c r="V227" s="36"/>
      <c r="W227" s="13"/>
    </row>
    <row r="228" spans="1:29" x14ac:dyDescent="0.25">
      <c r="A228" s="11" t="s">
        <v>41</v>
      </c>
      <c r="B228" s="12" t="str">
        <f>CONCATENATE("PIPE_",ROW())</f>
        <v>PIPE_228</v>
      </c>
      <c r="C228" s="13">
        <v>3.7</v>
      </c>
      <c r="D228" s="13">
        <f>dx</f>
        <v>0.2</v>
      </c>
      <c r="E228" s="14">
        <f>132069*0.001^2</f>
        <v>0.13206899999999999</v>
      </c>
      <c r="F228" s="15">
        <v>0</v>
      </c>
      <c r="G228" s="15">
        <v>0</v>
      </c>
      <c r="H228" s="15">
        <f>Cv2K(297.53,E228)</f>
        <v>688.73452162968476</v>
      </c>
      <c r="I228" s="15">
        <f>H228</f>
        <v>688.73452162968476</v>
      </c>
      <c r="J228" s="11" t="s">
        <v>373</v>
      </c>
      <c r="K228" s="11" t="s">
        <v>38</v>
      </c>
      <c r="L228" s="11" t="s">
        <v>38</v>
      </c>
      <c r="M228" s="12" t="s">
        <v>38</v>
      </c>
      <c r="N228" s="12" t="s">
        <v>38</v>
      </c>
      <c r="O228" s="12" t="s">
        <v>38</v>
      </c>
      <c r="P228" s="12" t="s">
        <v>38</v>
      </c>
      <c r="Q228" s="17">
        <f>roughness</f>
        <v>4.5000000000000003E-5</v>
      </c>
      <c r="R228" s="13" t="s">
        <v>38</v>
      </c>
      <c r="S228" s="15" t="s">
        <v>38</v>
      </c>
      <c r="T228" s="15" t="s">
        <v>38</v>
      </c>
      <c r="U228" s="36" t="s">
        <v>38</v>
      </c>
      <c r="V228" s="36" t="s">
        <v>38</v>
      </c>
      <c r="W228" s="13"/>
      <c r="X228" s="15">
        <v>97.95</v>
      </c>
    </row>
    <row r="229" spans="1:29" x14ac:dyDescent="0.25">
      <c r="R229" s="13"/>
      <c r="U229" s="36"/>
      <c r="V229" s="36"/>
      <c r="W229" s="13"/>
    </row>
    <row r="230" spans="1:29" x14ac:dyDescent="0.25">
      <c r="R230" s="13"/>
      <c r="U230" s="36"/>
      <c r="V230" s="36"/>
      <c r="W230" s="13"/>
    </row>
    <row r="231" spans="1:29" x14ac:dyDescent="0.25">
      <c r="R231" s="13"/>
      <c r="U231" s="36"/>
      <c r="V231" s="36"/>
      <c r="W231" s="13"/>
    </row>
    <row r="232" spans="1:29" x14ac:dyDescent="0.25">
      <c r="A232" s="11" t="s">
        <v>344</v>
      </c>
      <c r="R232" s="13"/>
      <c r="U232" s="36"/>
      <c r="V232" s="36"/>
    </row>
    <row r="233" spans="1:29" x14ac:dyDescent="0.25">
      <c r="A233" s="11" t="s">
        <v>35</v>
      </c>
      <c r="B233" s="12">
        <v>330</v>
      </c>
      <c r="R233" s="13"/>
      <c r="U233" s="36"/>
      <c r="V233" s="36"/>
    </row>
    <row r="234" spans="1:29" x14ac:dyDescent="0.25">
      <c r="A234" s="11" t="s">
        <v>36</v>
      </c>
      <c r="B234" s="12">
        <f>$B$26*100000</f>
        <v>8500000</v>
      </c>
      <c r="C234" s="13">
        <v>293.14999999999998</v>
      </c>
      <c r="R234" s="13"/>
      <c r="U234" s="36"/>
      <c r="V234" s="36"/>
      <c r="X234" s="15">
        <v>97.95</v>
      </c>
    </row>
    <row r="235" spans="1:29" x14ac:dyDescent="0.25">
      <c r="A235" s="11" t="s">
        <v>41</v>
      </c>
      <c r="B235" s="12" t="str">
        <f>CONCATENATE("PIPE_",ROW())</f>
        <v>PIPE_235</v>
      </c>
      <c r="C235" s="13">
        <v>0.2</v>
      </c>
      <c r="D235" s="13">
        <f>dx</f>
        <v>0.2</v>
      </c>
      <c r="E235" s="14">
        <f>5067*0.001^2</f>
        <v>5.0669999999999995E-3</v>
      </c>
      <c r="F235" s="15">
        <v>0</v>
      </c>
      <c r="G235" s="15">
        <v>0</v>
      </c>
      <c r="H235" s="15">
        <v>0</v>
      </c>
      <c r="I235" s="15">
        <v>0</v>
      </c>
      <c r="J235" s="11" t="s">
        <v>41</v>
      </c>
      <c r="K235" s="11" t="s">
        <v>38</v>
      </c>
      <c r="L235" s="11" t="s">
        <v>38</v>
      </c>
      <c r="M235" s="12" t="s">
        <v>38</v>
      </c>
      <c r="N235" s="12" t="s">
        <v>38</v>
      </c>
      <c r="O235" s="12" t="s">
        <v>38</v>
      </c>
      <c r="P235" s="12" t="s">
        <v>38</v>
      </c>
      <c r="Q235" s="17">
        <f>roughness</f>
        <v>4.5000000000000003E-5</v>
      </c>
      <c r="R235" s="13" t="s">
        <v>38</v>
      </c>
      <c r="S235" s="15" t="s">
        <v>38</v>
      </c>
      <c r="T235" s="15" t="s">
        <v>38</v>
      </c>
      <c r="U235" s="36" t="s">
        <v>38</v>
      </c>
      <c r="V235" s="36" t="s">
        <v>38</v>
      </c>
      <c r="X235" s="15">
        <f t="shared" ref="X235:X249" si="27">IF(OR(A235="Pipe", A235="Tmdpvol"), X234+C235*SIN(F235*PI()/180), X234)</f>
        <v>97.95</v>
      </c>
    </row>
    <row r="236" spans="1:29" x14ac:dyDescent="0.25">
      <c r="R236" s="13"/>
      <c r="U236" s="36"/>
      <c r="V236" s="36"/>
      <c r="X236" s="15">
        <f t="shared" si="27"/>
        <v>97.95</v>
      </c>
    </row>
    <row r="237" spans="1:29" s="15" customFormat="1" x14ac:dyDescent="0.25">
      <c r="A237" s="11" t="s">
        <v>39</v>
      </c>
      <c r="B237" s="12" t="str">
        <f>CONCATENATE("JUNC_",ROW())</f>
        <v>JUNC_237</v>
      </c>
      <c r="C237" s="13" t="s">
        <v>38</v>
      </c>
      <c r="D237" s="13" t="s">
        <v>38</v>
      </c>
      <c r="E237" s="14">
        <v>0</v>
      </c>
      <c r="F237" s="15" t="s">
        <v>38</v>
      </c>
      <c r="G237" s="15" t="s">
        <v>38</v>
      </c>
      <c r="H237" s="15">
        <v>0</v>
      </c>
      <c r="I237" s="15">
        <v>0</v>
      </c>
      <c r="J237" s="11" t="s">
        <v>275</v>
      </c>
      <c r="K237" s="11" t="s">
        <v>38</v>
      </c>
      <c r="L237" s="11" t="s">
        <v>38</v>
      </c>
      <c r="M237" s="12" t="str">
        <f ca="1">OFFSET($A$1,ROW()-3,1)</f>
        <v>PIPE_235</v>
      </c>
      <c r="N237" s="12" t="str">
        <f ca="1">OFFSET($A$1,ROW()+1,1)</f>
        <v>PIPE_239</v>
      </c>
      <c r="O237" s="12">
        <v>2</v>
      </c>
      <c r="P237" s="12">
        <v>1</v>
      </c>
      <c r="Q237" s="17" t="s">
        <v>38</v>
      </c>
      <c r="R237" s="13" t="s">
        <v>38</v>
      </c>
      <c r="S237" s="15" t="s">
        <v>38</v>
      </c>
      <c r="T237" s="15" t="s">
        <v>38</v>
      </c>
      <c r="U237" s="36" t="s">
        <v>38</v>
      </c>
      <c r="V237" s="36" t="s">
        <v>38</v>
      </c>
      <c r="W237" s="11"/>
      <c r="X237" s="15">
        <f t="shared" si="27"/>
        <v>97.95</v>
      </c>
      <c r="Z237" s="11"/>
      <c r="AA237" s="11"/>
      <c r="AB237" s="11"/>
      <c r="AC237" s="11"/>
    </row>
    <row r="238" spans="1:29" s="15" customFormat="1" x14ac:dyDescent="0.25">
      <c r="A238" s="11"/>
      <c r="B238" s="12"/>
      <c r="C238" s="13"/>
      <c r="D238" s="13"/>
      <c r="E238" s="14"/>
      <c r="J238" s="11"/>
      <c r="K238" s="11"/>
      <c r="L238" s="11"/>
      <c r="M238" s="12"/>
      <c r="N238" s="12"/>
      <c r="O238" s="12"/>
      <c r="P238" s="12"/>
      <c r="Q238" s="17"/>
      <c r="R238" s="13"/>
      <c r="U238" s="36"/>
      <c r="V238" s="36"/>
      <c r="W238" s="11"/>
      <c r="X238" s="15">
        <f t="shared" si="27"/>
        <v>97.95</v>
      </c>
      <c r="Z238" s="11"/>
      <c r="AA238" s="11"/>
      <c r="AB238" s="11"/>
      <c r="AC238" s="11"/>
    </row>
    <row r="239" spans="1:29" s="15" customFormat="1" x14ac:dyDescent="0.25">
      <c r="A239" s="11" t="s">
        <v>41</v>
      </c>
      <c r="B239" s="12" t="str">
        <f t="shared" ref="B239:B241" si="28">CONCATENATE("PIPE_",ROW())</f>
        <v>PIPE_239</v>
      </c>
      <c r="C239" s="13">
        <v>3.7</v>
      </c>
      <c r="D239" s="13">
        <f t="shared" ref="D239:D245" si="29">dx</f>
        <v>0.2</v>
      </c>
      <c r="E239" s="14">
        <f>5067*0.001^2</f>
        <v>5.0669999999999995E-3</v>
      </c>
      <c r="F239" s="15">
        <v>0</v>
      </c>
      <c r="G239" s="15">
        <v>0</v>
      </c>
      <c r="H239" s="15">
        <v>0</v>
      </c>
      <c r="I239" s="15">
        <v>0</v>
      </c>
      <c r="J239" s="11" t="s">
        <v>337</v>
      </c>
      <c r="K239" s="11" t="s">
        <v>38</v>
      </c>
      <c r="L239" s="11" t="s">
        <v>38</v>
      </c>
      <c r="M239" s="12" t="s">
        <v>38</v>
      </c>
      <c r="N239" s="12" t="s">
        <v>38</v>
      </c>
      <c r="O239" s="12" t="s">
        <v>38</v>
      </c>
      <c r="P239" s="12" t="s">
        <v>38</v>
      </c>
      <c r="Q239" s="17">
        <f t="shared" ref="Q239:Q245" si="30">roughness</f>
        <v>4.5000000000000003E-5</v>
      </c>
      <c r="R239" s="13" t="s">
        <v>38</v>
      </c>
      <c r="S239" s="15" t="s">
        <v>38</v>
      </c>
      <c r="T239" s="15" t="s">
        <v>38</v>
      </c>
      <c r="U239" s="36" t="s">
        <v>38</v>
      </c>
      <c r="V239" s="36" t="s">
        <v>38</v>
      </c>
      <c r="W239" s="11"/>
      <c r="X239" s="15">
        <f t="shared" si="27"/>
        <v>97.95</v>
      </c>
      <c r="Z239" s="11"/>
      <c r="AA239" s="11"/>
      <c r="AB239" s="11"/>
      <c r="AC239" s="11"/>
    </row>
    <row r="240" spans="1:29" s="15" customFormat="1" x14ac:dyDescent="0.25">
      <c r="A240" s="11" t="s">
        <v>41</v>
      </c>
      <c r="B240" s="12" t="str">
        <f t="shared" si="28"/>
        <v>PIPE_240</v>
      </c>
      <c r="C240" s="13">
        <v>0.2</v>
      </c>
      <c r="D240" s="13">
        <f t="shared" si="29"/>
        <v>0.2</v>
      </c>
      <c r="E240" s="14">
        <f>5067*0.001^2</f>
        <v>5.0669999999999995E-3</v>
      </c>
      <c r="F240" s="15">
        <v>-90</v>
      </c>
      <c r="G240" s="15">
        <v>0</v>
      </c>
      <c r="H240" s="15">
        <f>Cv2K(32.85/2,E240)</f>
        <v>332.66158275727611</v>
      </c>
      <c r="I240" s="15">
        <f>H240</f>
        <v>332.66158275727611</v>
      </c>
      <c r="J240" s="11" t="s">
        <v>342</v>
      </c>
      <c r="K240" s="11" t="s">
        <v>38</v>
      </c>
      <c r="L240" s="11" t="s">
        <v>38</v>
      </c>
      <c r="M240" s="12" t="s">
        <v>38</v>
      </c>
      <c r="N240" s="12" t="s">
        <v>38</v>
      </c>
      <c r="O240" s="12" t="s">
        <v>38</v>
      </c>
      <c r="P240" s="12" t="s">
        <v>38</v>
      </c>
      <c r="Q240" s="17">
        <f t="shared" si="30"/>
        <v>4.5000000000000003E-5</v>
      </c>
      <c r="R240" s="13" t="s">
        <v>38</v>
      </c>
      <c r="S240" s="15" t="s">
        <v>38</v>
      </c>
      <c r="T240" s="15" t="s">
        <v>38</v>
      </c>
      <c r="U240" s="36" t="s">
        <v>38</v>
      </c>
      <c r="V240" s="36" t="s">
        <v>38</v>
      </c>
      <c r="W240" s="11"/>
      <c r="X240" s="15">
        <f t="shared" si="27"/>
        <v>97.75</v>
      </c>
      <c r="Z240" s="11"/>
      <c r="AA240" s="11"/>
      <c r="AB240" s="11"/>
      <c r="AC240" s="11"/>
    </row>
    <row r="241" spans="1:29" s="15" customFormat="1" x14ac:dyDescent="0.25">
      <c r="A241" s="11" t="s">
        <v>41</v>
      </c>
      <c r="B241" s="12" t="str">
        <f t="shared" si="28"/>
        <v>PIPE_241</v>
      </c>
      <c r="C241" s="13">
        <v>3.7</v>
      </c>
      <c r="D241" s="13">
        <f t="shared" si="29"/>
        <v>0.2</v>
      </c>
      <c r="E241" s="14">
        <f>5067*0.001^2</f>
        <v>5.0669999999999995E-3</v>
      </c>
      <c r="F241" s="15">
        <v>0</v>
      </c>
      <c r="G241" s="15">
        <v>0</v>
      </c>
      <c r="H241" s="15">
        <v>0</v>
      </c>
      <c r="I241" s="15">
        <v>0</v>
      </c>
      <c r="J241" s="11" t="s">
        <v>338</v>
      </c>
      <c r="K241" s="11" t="s">
        <v>38</v>
      </c>
      <c r="L241" s="11" t="s">
        <v>38</v>
      </c>
      <c r="M241" s="12" t="s">
        <v>38</v>
      </c>
      <c r="N241" s="12" t="s">
        <v>38</v>
      </c>
      <c r="O241" s="12" t="s">
        <v>38</v>
      </c>
      <c r="P241" s="12" t="s">
        <v>38</v>
      </c>
      <c r="Q241" s="17">
        <f t="shared" si="30"/>
        <v>4.5000000000000003E-5</v>
      </c>
      <c r="R241" s="13" t="s">
        <v>38</v>
      </c>
      <c r="S241" s="15" t="s">
        <v>38</v>
      </c>
      <c r="T241" s="15" t="s">
        <v>38</v>
      </c>
      <c r="U241" s="36" t="s">
        <v>38</v>
      </c>
      <c r="V241" s="36" t="s">
        <v>38</v>
      </c>
      <c r="W241" s="11"/>
      <c r="X241" s="15">
        <f t="shared" si="27"/>
        <v>97.75</v>
      </c>
      <c r="Z241" s="11"/>
      <c r="AA241" s="11"/>
      <c r="AB241" s="11"/>
      <c r="AC241" s="11"/>
    </row>
    <row r="242" spans="1:29" s="15" customFormat="1" x14ac:dyDescent="0.25">
      <c r="A242" s="11" t="s">
        <v>41</v>
      </c>
      <c r="B242" s="12" t="str">
        <f>CONCATENATE("PIPE_",ROW())</f>
        <v>PIPE_242</v>
      </c>
      <c r="C242" s="13">
        <v>0.2</v>
      </c>
      <c r="D242" s="13">
        <f t="shared" si="29"/>
        <v>0.2</v>
      </c>
      <c r="E242" s="14">
        <f>5067*0.001^2</f>
        <v>5.0669999999999995E-3</v>
      </c>
      <c r="F242" s="15">
        <v>-90</v>
      </c>
      <c r="G242" s="15">
        <v>0</v>
      </c>
      <c r="H242" s="15">
        <v>0</v>
      </c>
      <c r="I242" s="15">
        <v>0</v>
      </c>
      <c r="J242" s="11" t="s">
        <v>339</v>
      </c>
      <c r="K242" s="11" t="s">
        <v>38</v>
      </c>
      <c r="L242" s="11" t="s">
        <v>38</v>
      </c>
      <c r="M242" s="12" t="s">
        <v>38</v>
      </c>
      <c r="N242" s="12" t="s">
        <v>38</v>
      </c>
      <c r="O242" s="12" t="s">
        <v>38</v>
      </c>
      <c r="P242" s="12" t="s">
        <v>38</v>
      </c>
      <c r="Q242" s="17">
        <f t="shared" si="30"/>
        <v>4.5000000000000003E-5</v>
      </c>
      <c r="R242" s="13" t="s">
        <v>38</v>
      </c>
      <c r="S242" s="15" t="s">
        <v>38</v>
      </c>
      <c r="T242" s="15" t="s">
        <v>38</v>
      </c>
      <c r="U242" s="36" t="s">
        <v>38</v>
      </c>
      <c r="V242" s="36" t="s">
        <v>38</v>
      </c>
      <c r="W242" s="11"/>
      <c r="X242" s="15">
        <f t="shared" si="27"/>
        <v>97.55</v>
      </c>
      <c r="Z242" s="11"/>
      <c r="AA242" s="11"/>
      <c r="AB242" s="11"/>
      <c r="AC242" s="11"/>
    </row>
    <row r="243" spans="1:29" s="15" customFormat="1" x14ac:dyDescent="0.25">
      <c r="A243" s="11" t="s">
        <v>41</v>
      </c>
      <c r="B243" s="12" t="str">
        <f t="shared" ref="B243:B245" si="31">CONCATENATE("PIPE_",ROW())</f>
        <v>PIPE_243</v>
      </c>
      <c r="C243" s="13">
        <v>3.7</v>
      </c>
      <c r="D243" s="13">
        <f t="shared" si="29"/>
        <v>0.2</v>
      </c>
      <c r="E243" s="14">
        <f>4687*0.001^2</f>
        <v>4.6870000000000002E-3</v>
      </c>
      <c r="F243" s="15">
        <v>0</v>
      </c>
      <c r="G243" s="15">
        <v>0</v>
      </c>
      <c r="H243" s="15">
        <v>0</v>
      </c>
      <c r="I243" s="15">
        <v>0</v>
      </c>
      <c r="J243" s="11" t="s">
        <v>340</v>
      </c>
      <c r="K243" s="11" t="s">
        <v>38</v>
      </c>
      <c r="L243" s="11" t="s">
        <v>38</v>
      </c>
      <c r="M243" s="12" t="s">
        <v>38</v>
      </c>
      <c r="N243" s="12" t="s">
        <v>38</v>
      </c>
      <c r="O243" s="12" t="s">
        <v>38</v>
      </c>
      <c r="P243" s="12" t="s">
        <v>38</v>
      </c>
      <c r="Q243" s="17">
        <f t="shared" si="30"/>
        <v>4.5000000000000003E-5</v>
      </c>
      <c r="R243" s="13" t="s">
        <v>38</v>
      </c>
      <c r="S243" s="15" t="s">
        <v>38</v>
      </c>
      <c r="T243" s="15" t="s">
        <v>38</v>
      </c>
      <c r="U243" s="36" t="s">
        <v>38</v>
      </c>
      <c r="V243" s="36" t="s">
        <v>38</v>
      </c>
      <c r="W243" s="11"/>
      <c r="X243" s="15">
        <f t="shared" si="27"/>
        <v>97.55</v>
      </c>
      <c r="Z243" s="11"/>
      <c r="AA243" s="11"/>
      <c r="AB243" s="11"/>
      <c r="AC243" s="11"/>
    </row>
    <row r="244" spans="1:29" s="15" customFormat="1" x14ac:dyDescent="0.25">
      <c r="A244" s="11" t="s">
        <v>41</v>
      </c>
      <c r="B244" s="12" t="str">
        <f t="shared" si="31"/>
        <v>PIPE_244</v>
      </c>
      <c r="C244" s="13">
        <v>0.4</v>
      </c>
      <c r="D244" s="13">
        <f t="shared" si="29"/>
        <v>0.2</v>
      </c>
      <c r="E244" s="14">
        <f>4687*0.001^2</f>
        <v>4.6870000000000002E-3</v>
      </c>
      <c r="F244" s="15">
        <v>90</v>
      </c>
      <c r="G244" s="15">
        <v>0</v>
      </c>
      <c r="H244" s="15">
        <f>Cv2K(32.85/2,E244)</f>
        <v>284.63660318625148</v>
      </c>
      <c r="I244" s="15">
        <f>H244</f>
        <v>284.63660318625148</v>
      </c>
      <c r="J244" s="11" t="s">
        <v>342</v>
      </c>
      <c r="K244" s="11" t="s">
        <v>38</v>
      </c>
      <c r="L244" s="11" t="s">
        <v>38</v>
      </c>
      <c r="M244" s="12" t="s">
        <v>38</v>
      </c>
      <c r="N244" s="12" t="s">
        <v>38</v>
      </c>
      <c r="O244" s="12" t="s">
        <v>38</v>
      </c>
      <c r="P244" s="12" t="s">
        <v>38</v>
      </c>
      <c r="Q244" s="17">
        <f t="shared" si="30"/>
        <v>4.5000000000000003E-5</v>
      </c>
      <c r="R244" s="13" t="s">
        <v>38</v>
      </c>
      <c r="S244" s="15" t="s">
        <v>38</v>
      </c>
      <c r="T244" s="15" t="s">
        <v>38</v>
      </c>
      <c r="U244" s="36" t="s">
        <v>38</v>
      </c>
      <c r="V244" s="36" t="s">
        <v>38</v>
      </c>
      <c r="W244" s="11"/>
      <c r="X244" s="15">
        <f t="shared" si="27"/>
        <v>97.95</v>
      </c>
      <c r="Z244" s="11"/>
      <c r="AA244" s="11"/>
      <c r="AB244" s="11"/>
      <c r="AC244" s="11"/>
    </row>
    <row r="245" spans="1:29" s="15" customFormat="1" x14ac:dyDescent="0.25">
      <c r="A245" s="11" t="s">
        <v>41</v>
      </c>
      <c r="B245" s="12" t="str">
        <f t="shared" si="31"/>
        <v>PIPE_245</v>
      </c>
      <c r="C245" s="13">
        <v>3.7</v>
      </c>
      <c r="D245" s="13">
        <f t="shared" si="29"/>
        <v>0.2</v>
      </c>
      <c r="E245" s="14">
        <f>4687*0.001^2</f>
        <v>4.6870000000000002E-3</v>
      </c>
      <c r="F245" s="15">
        <v>0</v>
      </c>
      <c r="G245" s="15">
        <v>0</v>
      </c>
      <c r="H245" s="15">
        <v>0</v>
      </c>
      <c r="I245" s="15">
        <v>0</v>
      </c>
      <c r="J245" s="11" t="s">
        <v>341</v>
      </c>
      <c r="K245" s="11" t="s">
        <v>38</v>
      </c>
      <c r="L245" s="11" t="s">
        <v>38</v>
      </c>
      <c r="M245" s="12" t="s">
        <v>38</v>
      </c>
      <c r="N245" s="12" t="s">
        <v>38</v>
      </c>
      <c r="O245" s="12" t="s">
        <v>38</v>
      </c>
      <c r="P245" s="12" t="s">
        <v>38</v>
      </c>
      <c r="Q245" s="17">
        <f t="shared" si="30"/>
        <v>4.5000000000000003E-5</v>
      </c>
      <c r="R245" s="13" t="s">
        <v>38</v>
      </c>
      <c r="S245" s="15" t="s">
        <v>38</v>
      </c>
      <c r="T245" s="15" t="s">
        <v>38</v>
      </c>
      <c r="U245" s="36" t="s">
        <v>38</v>
      </c>
      <c r="V245" s="36" t="s">
        <v>38</v>
      </c>
      <c r="W245" s="11"/>
      <c r="X245" s="15">
        <f t="shared" si="27"/>
        <v>97.95</v>
      </c>
      <c r="Z245" s="11"/>
      <c r="AA245" s="11"/>
      <c r="AB245" s="11"/>
      <c r="AC245" s="11"/>
    </row>
    <row r="246" spans="1:29" s="15" customFormat="1" x14ac:dyDescent="0.25">
      <c r="A246" s="11"/>
      <c r="B246" s="12"/>
      <c r="C246" s="13"/>
      <c r="D246" s="13"/>
      <c r="E246" s="14"/>
      <c r="J246" s="11"/>
      <c r="K246" s="11"/>
      <c r="L246" s="11"/>
      <c r="M246" s="12"/>
      <c r="N246" s="12"/>
      <c r="O246" s="12"/>
      <c r="P246" s="12"/>
      <c r="Q246" s="17"/>
      <c r="R246" s="13"/>
      <c r="U246" s="36"/>
      <c r="V246" s="36"/>
      <c r="W246" s="11"/>
      <c r="X246" s="15">
        <f t="shared" si="27"/>
        <v>97.95</v>
      </c>
      <c r="Z246" s="11"/>
      <c r="AA246" s="11"/>
      <c r="AB246" s="11"/>
      <c r="AC246" s="11"/>
    </row>
    <row r="247" spans="1:29" s="15" customFormat="1" x14ac:dyDescent="0.25">
      <c r="A247" s="11" t="s">
        <v>39</v>
      </c>
      <c r="B247" s="12" t="str">
        <f>CONCATENATE("JUNC_",ROW())</f>
        <v>JUNC_247</v>
      </c>
      <c r="C247" s="13" t="s">
        <v>38</v>
      </c>
      <c r="D247" s="13" t="s">
        <v>38</v>
      </c>
      <c r="E247" s="14">
        <v>0</v>
      </c>
      <c r="F247" s="15" t="s">
        <v>38</v>
      </c>
      <c r="G247" s="15" t="s">
        <v>38</v>
      </c>
      <c r="H247" s="15">
        <v>0</v>
      </c>
      <c r="I247" s="15">
        <v>0</v>
      </c>
      <c r="J247" s="11" t="s">
        <v>275</v>
      </c>
      <c r="K247" s="11" t="s">
        <v>38</v>
      </c>
      <c r="L247" s="11" t="s">
        <v>38</v>
      </c>
      <c r="M247" s="12" t="str">
        <f ca="1">OFFSET($A$1,ROW()-3,1)</f>
        <v>PIPE_245</v>
      </c>
      <c r="N247" s="12" t="str">
        <f ca="1">OFFSET($A$1,ROW()+1,1)</f>
        <v>PIPE_249</v>
      </c>
      <c r="O247" s="12">
        <v>2</v>
      </c>
      <c r="P247" s="12">
        <v>1</v>
      </c>
      <c r="Q247" s="17" t="s">
        <v>38</v>
      </c>
      <c r="R247" s="13" t="s">
        <v>38</v>
      </c>
      <c r="S247" s="15" t="s">
        <v>38</v>
      </c>
      <c r="T247" s="15" t="s">
        <v>38</v>
      </c>
      <c r="U247" s="36" t="s">
        <v>38</v>
      </c>
      <c r="V247" s="36" t="s">
        <v>38</v>
      </c>
      <c r="X247" s="15">
        <f t="shared" si="27"/>
        <v>97.95</v>
      </c>
      <c r="Z247" s="11"/>
      <c r="AA247" s="11"/>
      <c r="AB247" s="11"/>
      <c r="AC247" s="11"/>
    </row>
    <row r="248" spans="1:29" s="15" customFormat="1" x14ac:dyDescent="0.25">
      <c r="A248" s="11"/>
      <c r="B248" s="12"/>
      <c r="C248" s="13"/>
      <c r="D248" s="13"/>
      <c r="E248" s="14"/>
      <c r="J248" s="11"/>
      <c r="K248" s="11"/>
      <c r="L248" s="11"/>
      <c r="M248" s="12"/>
      <c r="N248" s="12"/>
      <c r="O248" s="12"/>
      <c r="P248" s="12"/>
      <c r="Q248" s="17"/>
      <c r="R248" s="13"/>
      <c r="U248" s="36"/>
      <c r="V248" s="36"/>
      <c r="W248" s="11"/>
      <c r="X248" s="15">
        <f t="shared" si="27"/>
        <v>97.95</v>
      </c>
      <c r="Z248" s="11"/>
      <c r="AA248" s="11"/>
      <c r="AB248" s="11"/>
      <c r="AC248" s="11"/>
    </row>
    <row r="249" spans="1:29" s="15" customFormat="1" x14ac:dyDescent="0.25">
      <c r="A249" s="11" t="s">
        <v>41</v>
      </c>
      <c r="B249" s="12" t="str">
        <f>CONCATENATE("PIPE_",ROW())</f>
        <v>PIPE_249</v>
      </c>
      <c r="C249" s="13">
        <v>0.2</v>
      </c>
      <c r="D249" s="13">
        <f>dx</f>
        <v>0.2</v>
      </c>
      <c r="E249" s="14">
        <f>4687*0.001^2</f>
        <v>4.6870000000000002E-3</v>
      </c>
      <c r="F249" s="15">
        <v>0</v>
      </c>
      <c r="G249" s="15">
        <v>0</v>
      </c>
      <c r="H249" s="15">
        <v>0</v>
      </c>
      <c r="I249" s="15">
        <v>0</v>
      </c>
      <c r="J249" s="11" t="s">
        <v>41</v>
      </c>
      <c r="K249" s="11" t="s">
        <v>38</v>
      </c>
      <c r="L249" s="11" t="s">
        <v>38</v>
      </c>
      <c r="M249" s="12" t="s">
        <v>38</v>
      </c>
      <c r="N249" s="12" t="s">
        <v>38</v>
      </c>
      <c r="O249" s="12" t="s">
        <v>38</v>
      </c>
      <c r="P249" s="12" t="s">
        <v>38</v>
      </c>
      <c r="Q249" s="17">
        <f>roughness</f>
        <v>4.5000000000000003E-5</v>
      </c>
      <c r="R249" s="13" t="s">
        <v>38</v>
      </c>
      <c r="S249" s="15" t="s">
        <v>38</v>
      </c>
      <c r="T249" s="15" t="s">
        <v>38</v>
      </c>
      <c r="U249" s="36" t="s">
        <v>38</v>
      </c>
      <c r="V249" s="36" t="s">
        <v>38</v>
      </c>
      <c r="W249" s="11"/>
      <c r="X249" s="15">
        <f t="shared" si="27"/>
        <v>97.95</v>
      </c>
      <c r="Z249" s="11"/>
      <c r="AA249" s="11"/>
      <c r="AB249" s="11"/>
      <c r="AC249" s="11"/>
    </row>
    <row r="250" spans="1:29" s="15" customFormat="1" x14ac:dyDescent="0.25">
      <c r="A250" s="11"/>
      <c r="B250" s="12"/>
      <c r="C250" s="13"/>
      <c r="D250" s="13"/>
      <c r="E250" s="14"/>
      <c r="J250" s="11"/>
      <c r="K250" s="11"/>
      <c r="L250" s="11"/>
      <c r="M250" s="12"/>
      <c r="N250" s="12"/>
      <c r="O250" s="12"/>
      <c r="P250" s="12"/>
      <c r="Q250" s="17"/>
      <c r="R250" s="13"/>
      <c r="U250" s="36"/>
      <c r="V250" s="36"/>
      <c r="W250" s="11"/>
      <c r="Z250" s="11"/>
      <c r="AA250" s="11"/>
      <c r="AB250" s="11"/>
      <c r="AC250" s="11"/>
    </row>
    <row r="251" spans="1:29" s="15" customFormat="1" x14ac:dyDescent="0.25">
      <c r="A251" s="11"/>
      <c r="B251" s="12"/>
      <c r="C251" s="13"/>
      <c r="D251" s="13"/>
      <c r="E251" s="14"/>
      <c r="J251" s="11"/>
      <c r="K251" s="11"/>
      <c r="L251" s="11"/>
      <c r="M251" s="12"/>
      <c r="N251" s="12"/>
      <c r="O251" s="12"/>
      <c r="P251" s="12"/>
      <c r="Q251" s="17"/>
      <c r="R251" s="13"/>
      <c r="U251" s="36"/>
      <c r="V251" s="36"/>
      <c r="W251" s="11"/>
      <c r="Z251" s="11"/>
      <c r="AA251" s="11"/>
      <c r="AB251" s="11"/>
      <c r="AC251" s="11"/>
    </row>
    <row r="252" spans="1:29" s="15" customFormat="1" x14ac:dyDescent="0.25">
      <c r="A252" s="11"/>
      <c r="B252" s="12"/>
      <c r="C252" s="13"/>
      <c r="D252" s="13"/>
      <c r="E252" s="14"/>
      <c r="J252" s="11"/>
      <c r="K252" s="11"/>
      <c r="L252" s="11"/>
      <c r="M252" s="12"/>
      <c r="N252" s="12"/>
      <c r="O252" s="12"/>
      <c r="P252" s="12"/>
      <c r="Q252" s="17"/>
      <c r="R252" s="13"/>
      <c r="U252" s="36"/>
      <c r="V252" s="36"/>
      <c r="W252" s="11"/>
      <c r="Z252" s="11"/>
      <c r="AA252" s="11"/>
      <c r="AB252" s="11"/>
      <c r="AC252" s="11"/>
    </row>
    <row r="253" spans="1:29" x14ac:dyDescent="0.25">
      <c r="A253" s="11" t="s">
        <v>345</v>
      </c>
      <c r="R253" s="13"/>
      <c r="U253" s="36"/>
      <c r="V253" s="36"/>
    </row>
    <row r="254" spans="1:29" x14ac:dyDescent="0.25">
      <c r="A254" s="11" t="s">
        <v>35</v>
      </c>
      <c r="B254" s="12">
        <v>340</v>
      </c>
      <c r="R254" s="13"/>
      <c r="U254" s="36"/>
      <c r="V254" s="36"/>
    </row>
    <row r="255" spans="1:29" s="15" customFormat="1" x14ac:dyDescent="0.25">
      <c r="A255" s="11" t="s">
        <v>36</v>
      </c>
      <c r="B255" s="12">
        <f>$B$26*100000</f>
        <v>8500000</v>
      </c>
      <c r="C255" s="13">
        <v>293.14999999999998</v>
      </c>
      <c r="D255" s="13"/>
      <c r="E255" s="14"/>
      <c r="J255" s="11"/>
      <c r="K255" s="11"/>
      <c r="L255" s="11"/>
      <c r="M255" s="12"/>
      <c r="N255" s="12"/>
      <c r="O255" s="12"/>
      <c r="P255" s="12"/>
      <c r="Q255" s="17"/>
      <c r="R255" s="13"/>
      <c r="U255" s="36"/>
      <c r="V255" s="36"/>
      <c r="W255" s="11"/>
      <c r="X255" s="15">
        <v>97.95</v>
      </c>
      <c r="Z255" s="11"/>
      <c r="AA255" s="11"/>
      <c r="AB255" s="11"/>
      <c r="AC255" s="11"/>
    </row>
    <row r="256" spans="1:29" s="15" customFormat="1" x14ac:dyDescent="0.25">
      <c r="A256" s="11" t="s">
        <v>41</v>
      </c>
      <c r="B256" s="12" t="str">
        <f>CONCATENATE("PIPE_",ROW())</f>
        <v>PIPE_256</v>
      </c>
      <c r="C256" s="13">
        <v>0.2</v>
      </c>
      <c r="D256" s="13">
        <f>dx</f>
        <v>0.2</v>
      </c>
      <c r="E256" s="14">
        <f>5067*0.001^2</f>
        <v>5.0669999999999995E-3</v>
      </c>
      <c r="F256" s="15">
        <v>0</v>
      </c>
      <c r="G256" s="15">
        <v>0</v>
      </c>
      <c r="H256" s="15">
        <v>0</v>
      </c>
      <c r="I256" s="15">
        <v>0</v>
      </c>
      <c r="J256" s="11" t="s">
        <v>41</v>
      </c>
      <c r="K256" s="11" t="s">
        <v>38</v>
      </c>
      <c r="L256" s="11" t="s">
        <v>38</v>
      </c>
      <c r="M256" s="12" t="s">
        <v>38</v>
      </c>
      <c r="N256" s="12" t="s">
        <v>38</v>
      </c>
      <c r="O256" s="12" t="s">
        <v>38</v>
      </c>
      <c r="P256" s="12" t="s">
        <v>38</v>
      </c>
      <c r="Q256" s="17">
        <f>roughness</f>
        <v>4.5000000000000003E-5</v>
      </c>
      <c r="R256" s="13" t="s">
        <v>38</v>
      </c>
      <c r="S256" s="15" t="s">
        <v>38</v>
      </c>
      <c r="T256" s="15" t="s">
        <v>38</v>
      </c>
      <c r="U256" s="36" t="s">
        <v>38</v>
      </c>
      <c r="V256" s="36" t="s">
        <v>38</v>
      </c>
      <c r="W256" s="11"/>
      <c r="X256" s="15">
        <f t="shared" ref="X256:X270" si="32">IF(OR(A256="Pipe", A256="Tmdpvol"), X255+C256*SIN(F256*PI()/180), X255)</f>
        <v>97.95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32"/>
        <v>97.95</v>
      </c>
      <c r="Z257" s="11"/>
      <c r="AA257" s="11"/>
      <c r="AB257" s="11"/>
      <c r="AC257" s="11"/>
    </row>
    <row r="258" spans="1:29" s="15" customFormat="1" x14ac:dyDescent="0.25">
      <c r="A258" s="11" t="s">
        <v>39</v>
      </c>
      <c r="B258" s="12" t="str">
        <f>CONCATENATE("JUNC_",ROW())</f>
        <v>JUNC_258</v>
      </c>
      <c r="C258" s="13" t="s">
        <v>38</v>
      </c>
      <c r="D258" s="13" t="s">
        <v>38</v>
      </c>
      <c r="E258" s="14">
        <v>0</v>
      </c>
      <c r="F258" s="15" t="s">
        <v>38</v>
      </c>
      <c r="G258" s="15" t="s">
        <v>38</v>
      </c>
      <c r="H258" s="15">
        <v>0</v>
      </c>
      <c r="I258" s="15">
        <v>0</v>
      </c>
      <c r="J258" s="11" t="s">
        <v>275</v>
      </c>
      <c r="K258" s="11" t="s">
        <v>38</v>
      </c>
      <c r="L258" s="11" t="s">
        <v>38</v>
      </c>
      <c r="M258" s="12" t="str">
        <f ca="1">OFFSET($A$1,ROW()-3,1)</f>
        <v>PIPE_256</v>
      </c>
      <c r="N258" s="12" t="str">
        <f ca="1">OFFSET($A$1,ROW()+1,1)</f>
        <v>PIPE_260</v>
      </c>
      <c r="O258" s="12">
        <v>2</v>
      </c>
      <c r="P258" s="12">
        <v>1</v>
      </c>
      <c r="Q258" s="17" t="s">
        <v>38</v>
      </c>
      <c r="R258" s="13" t="s">
        <v>38</v>
      </c>
      <c r="S258" s="15" t="s">
        <v>38</v>
      </c>
      <c r="T258" s="15" t="s">
        <v>38</v>
      </c>
      <c r="U258" s="36" t="s">
        <v>38</v>
      </c>
      <c r="V258" s="36" t="s">
        <v>38</v>
      </c>
      <c r="W258" s="11"/>
      <c r="X258" s="15">
        <f t="shared" si="32"/>
        <v>97.95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32"/>
        <v>97.95</v>
      </c>
      <c r="Z259" s="11"/>
      <c r="AA259" s="11"/>
      <c r="AB259" s="11"/>
      <c r="AC259" s="11"/>
    </row>
    <row r="260" spans="1:29" s="15" customFormat="1" x14ac:dyDescent="0.25">
      <c r="A260" s="11" t="s">
        <v>41</v>
      </c>
      <c r="B260" s="12" t="str">
        <f t="shared" ref="B260:B262" si="33">CONCATENATE("PIPE_",ROW())</f>
        <v>PIPE_260</v>
      </c>
      <c r="C260" s="13">
        <v>3.7</v>
      </c>
      <c r="D260" s="13">
        <f t="shared" ref="D260:D266" si="34">dx</f>
        <v>0.2</v>
      </c>
      <c r="E260" s="14">
        <f>5067*0.001^2</f>
        <v>5.0669999999999995E-3</v>
      </c>
      <c r="F260" s="15">
        <v>0</v>
      </c>
      <c r="G260" s="15">
        <v>0</v>
      </c>
      <c r="H260" s="15">
        <v>0</v>
      </c>
      <c r="I260" s="15">
        <v>0</v>
      </c>
      <c r="J260" s="11" t="s">
        <v>337</v>
      </c>
      <c r="K260" s="11" t="s">
        <v>38</v>
      </c>
      <c r="L260" s="11" t="s">
        <v>38</v>
      </c>
      <c r="M260" s="12" t="s">
        <v>38</v>
      </c>
      <c r="N260" s="12" t="s">
        <v>38</v>
      </c>
      <c r="O260" s="12" t="s">
        <v>38</v>
      </c>
      <c r="P260" s="12" t="s">
        <v>38</v>
      </c>
      <c r="Q260" s="17">
        <f t="shared" ref="Q260:Q266" si="35">roughness</f>
        <v>4.5000000000000003E-5</v>
      </c>
      <c r="R260" s="13" t="s">
        <v>38</v>
      </c>
      <c r="S260" s="15" t="s">
        <v>38</v>
      </c>
      <c r="T260" s="15" t="s">
        <v>38</v>
      </c>
      <c r="U260" s="36" t="s">
        <v>38</v>
      </c>
      <c r="V260" s="36" t="s">
        <v>38</v>
      </c>
      <c r="W260" s="11"/>
      <c r="X260" s="15">
        <f t="shared" si="32"/>
        <v>97.95</v>
      </c>
      <c r="Z260" s="11"/>
      <c r="AA260" s="11"/>
      <c r="AB260" s="11"/>
      <c r="AC260" s="11"/>
    </row>
    <row r="261" spans="1:29" s="15" customFormat="1" x14ac:dyDescent="0.25">
      <c r="A261" s="11" t="s">
        <v>41</v>
      </c>
      <c r="B261" s="12" t="str">
        <f t="shared" si="33"/>
        <v>PIPE_261</v>
      </c>
      <c r="C261" s="13">
        <v>0.2</v>
      </c>
      <c r="D261" s="13">
        <f t="shared" si="34"/>
        <v>0.2</v>
      </c>
      <c r="E261" s="14">
        <f>5067*0.001^2</f>
        <v>5.0669999999999995E-3</v>
      </c>
      <c r="F261" s="15">
        <v>90</v>
      </c>
      <c r="G261" s="15">
        <v>0</v>
      </c>
      <c r="H261" s="15">
        <f>Cv2K(32.83/2,E261)</f>
        <v>333.06702035860786</v>
      </c>
      <c r="I261" s="15">
        <f>H261</f>
        <v>333.06702035860786</v>
      </c>
      <c r="J261" s="11" t="s">
        <v>342</v>
      </c>
      <c r="K261" s="11" t="s">
        <v>38</v>
      </c>
      <c r="L261" s="11" t="s">
        <v>38</v>
      </c>
      <c r="M261" s="12" t="s">
        <v>38</v>
      </c>
      <c r="N261" s="12" t="s">
        <v>38</v>
      </c>
      <c r="O261" s="12" t="s">
        <v>38</v>
      </c>
      <c r="P261" s="12" t="s">
        <v>38</v>
      </c>
      <c r="Q261" s="17">
        <f t="shared" si="35"/>
        <v>4.5000000000000003E-5</v>
      </c>
      <c r="R261" s="13" t="s">
        <v>38</v>
      </c>
      <c r="S261" s="15" t="s">
        <v>38</v>
      </c>
      <c r="T261" s="15" t="s">
        <v>38</v>
      </c>
      <c r="U261" s="36" t="s">
        <v>38</v>
      </c>
      <c r="V261" s="36" t="s">
        <v>38</v>
      </c>
      <c r="W261" s="11"/>
      <c r="X261" s="15">
        <f t="shared" si="32"/>
        <v>98.15</v>
      </c>
      <c r="Z261" s="11"/>
      <c r="AA261" s="11"/>
      <c r="AB261" s="11"/>
      <c r="AC261" s="11"/>
    </row>
    <row r="262" spans="1:29" s="15" customFormat="1" x14ac:dyDescent="0.25">
      <c r="A262" s="11" t="s">
        <v>41</v>
      </c>
      <c r="B262" s="12" t="str">
        <f t="shared" si="33"/>
        <v>PIPE_262</v>
      </c>
      <c r="C262" s="13">
        <v>3.7</v>
      </c>
      <c r="D262" s="13">
        <f t="shared" si="34"/>
        <v>0.2</v>
      </c>
      <c r="E262" s="14">
        <f>5067*0.001^2</f>
        <v>5.0669999999999995E-3</v>
      </c>
      <c r="F262" s="15">
        <v>0</v>
      </c>
      <c r="G262" s="15">
        <v>0</v>
      </c>
      <c r="H262" s="15">
        <v>0</v>
      </c>
      <c r="I262" s="15">
        <v>0</v>
      </c>
      <c r="J262" s="11" t="s">
        <v>338</v>
      </c>
      <c r="K262" s="11" t="s">
        <v>38</v>
      </c>
      <c r="L262" s="11" t="s">
        <v>38</v>
      </c>
      <c r="M262" s="12" t="s">
        <v>38</v>
      </c>
      <c r="N262" s="12" t="s">
        <v>38</v>
      </c>
      <c r="O262" s="12" t="s">
        <v>38</v>
      </c>
      <c r="P262" s="12" t="s">
        <v>38</v>
      </c>
      <c r="Q262" s="17">
        <f t="shared" si="35"/>
        <v>4.5000000000000003E-5</v>
      </c>
      <c r="R262" s="13" t="s">
        <v>38</v>
      </c>
      <c r="S262" s="15" t="s">
        <v>38</v>
      </c>
      <c r="T262" s="15" t="s">
        <v>38</v>
      </c>
      <c r="U262" s="36" t="s">
        <v>38</v>
      </c>
      <c r="V262" s="36" t="s">
        <v>38</v>
      </c>
      <c r="W262" s="11"/>
      <c r="X262" s="15">
        <f t="shared" si="32"/>
        <v>98.15</v>
      </c>
      <c r="Z262" s="11"/>
      <c r="AA262" s="11"/>
      <c r="AB262" s="11"/>
      <c r="AC262" s="11"/>
    </row>
    <row r="263" spans="1:29" s="15" customFormat="1" x14ac:dyDescent="0.25">
      <c r="A263" s="11" t="s">
        <v>41</v>
      </c>
      <c r="B263" s="12" t="str">
        <f>CONCATENATE("PIPE_",ROW())</f>
        <v>PIPE_263</v>
      </c>
      <c r="C263" s="13">
        <v>0.2</v>
      </c>
      <c r="D263" s="13">
        <f t="shared" si="34"/>
        <v>0.2</v>
      </c>
      <c r="E263" s="14">
        <f>5067*0.001^2</f>
        <v>5.0669999999999995E-3</v>
      </c>
      <c r="F263" s="15">
        <v>90</v>
      </c>
      <c r="G263" s="15">
        <v>0</v>
      </c>
      <c r="H263" s="15">
        <v>0</v>
      </c>
      <c r="I263" s="15">
        <v>0</v>
      </c>
      <c r="J263" s="11" t="s">
        <v>339</v>
      </c>
      <c r="K263" s="11" t="s">
        <v>38</v>
      </c>
      <c r="L263" s="11" t="s">
        <v>38</v>
      </c>
      <c r="M263" s="12" t="s">
        <v>38</v>
      </c>
      <c r="N263" s="12" t="s">
        <v>38</v>
      </c>
      <c r="O263" s="12" t="s">
        <v>38</v>
      </c>
      <c r="P263" s="12" t="s">
        <v>38</v>
      </c>
      <c r="Q263" s="17">
        <f t="shared" si="35"/>
        <v>4.5000000000000003E-5</v>
      </c>
      <c r="R263" s="13" t="s">
        <v>38</v>
      </c>
      <c r="S263" s="15" t="s">
        <v>38</v>
      </c>
      <c r="T263" s="15" t="s">
        <v>38</v>
      </c>
      <c r="U263" s="36" t="s">
        <v>38</v>
      </c>
      <c r="V263" s="36" t="s">
        <v>38</v>
      </c>
      <c r="W263" s="11"/>
      <c r="X263" s="15">
        <f t="shared" si="32"/>
        <v>98.350000000000009</v>
      </c>
      <c r="Z263" s="11"/>
      <c r="AA263" s="11"/>
      <c r="AB263" s="11"/>
      <c r="AC263" s="11"/>
    </row>
    <row r="264" spans="1:29" s="15" customFormat="1" x14ac:dyDescent="0.25">
      <c r="A264" s="11" t="s">
        <v>41</v>
      </c>
      <c r="B264" s="12" t="str">
        <f t="shared" ref="B264:B266" si="36">CONCATENATE("PIPE_",ROW())</f>
        <v>PIPE_264</v>
      </c>
      <c r="C264" s="13">
        <v>3.7</v>
      </c>
      <c r="D264" s="13">
        <f t="shared" si="34"/>
        <v>0.2</v>
      </c>
      <c r="E264" s="14">
        <f>4687*0.001^2</f>
        <v>4.6870000000000002E-3</v>
      </c>
      <c r="F264" s="15">
        <v>0</v>
      </c>
      <c r="G264" s="15">
        <v>0</v>
      </c>
      <c r="H264" s="15">
        <v>0</v>
      </c>
      <c r="I264" s="15">
        <v>0</v>
      </c>
      <c r="J264" s="11" t="s">
        <v>340</v>
      </c>
      <c r="K264" s="11" t="s">
        <v>38</v>
      </c>
      <c r="L264" s="11" t="s">
        <v>38</v>
      </c>
      <c r="M264" s="12" t="s">
        <v>38</v>
      </c>
      <c r="N264" s="12" t="s">
        <v>38</v>
      </c>
      <c r="O264" s="12" t="s">
        <v>38</v>
      </c>
      <c r="P264" s="12" t="s">
        <v>38</v>
      </c>
      <c r="Q264" s="17">
        <f t="shared" si="35"/>
        <v>4.5000000000000003E-5</v>
      </c>
      <c r="R264" s="13" t="s">
        <v>38</v>
      </c>
      <c r="S264" s="15" t="s">
        <v>38</v>
      </c>
      <c r="T264" s="15" t="s">
        <v>38</v>
      </c>
      <c r="U264" s="36" t="s">
        <v>38</v>
      </c>
      <c r="V264" s="36" t="s">
        <v>38</v>
      </c>
      <c r="W264" s="11"/>
      <c r="X264" s="15">
        <f t="shared" si="32"/>
        <v>98.350000000000009</v>
      </c>
      <c r="Z264" s="11"/>
      <c r="AA264" s="11"/>
      <c r="AB264" s="11"/>
      <c r="AC264" s="11"/>
    </row>
    <row r="265" spans="1:29" s="15" customFormat="1" x14ac:dyDescent="0.25">
      <c r="A265" s="11" t="s">
        <v>41</v>
      </c>
      <c r="B265" s="12" t="str">
        <f t="shared" si="36"/>
        <v>PIPE_265</v>
      </c>
      <c r="C265" s="13">
        <v>0.4</v>
      </c>
      <c r="D265" s="13">
        <f t="shared" si="34"/>
        <v>0.2</v>
      </c>
      <c r="E265" s="14">
        <f>4687*0.001^2</f>
        <v>4.6870000000000002E-3</v>
      </c>
      <c r="F265" s="15">
        <v>-90</v>
      </c>
      <c r="G265" s="15">
        <v>0</v>
      </c>
      <c r="H265" s="15">
        <f>Cv2K(32.83/2,E265)</f>
        <v>284.98350943460912</v>
      </c>
      <c r="I265" s="15">
        <f>H265</f>
        <v>284.98350943460912</v>
      </c>
      <c r="J265" s="11" t="s">
        <v>342</v>
      </c>
      <c r="K265" s="11" t="s">
        <v>38</v>
      </c>
      <c r="L265" s="11" t="s">
        <v>38</v>
      </c>
      <c r="M265" s="12" t="s">
        <v>38</v>
      </c>
      <c r="N265" s="12" t="s">
        <v>38</v>
      </c>
      <c r="O265" s="12" t="s">
        <v>38</v>
      </c>
      <c r="P265" s="12" t="s">
        <v>38</v>
      </c>
      <c r="Q265" s="17">
        <f t="shared" si="35"/>
        <v>4.5000000000000003E-5</v>
      </c>
      <c r="R265" s="13" t="s">
        <v>38</v>
      </c>
      <c r="S265" s="15" t="s">
        <v>38</v>
      </c>
      <c r="T265" s="15" t="s">
        <v>38</v>
      </c>
      <c r="U265" s="36" t="s">
        <v>38</v>
      </c>
      <c r="V265" s="36" t="s">
        <v>38</v>
      </c>
      <c r="W265" s="11"/>
      <c r="X265" s="15">
        <f t="shared" si="32"/>
        <v>97.95</v>
      </c>
      <c r="Z265" s="11"/>
      <c r="AA265" s="11"/>
      <c r="AB265" s="11"/>
      <c r="AC265" s="11"/>
    </row>
    <row r="266" spans="1:29" s="15" customFormat="1" x14ac:dyDescent="0.25">
      <c r="A266" s="11" t="s">
        <v>41</v>
      </c>
      <c r="B266" s="12" t="str">
        <f t="shared" si="36"/>
        <v>PIPE_266</v>
      </c>
      <c r="C266" s="13">
        <v>3.7</v>
      </c>
      <c r="D266" s="13">
        <f t="shared" si="34"/>
        <v>0.2</v>
      </c>
      <c r="E266" s="14">
        <f>4687*0.001^2</f>
        <v>4.6870000000000002E-3</v>
      </c>
      <c r="F266" s="15">
        <v>0</v>
      </c>
      <c r="G266" s="15">
        <v>0</v>
      </c>
      <c r="H266" s="15">
        <v>0</v>
      </c>
      <c r="I266" s="15">
        <v>0</v>
      </c>
      <c r="J266" s="11" t="s">
        <v>341</v>
      </c>
      <c r="K266" s="11" t="s">
        <v>38</v>
      </c>
      <c r="L266" s="11" t="s">
        <v>38</v>
      </c>
      <c r="M266" s="12" t="s">
        <v>38</v>
      </c>
      <c r="N266" s="12" t="s">
        <v>38</v>
      </c>
      <c r="O266" s="12" t="s">
        <v>38</v>
      </c>
      <c r="P266" s="12" t="s">
        <v>38</v>
      </c>
      <c r="Q266" s="17">
        <f t="shared" si="35"/>
        <v>4.5000000000000003E-5</v>
      </c>
      <c r="R266" s="13" t="s">
        <v>38</v>
      </c>
      <c r="S266" s="15" t="s">
        <v>38</v>
      </c>
      <c r="T266" s="15" t="s">
        <v>38</v>
      </c>
      <c r="U266" s="36" t="s">
        <v>38</v>
      </c>
      <c r="V266" s="36" t="s">
        <v>38</v>
      </c>
      <c r="W266" s="11"/>
      <c r="X266" s="15">
        <f t="shared" si="32"/>
        <v>97.95</v>
      </c>
      <c r="Z266" s="11"/>
      <c r="AA266" s="11"/>
      <c r="AB266" s="11"/>
      <c r="AC266" s="11"/>
    </row>
    <row r="267" spans="1:29" s="15" customFormat="1" x14ac:dyDescent="0.25">
      <c r="A267" s="11"/>
      <c r="B267" s="12"/>
      <c r="C267" s="13"/>
      <c r="D267" s="13"/>
      <c r="E267" s="14"/>
      <c r="J267" s="11"/>
      <c r="K267" s="11"/>
      <c r="L267" s="11"/>
      <c r="M267" s="12"/>
      <c r="N267" s="12"/>
      <c r="O267" s="12"/>
      <c r="P267" s="12"/>
      <c r="Q267" s="17"/>
      <c r="R267" s="13"/>
      <c r="U267" s="36"/>
      <c r="V267" s="36"/>
      <c r="W267" s="11"/>
      <c r="X267" s="15">
        <f t="shared" si="32"/>
        <v>97.95</v>
      </c>
      <c r="Z267" s="11"/>
      <c r="AA267" s="11"/>
      <c r="AB267" s="11"/>
      <c r="AC267" s="11"/>
    </row>
    <row r="268" spans="1:29" s="15" customFormat="1" x14ac:dyDescent="0.25">
      <c r="A268" s="11" t="s">
        <v>39</v>
      </c>
      <c r="B268" s="12" t="str">
        <f>CONCATENATE("JUNC_",ROW())</f>
        <v>JUNC_268</v>
      </c>
      <c r="C268" s="13" t="s">
        <v>38</v>
      </c>
      <c r="D268" s="13" t="s">
        <v>38</v>
      </c>
      <c r="E268" s="14">
        <v>0</v>
      </c>
      <c r="F268" s="15" t="s">
        <v>38</v>
      </c>
      <c r="G268" s="15" t="s">
        <v>38</v>
      </c>
      <c r="H268" s="15">
        <v>0</v>
      </c>
      <c r="I268" s="15">
        <v>0</v>
      </c>
      <c r="J268" s="11" t="s">
        <v>275</v>
      </c>
      <c r="K268" s="11" t="s">
        <v>38</v>
      </c>
      <c r="L268" s="11" t="s">
        <v>38</v>
      </c>
      <c r="M268" s="12" t="str">
        <f ca="1">OFFSET($A$1,ROW()-3,1)</f>
        <v>PIPE_266</v>
      </c>
      <c r="N268" s="12" t="str">
        <f ca="1">OFFSET($A$1,ROW()+1,1)</f>
        <v>PIPE_270</v>
      </c>
      <c r="O268" s="12">
        <v>2</v>
      </c>
      <c r="P268" s="12">
        <v>1</v>
      </c>
      <c r="Q268" s="17" t="s">
        <v>38</v>
      </c>
      <c r="R268" s="13" t="s">
        <v>38</v>
      </c>
      <c r="S268" s="15" t="s">
        <v>38</v>
      </c>
      <c r="T268" s="15" t="s">
        <v>38</v>
      </c>
      <c r="U268" s="36" t="s">
        <v>38</v>
      </c>
      <c r="V268" s="36" t="s">
        <v>38</v>
      </c>
      <c r="W268" s="11"/>
      <c r="X268" s="15">
        <f t="shared" si="32"/>
        <v>97.95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si="32"/>
        <v>97.95</v>
      </c>
      <c r="Z269" s="11"/>
      <c r="AA269" s="11"/>
      <c r="AB269" s="11"/>
      <c r="AC269" s="11"/>
    </row>
    <row r="270" spans="1:29" s="15" customFormat="1" x14ac:dyDescent="0.25">
      <c r="A270" s="11" t="s">
        <v>41</v>
      </c>
      <c r="B270" s="12" t="str">
        <f>CONCATENATE("PIPE_",ROW())</f>
        <v>PIPE_270</v>
      </c>
      <c r="C270" s="13">
        <v>0.2</v>
      </c>
      <c r="D270" s="13">
        <f>dx</f>
        <v>0.2</v>
      </c>
      <c r="E270" s="14">
        <f>4687*0.001^2</f>
        <v>4.6870000000000002E-3</v>
      </c>
      <c r="F270" s="15">
        <v>0</v>
      </c>
      <c r="G270" s="15">
        <v>0</v>
      </c>
      <c r="H270" s="15">
        <v>0</v>
      </c>
      <c r="I270" s="15">
        <v>0</v>
      </c>
      <c r="J270" s="11" t="s">
        <v>41</v>
      </c>
      <c r="K270" s="11" t="s">
        <v>38</v>
      </c>
      <c r="L270" s="11" t="s">
        <v>38</v>
      </c>
      <c r="M270" s="12" t="s">
        <v>38</v>
      </c>
      <c r="N270" s="12" t="s">
        <v>38</v>
      </c>
      <c r="O270" s="12" t="s">
        <v>38</v>
      </c>
      <c r="P270" s="12" t="s">
        <v>38</v>
      </c>
      <c r="Q270" s="17">
        <f>roughness</f>
        <v>4.5000000000000003E-5</v>
      </c>
      <c r="R270" s="13" t="s">
        <v>38</v>
      </c>
      <c r="S270" s="15" t="s">
        <v>38</v>
      </c>
      <c r="T270" s="15" t="s">
        <v>38</v>
      </c>
      <c r="U270" s="36" t="s">
        <v>38</v>
      </c>
      <c r="V270" s="36" t="s">
        <v>38</v>
      </c>
      <c r="W270" s="11"/>
      <c r="X270" s="15">
        <f t="shared" si="32"/>
        <v>97.95</v>
      </c>
      <c r="Z270" s="11"/>
      <c r="AA270" s="11"/>
      <c r="AB270" s="11"/>
      <c r="AC270" s="11"/>
    </row>
    <row r="271" spans="1:29" s="15" customFormat="1" x14ac:dyDescent="0.25">
      <c r="A271" s="11"/>
      <c r="B271" s="12"/>
      <c r="C271" s="13"/>
      <c r="D271" s="13"/>
      <c r="E271" s="14"/>
      <c r="J271" s="11"/>
      <c r="K271" s="11"/>
      <c r="L271" s="11"/>
      <c r="M271" s="12"/>
      <c r="N271" s="12"/>
      <c r="O271" s="12"/>
      <c r="P271" s="12"/>
      <c r="Q271" s="17"/>
      <c r="R271" s="13"/>
      <c r="U271" s="36"/>
      <c r="V271" s="36"/>
      <c r="W271" s="11"/>
      <c r="Z271" s="11"/>
      <c r="AA271" s="11"/>
      <c r="AB271" s="11"/>
      <c r="AC271" s="11"/>
    </row>
    <row r="272" spans="1:29" s="15" customFormat="1" x14ac:dyDescent="0.25">
      <c r="A272" s="11"/>
      <c r="B272" s="12"/>
      <c r="C272" s="13"/>
      <c r="D272" s="13"/>
      <c r="E272" s="14"/>
      <c r="J272" s="11"/>
      <c r="K272" s="11"/>
      <c r="L272" s="11"/>
      <c r="M272" s="12"/>
      <c r="N272" s="12"/>
      <c r="O272" s="12"/>
      <c r="P272" s="12"/>
      <c r="Q272" s="17"/>
      <c r="R272" s="13"/>
      <c r="U272" s="36"/>
      <c r="V272" s="36"/>
      <c r="W272" s="11"/>
      <c r="Z272" s="11"/>
      <c r="AA272" s="11"/>
      <c r="AB272" s="11"/>
      <c r="AC272" s="11"/>
    </row>
    <row r="273" spans="1:29" s="15" customFormat="1" x14ac:dyDescent="0.25">
      <c r="A273" s="11"/>
      <c r="B273" s="12"/>
      <c r="C273" s="13"/>
      <c r="D273" s="13"/>
      <c r="E273" s="14"/>
      <c r="J273" s="11"/>
      <c r="K273" s="11"/>
      <c r="L273" s="11"/>
      <c r="M273" s="12"/>
      <c r="N273" s="12"/>
      <c r="O273" s="12"/>
      <c r="P273" s="12"/>
      <c r="Q273" s="17"/>
      <c r="R273" s="13"/>
      <c r="U273" s="36"/>
      <c r="V273" s="36"/>
      <c r="W273" s="11"/>
      <c r="Z273" s="11"/>
      <c r="AA273" s="11"/>
      <c r="AB273" s="11"/>
      <c r="AC273" s="11"/>
    </row>
    <row r="274" spans="1:29" s="15" customFormat="1" x14ac:dyDescent="0.25">
      <c r="A274" s="11"/>
      <c r="B274" s="12"/>
      <c r="C274" s="13"/>
      <c r="D274" s="13"/>
      <c r="E274" s="14"/>
      <c r="J274" s="11"/>
      <c r="K274" s="11"/>
      <c r="L274" s="11"/>
      <c r="M274" s="12"/>
      <c r="N274" s="12"/>
      <c r="O274" s="12"/>
      <c r="P274" s="12"/>
      <c r="Q274" s="17"/>
      <c r="R274" s="13"/>
      <c r="U274" s="36"/>
      <c r="V274" s="36"/>
      <c r="W274" s="11"/>
      <c r="Z274" s="11"/>
      <c r="AA274" s="11"/>
      <c r="AB274" s="11"/>
      <c r="AC274" s="11"/>
    </row>
    <row r="275" spans="1:29" s="15" customFormat="1" x14ac:dyDescent="0.25">
      <c r="A275" s="11"/>
      <c r="B275" s="12"/>
      <c r="C275" s="13"/>
      <c r="D275" s="13"/>
      <c r="E275" s="14"/>
      <c r="J275" s="11"/>
      <c r="K275" s="11"/>
      <c r="L275" s="11"/>
      <c r="M275" s="12"/>
      <c r="N275" s="12"/>
      <c r="O275" s="12"/>
      <c r="P275" s="12"/>
      <c r="Q275" s="17"/>
      <c r="R275" s="13"/>
      <c r="U275" s="36"/>
      <c r="V275" s="36"/>
      <c r="W275" s="11"/>
      <c r="Z275" s="11"/>
      <c r="AA275" s="11"/>
      <c r="AB275" s="11"/>
      <c r="AC275" s="11"/>
    </row>
  </sheetData>
  <conditionalFormatting sqref="W6">
    <cfRule type="expression" dxfId="6555" priority="6646" stopIfTrue="1">
      <formula>$A6="Pipe"</formula>
    </cfRule>
    <cfRule type="expression" dxfId="6554" priority="6647" stopIfTrue="1">
      <formula>OR($A6="Junction",$A6="Mtrvlv",$A6="Pump",$A6="Chkvlv",$A6="Trpvlv",$A6="Srvvlv",$A6="Rlfvlv")</formula>
    </cfRule>
    <cfRule type="expression" dxfId="6553" priority="6648" stopIfTrue="1">
      <formula>OR($A6="Tmdpvol",$A6="Snglvol",$A6="Relapnr",$A6="Init")</formula>
    </cfRule>
  </conditionalFormatting>
  <conditionalFormatting sqref="W7">
    <cfRule type="expression" priority="6649" stopIfTrue="1">
      <formula>2</formula>
    </cfRule>
  </conditionalFormatting>
  <conditionalFormatting sqref="Q1339:Q1340 U1339:V1340 F58:I58 A58:D58 Q1:Q58 U1:V58 U68:V68 Q68 A68:D68 F74:L77 F84:L90 A80:D80 Q80 U80:V80 F68:K68 F80:K80 U207:V224 Q207:Q224 A207:D224 F229:L231 A229:D231 Q229:Q231 U229:V231 U250:V252 Q250:Q252 A250:D252 F250:L252 F271:L291 A271:D291 Q271:Q291 U271:V291 Q74:Q77 U74:V77 U84:V90 Q84:Q90 Q94:Q100 U94:V100 F94:L100 Q154:Q158 U154:V158 F154:L158 F162:L164 U162:V164 Q162:Q164 A162:D164 A166:D168 Q166:Q168 U166:V168 F166:L168 F171:L182 U171:V182 Q171:Q182 A171:D177 A181:D182 D178:D180 A188:D197 Q188:Q202 U188:V202 F188:L202 A154:D158 A74:D77 A84:D90 A94:D100 L121:L122 A121:J122 U121:V122 Q121:Q122 Q126:Q133 U126:V133 A126:L133 F207:L224 U303:V305 Q303:Q305 A303:D305 F303:L305 F320:L1183 A320:D1183 Q320:Q1183 U320:V1183 J1:L58 A199:D202 A198 C198:D198">
    <cfRule type="expression" dxfId="6552" priority="6650" stopIfTrue="1">
      <formula>$A1="Pipe"</formula>
    </cfRule>
  </conditionalFormatting>
  <conditionalFormatting sqref="R1339:T1340">
    <cfRule type="expression" dxfId="6551" priority="6651" stopIfTrue="1">
      <formula>$A1339="Pipe"</formula>
    </cfRule>
  </conditionalFormatting>
  <conditionalFormatting sqref="P1339:P1340 U1339:V1340 H58:I58 A58:B58 U1:V58 M1:P58 M68:P68 U68:V68 A68:B68 H68:K68 H80:K80 A80:B80 U80:V80 M80:P80 M207:P224 U207:V224 A207:B224 H229:K231 A229:B231 U229:V231 M229:P231 M250:P252 U250:V252 A250:B252 H250:K252 H271:K291 A271:B291 U271:V291 M271:P291 H74:K77 U74:V77 M74:P77 M84:P90 U84:V90 H84:K90 H94:K100 U94:V100 M94:P100 H154:K158 U154:V158 M154:P158 M162:P164 U162:V164 A162:B164 H162:K164 H166:K168 A166:B168 U166:V168 M166:P168 M171:P182 U171:V182 A171:B177 H171:K182 A181:B182 A188:B197 H188:K202 U188:V202 M188:P202 A154:B158 A74:B77 A84:B90 A94:B100 H121:J122 M121:P122 U121:V122 A121:B122 E121:E122 E126:E133 A126:B133 U126:V133 M126:P133 H126:K133 H207:K224 M303:P305 U303:V305 A303:B305 H303:K305 H320:K1183 A320:B1183 U320:V1183 M320:P1183 J1:K58 A199:B202 A198">
    <cfRule type="expression" dxfId="6550" priority="6652" stopIfTrue="1">
      <formula>$A1="Junction"</formula>
    </cfRule>
  </conditionalFormatting>
  <conditionalFormatting sqref="Q1339:T1340">
    <cfRule type="expression" dxfId="6549" priority="6653" stopIfTrue="1">
      <formula>$A1339="Junction"</formula>
    </cfRule>
  </conditionalFormatting>
  <conditionalFormatting sqref="T1339:V1340 H58:I58 A58:B58 T1:V58 M1:P58 M68:P68 T68:V68 A68:B68 H68:K68 H80:K80 A80:B80 T80:V80 M80:P80 M207:P224 T207:V224 A207:B224 H229:K231 A229:B231 T229:V231 M229:P231 M250:P252 T250:V252 A250:B252 H250:K252 H271:K291 A271:B291 T271:V291 M271:P291 H74:K77 T74:V77 M74:P77 M84:P90 T84:V90 H84:K90 H94:K100 T94:V100 M94:P100 H154:K158 T154:V158 M154:P158 M162:P164 T162:V164 A162:B164 H162:K164 H166:K168 A166:B168 T166:V168 M166:P168 M171:P182 T171:V182 A171:B177 H171:K182 A181:B182 A188:B197 H188:K202 T188:V202 M188:P202 A154:B158 A74:B77 A84:B90 A94:B100 H121:J122 M121:P122 T121:V122 A121:B122 E121:E122 E126:E133 A126:B133 T126:V133 M126:P133 H126:K133 H207:K224 M303:P305 T303:V305 A303:B305 H303:K305 H320:K1183 A320:B1183 T320:V1183 M320:P1183 J1:K58 A199:B202 A198">
    <cfRule type="expression" dxfId="6548" priority="6654" stopIfTrue="1">
      <formula>$A1="Mtrvlv"</formula>
    </cfRule>
  </conditionalFormatting>
  <conditionalFormatting sqref="Q1339:S1340">
    <cfRule type="expression" dxfId="6547" priority="6655" stopIfTrue="1">
      <formula>$A1339="Mtrvlv"</formula>
    </cfRule>
  </conditionalFormatting>
  <conditionalFormatting sqref="T1339:V1340 H58:I58 B58 T1:V58 M1:P58 M68:P68 T68:V68 B68 H68:K68 H80:K80 B80 T80:V80 M80:P80 M207:P224 T207:V224 B207:B224 H229:K231 B229:B231 T229:V231 M229:P231 M250:P252 T250:V252 B250:B252 H250:K252 H271:K291 B271:B291 T271:V291 M271:P291 H74:K77 B74:B77 T74:V77 M74:P77 M84:P90 T84:V90 B84:B90 H84:K90 H94:K100 B94:B100 T94:V100 M94:P100 H154:K158 B154:B158 T154:V158 M154:P158 M162:P164 T162:V164 B162:B164 H162:K164 H166:K168 B166:B168 T166:V168 M166:P168 M171:P182 T171:V182 B171:B177 H171:K182 B181:B182 B188:B197 H188:K202 T188:V202 M188:P202 H121:J122 M121:P122 T121:V122 B121:B122 E121:E122 E126:E133 B126:B133 T126:V133 M126:P133 H126:K133 H207:K224 M303:P305 T303:V305 B303:B305 H303:K305 H320:K1183 B320:B1183 T320:V1183 M320:P1183 J1:K58 B199:B202">
    <cfRule type="expression" dxfId="6546" priority="6656" stopIfTrue="1">
      <formula>$A1="Srvvlv"</formula>
    </cfRule>
  </conditionalFormatting>
  <conditionalFormatting sqref="Q1339:S1340">
    <cfRule type="expression" dxfId="6545" priority="6657" stopIfTrue="1">
      <formula>$A1339="Srvvlv"</formula>
    </cfRule>
  </conditionalFormatting>
  <conditionalFormatting sqref="T1339:V1340 H58:I58 J1:J58 A58 N1:P58 T1:T58 V1:V58 V68 T68 N68:P68 A68 H68:J68 H80:J80 A80 N80:P80 T80 V80 V207:V224 T207:T224 N207:P224 A207:A224 H229:J231 A229:A231 N229:P231 T229:T231 V229:V231 V250:V252 T250:T252 N250:P252 A250:A252 H250:J252 H271:J291 A271:A291 N271:P291 T271:T291 V271:V291 H74:J77 N74:P77 T74:T77 V74:V77 V84:V90 T84:T90 N84:P90 H84:J90 H94:J100 N94:P100 T94:T100 V94:V100 H154:J158 N154:P158 T154:T158 V154:V158 V162:V164 T162:T164 N162:P164 A162:A164 H162:J164 H166:J168 A166:A168 N166:P168 T166:T168 V166:V168 V171:V182 T171:T182 N171:P182 A171:A177 H171:J182 A181:A182 A188:A202 H188:J202 N188:P202 T188:T202 V188:V202 A154:A158 A74:A77 A84:A90 A94:A100 V121:V122 T121:T122 N121:P122 A121:A122 H121:J122 E121:E122 E126:E133 H126:J133 A126:A133 N126:P133 T126:T133 V126:V133 H207:J224 V303:V305 T303:T305 N303:P305 A303:A305 H303:J305 H320:J1183 A320:A1183 N320:P1183 T320:T1183 V320:V1183">
    <cfRule type="expression" dxfId="6544" priority="6658" stopIfTrue="1">
      <formula>$A1="Chkvlv"</formula>
    </cfRule>
  </conditionalFormatting>
  <conditionalFormatting sqref="Q1339:S1340">
    <cfRule type="expression" dxfId="6543" priority="6659" stopIfTrue="1">
      <formula>$A1339="Chkvlv"</formula>
    </cfRule>
  </conditionalFormatting>
  <conditionalFormatting sqref="T1339:V1340 H58:I58 A58:B58 T1:V58 M1:P58 M68:P68 T68:V68 A68:B68 H68:K68 H80:K80 A80:B80 T80:V80 M80:P80 M207:P224 T207:V224 A207:B224 H229:K231 A229:B231 T229:V231 M229:P231 M250:P252 T250:V252 A250:B252 H250:K252 H271:K291 A271:B291 T271:V291 M271:P291 H74:K77 T74:V77 M74:P77 M84:P90 T84:V90 H84:K90 H94:K100 T94:V100 M94:P100 H154:K158 T154:V158 M154:P158 M162:P164 T162:V164 A162:B164 H162:K164 H166:K168 A166:B168 T166:V168 M166:P168 M171:P182 T171:V182 A171:B177 H171:K182 A181:B182 A188:B197 H188:K202 T188:V202 M188:P202 A154:B158 A74:B77 A84:B90 A94:B100 H121:J122 M121:P122 T121:V122 A121:B122 E121:E122 E126:E133 A126:B133 T126:V133 M126:P133 H126:K133 H207:K224 M303:P305 T303:V305 A303:B305 H303:K305 H320:K1183 A320:B1183 T320:V1183 M320:P1183 J1:K58 A199:B202 A198">
    <cfRule type="expression" dxfId="6542" priority="6660" stopIfTrue="1">
      <formula>$A1="Inrvlv"</formula>
    </cfRule>
  </conditionalFormatting>
  <conditionalFormatting sqref="Q1339:S1340">
    <cfRule type="expression" dxfId="6541" priority="6661" stopIfTrue="1">
      <formula>$A1339="Inrvlv"</formula>
    </cfRule>
  </conditionalFormatting>
  <conditionalFormatting sqref="T1339:V1340 H58:I58 B58 T1:V58 M1:P58 M68:P68 T68:V68 B68 H68:K68 H80:K80 B80 T80:V80 M80:P80 M207:P224 T207:V224 B207:B224 H229:K231 B229:B231 T229:V231 M229:P231 M250:P252 T250:V252 B250:B252 H250:K252 H271:K291 B271:B291 T271:V291 M271:P291 H74:K77 B74:B77 T74:V77 M74:P77 M84:P90 T84:V90 B84:B90 H84:K90 H94:K100 B94:B100 T94:V100 M94:P100 H154:K158 B154:B158 T154:V158 M154:P158 M162:P164 T162:V164 B162:B164 H162:K164 H166:K168 B166:B168 T166:V168 M166:P168 M171:P182 T171:V182 B171:B177 H171:K182 B181:B182 B188:B197 H188:K202 T188:V202 M188:P202 H121:J122 M121:P122 T121:V122 B121:B122 E121:E122 E126:E133 B126:B133 T126:V133 M126:P133 H126:K133 H207:K224 M303:P305 T303:V305 B303:B305 H303:K305 H320:K1183 B320:B1183 T320:V1183 M320:P1183 J1:K58 B199:B202">
    <cfRule type="expression" dxfId="6540" priority="6662" stopIfTrue="1">
      <formula>$A1="Tmdpjun"</formula>
    </cfRule>
  </conditionalFormatting>
  <conditionalFormatting sqref="Q1339:S1340">
    <cfRule type="expression" dxfId="6539" priority="6663" stopIfTrue="1">
      <formula>$A1339="Tmdpjun"</formula>
    </cfRule>
  </conditionalFormatting>
  <conditionalFormatting sqref="R1339:V1340 F58:I58 A58:C58 T1:V58 M1:P58 M68:P68 T68:V68 A68:C68 F68:K68 F80:K80 A80:C80 T80:V80 M80:P80 M207:P224 T207:V224 A207:C224 F229:K231 A229:C231 T229:V231 M229:P231 M250:P252 T250:V252 A250:C252 F250:K252 F271:K291 A271:C291 T271:V291 M271:P291 F74:K77 T74:V77 M74:P77 M84:P90 T84:V90 F84:K90 F94:K100 T94:V100 M94:P100 F154:K158 T154:V158 M154:P158 M162:P164 T162:V164 A162:C164 F162:K164 F166:K168 A166:C168 T166:V168 M166:P168 M171:P182 T171:V182 A171:C177 F171:K182 A181:C182 A188:C197 F188:K202 T188:V202 M188:P202 A154:C158 A74:C77 A84:C90 A94:C100 E121:J122 M121:P122 T121:V122 A121:C122 A126:C133 T126:V133 M126:P133 E126:K133 F207:K224 M303:P305 T303:V305 A303:C305 F303:K305 F320:K1183 A320:C1183 T320:V1183 M320:P1183 J1:K58 A199:C202 A198 C198">
    <cfRule type="expression" dxfId="6538" priority="6664" stopIfTrue="1">
      <formula>$A1="Pump"</formula>
    </cfRule>
  </conditionalFormatting>
  <conditionalFormatting sqref="Q1339:Q1340">
    <cfRule type="expression" dxfId="6537" priority="6665" stopIfTrue="1">
      <formula>$A1339="Pump"</formula>
    </cfRule>
  </conditionalFormatting>
  <conditionalFormatting sqref="Q1339:R1340 U1339:V1340 A58:C58 F58:G58 Q1:Q58 U1:V58 U68:V68 Q68 J68:K68 F68:G68 A68:C68 A80:C80 F80:G80 J80:K80 Q80 U80:V80 U207:V224 Q207:Q224 J207:K224 F207:G224 A207:C224 A229:C231 F229:G231 J229:K231 Q229:Q231 U229:V231 U250:V252 Q250:Q252 J250:K252 F250:G252 A250:C252 A271:C291 F271:G291 J271:K291 Q271:Q291 U271:V291 F74:G77 J74:K77 Q74:Q77 U74:V77 U84:V90 Q84:Q90 J84:K90 F84:G90 F94:G100 J94:K100 Q94:Q100 U94:V100 F154:G158 J154:K158 Q154:Q158 U154:V158 U162:V164 Q162:Q164 J162:K164 F162:G164 A162:C164 A166:C168 F166:G168 J166:K168 Q166:Q168 U166:V168 U171:V182 Q171:Q182 J171:K182 F171:G182 A171:C177 A181:C182 A188:C197 F188:G202 J188:K202 Q188:Q202 U188:V202 A154:C158 A74:C77 A84:C90 A94:C100 J121:J122 U121:V122 Q121:Q122 A121:C122 E121:G122 E126:G133 A126:C133 Q126:Q133 U126:V133 J126:K133 U303:V305 Q303:Q305 J303:K305 F303:G305 A303:C305 A320:C1183 F320:G1183 J320:K1183 Q320:Q1183 U320:V1183 J1:K58 A199:C202 A198 C198">
    <cfRule type="expression" dxfId="6536" priority="6666" stopIfTrue="1">
      <formula>$A1="Tmdpvol"</formula>
    </cfRule>
  </conditionalFormatting>
  <conditionalFormatting sqref="S1339:T1340">
    <cfRule type="expression" dxfId="6535" priority="6667" stopIfTrue="1">
      <formula>$A1339="Tmdpvol"</formula>
    </cfRule>
  </conditionalFormatting>
  <conditionalFormatting sqref="U1339:V1340 A58 F58:G58 J1:J58 V1:V58 V68 J68 F68:G68 A68 A80 F80:G80 J80 V80 V207:V224 J207:J224 F207:G224 A207:A224 A229:A231 F229:G231 J229:J231 V229:V231 V250:V252 J250:J252 F250:G252 A250:A252 A271:A291 F271:G291 J271:J291 V271:V291 F74:G77 J74:J77 V74:V77 V84:V90 J84:J90 F84:G90 F94:G100 J94:J100 V94:V100 F154:G158 J154:J158 V154:V158 V162:V164 J162:J164 F162:G164 A162:A164 A166:A168 F166:G168 J166:J168 V166:V168 V171:V182 J171:J182 F171:G182 A171:A177 A181:A182 A188:A202 F188:G202 J188:J202 V188:V202 A154:A158 A74:A77 A84:A90 A94:A100 V121:V122 J121:J122 A121:A122 E121:G122 E126:G133 A126:A133 J126:J133 V126:V133 V303:V305 J303:J305 F303:G305 A303:A305 A320:A1183 F320:G1183 J320:J1183 V320:V1183">
    <cfRule type="expression" dxfId="6534" priority="6668" stopIfTrue="1">
      <formula>$A1="Snglvol"</formula>
    </cfRule>
  </conditionalFormatting>
  <conditionalFormatting sqref="Q1339:T1340">
    <cfRule type="expression" dxfId="6533" priority="6669" stopIfTrue="1">
      <formula>$A1339="Snglvol"</formula>
    </cfRule>
  </conditionalFormatting>
  <conditionalFormatting sqref="W5">
    <cfRule type="expression" dxfId="6532" priority="6670" stopIfTrue="1">
      <formula>$A4="Pipe"</formula>
    </cfRule>
    <cfRule type="expression" dxfId="6531" priority="6671" stopIfTrue="1">
      <formula>OR($A4="Junction",$A4="Mtrvlv",$A4="Pump",$A4="Chkvlv",$A4="Trpvlv",$A4="Srvvlv",$A4="Rlfvlv")</formula>
    </cfRule>
    <cfRule type="expression" dxfId="6530" priority="6672" stopIfTrue="1">
      <formula>OR($A4="Tmdpvol",$A4="Snglvol",$A4="Relapnr",$A4="Init")</formula>
    </cfRule>
  </conditionalFormatting>
  <conditionalFormatting sqref="A1339:A1340">
    <cfRule type="expression" dxfId="6529" priority="6673" stopIfTrue="1">
      <formula>$A1339="Pipe"</formula>
    </cfRule>
    <cfRule type="expression" dxfId="6528" priority="6685" stopIfTrue="1">
      <formula>$A1339="Junction"</formula>
    </cfRule>
    <cfRule type="expression" dxfId="6527" priority="6696" stopIfTrue="1">
      <formula>$A1339="Sngljun"</formula>
    </cfRule>
    <cfRule type="expression" dxfId="6526" priority="6710" stopIfTrue="1">
      <formula>$A1339="Mtrvlv"</formula>
    </cfRule>
    <cfRule type="expression" dxfId="6525" priority="6722" stopIfTrue="1">
      <formula>$A1339="Srvvlv"</formula>
    </cfRule>
    <cfRule type="expression" dxfId="6524" priority="6734" stopIfTrue="1">
      <formula>$A1339="Chkvlv"</formula>
    </cfRule>
    <cfRule type="expression" dxfId="6523" priority="6746" stopIfTrue="1">
      <formula>$A1339="Inrvlv"</formula>
    </cfRule>
    <cfRule type="expression" dxfId="6522" priority="6758" stopIfTrue="1">
      <formula>$A1339="Tmdpjun"</formula>
    </cfRule>
    <cfRule type="expression" dxfId="6521" priority="6770" stopIfTrue="1">
      <formula>$A1339="Pump"</formula>
    </cfRule>
    <cfRule type="expression" dxfId="6520" priority="6782" stopIfTrue="1">
      <formula>$A1339="Tmdpvol"</formula>
    </cfRule>
    <cfRule type="expression" dxfId="6519" priority="6794" stopIfTrue="1">
      <formula>$A1339="Snglvol"</formula>
    </cfRule>
    <cfRule type="expression" dxfId="6518" priority="6806" stopIfTrue="1">
      <formula>$A1339="Relapnr"</formula>
    </cfRule>
    <cfRule type="expression" dxfId="6517" priority="6808" stopIfTrue="1">
      <formula>$A1339="Init"</formula>
    </cfRule>
    <cfRule type="expression" dxfId="6516" priority="6811" stopIfTrue="1">
      <formula>$A1339="InitGas"</formula>
    </cfRule>
    <cfRule type="expression" dxfId="6515" priority="6814" stopIfTrue="1">
      <formula>$A1339="Timestep"</formula>
    </cfRule>
    <cfRule type="expression" dxfId="6514" priority="6819" stopIfTrue="1">
      <formula>$A1339="Replacements"</formula>
    </cfRule>
    <cfRule type="expression" dxfId="6513" priority="6821" stopIfTrue="1">
      <formula>$A1339="Triggerwords"</formula>
    </cfRule>
    <cfRule type="expression" dxfId="6512" priority="6823" stopIfTrue="1">
      <formula>$A1339="Custom"</formula>
    </cfRule>
  </conditionalFormatting>
  <conditionalFormatting sqref="B1339:B1340">
    <cfRule type="expression" dxfId="6511" priority="6674" stopIfTrue="1">
      <formula>$A1339="Pipe"</formula>
    </cfRule>
    <cfRule type="expression" dxfId="6510" priority="6686" stopIfTrue="1">
      <formula>$A1339="Junction"</formula>
    </cfRule>
    <cfRule type="expression" dxfId="6509" priority="6697" stopIfTrue="1">
      <formula>$A1339="Sngljun"</formula>
    </cfRule>
    <cfRule type="expression" dxfId="6508" priority="6711" stopIfTrue="1">
      <formula>$A1339="Mtrvlv"</formula>
    </cfRule>
    <cfRule type="expression" dxfId="6507" priority="6723" stopIfTrue="1">
      <formula>$A1339="Srvvlv"</formula>
    </cfRule>
    <cfRule type="expression" dxfId="6506" priority="6735" stopIfTrue="1">
      <formula>$A1339="Chkvlv"</formula>
    </cfRule>
    <cfRule type="expression" dxfId="6505" priority="6747" stopIfTrue="1">
      <formula>$A1339="Inrvlv"</formula>
    </cfRule>
    <cfRule type="expression" dxfId="6504" priority="6759" stopIfTrue="1">
      <formula>$A1339="Tmdpjun"</formula>
    </cfRule>
    <cfRule type="expression" dxfId="6503" priority="6771" stopIfTrue="1">
      <formula>$A1339="Pump"</formula>
    </cfRule>
    <cfRule type="expression" dxfId="6502" priority="6783" stopIfTrue="1">
      <formula>$A1339="Tmdpvol"</formula>
    </cfRule>
    <cfRule type="expression" dxfId="6501" priority="6795" stopIfTrue="1">
      <formula>$A1339="Snglvol"</formula>
    </cfRule>
    <cfRule type="expression" dxfId="6500" priority="6807" stopIfTrue="1">
      <formula>$A1339="Relapnr"</formula>
    </cfRule>
    <cfRule type="expression" dxfId="6499" priority="6809" stopIfTrue="1">
      <formula>$A1339="Init"</formula>
    </cfRule>
    <cfRule type="expression" dxfId="6498" priority="6812" stopIfTrue="1">
      <formula>$A1339="InitGas"</formula>
    </cfRule>
    <cfRule type="expression" dxfId="6497" priority="6815" stopIfTrue="1">
      <formula>$A1339="Timestep"</formula>
    </cfRule>
    <cfRule type="expression" dxfId="6496" priority="6820" stopIfTrue="1">
      <formula>$A1339="Replacements"</formula>
    </cfRule>
    <cfRule type="expression" dxfId="6495" priority="6822" stopIfTrue="1">
      <formula>$A1339="Triggerwords"</formula>
    </cfRule>
    <cfRule type="expression" dxfId="6494" priority="6824" stopIfTrue="1">
      <formula>$A1339="Custom"</formula>
    </cfRule>
  </conditionalFormatting>
  <conditionalFormatting sqref="C1339:C1340">
    <cfRule type="expression" dxfId="6493" priority="6675" stopIfTrue="1">
      <formula>$A1339="Pipe"</formula>
    </cfRule>
    <cfRule type="expression" dxfId="6492" priority="6687" stopIfTrue="1">
      <formula>$A1339="Junction"</formula>
    </cfRule>
    <cfRule type="expression" dxfId="6491" priority="6698" stopIfTrue="1">
      <formula>$A1339="Sngljun"</formula>
    </cfRule>
    <cfRule type="expression" dxfId="6490" priority="6712" stopIfTrue="1">
      <formula>$A1339="Mtrvlv"</formula>
    </cfRule>
    <cfRule type="expression" dxfId="6489" priority="6724" stopIfTrue="1">
      <formula>$A1339="Srvvlv"</formula>
    </cfRule>
    <cfRule type="expression" dxfId="6488" priority="6736" stopIfTrue="1">
      <formula>$A1339="Chkvlv"</formula>
    </cfRule>
    <cfRule type="expression" dxfId="6487" priority="6748" stopIfTrue="1">
      <formula>$A1339="Inrvlv"</formula>
    </cfRule>
    <cfRule type="expression" dxfId="6486" priority="6760" stopIfTrue="1">
      <formula>$A1339="Tmdpjun"</formula>
    </cfRule>
    <cfRule type="expression" dxfId="6485" priority="6772" stopIfTrue="1">
      <formula>$A1339="Pump"</formula>
    </cfRule>
    <cfRule type="expression" dxfId="6484" priority="6784" stopIfTrue="1">
      <formula>$A1339="Tmdpvol"</formula>
    </cfRule>
    <cfRule type="expression" dxfId="6483" priority="6796" stopIfTrue="1">
      <formula>$A1339="Snglvol"</formula>
    </cfRule>
    <cfRule type="expression" dxfId="6482" priority="6810" stopIfTrue="1">
      <formula>$A1339="Init"</formula>
    </cfRule>
    <cfRule type="expression" dxfId="6481" priority="6813" stopIfTrue="1">
      <formula>$A1339="InitGas"</formula>
    </cfRule>
    <cfRule type="expression" dxfId="6480" priority="6816" stopIfTrue="1">
      <formula>$A1339="Timestep"</formula>
    </cfRule>
  </conditionalFormatting>
  <conditionalFormatting sqref="D1339:D1340">
    <cfRule type="expression" dxfId="6479" priority="6676" stopIfTrue="1">
      <formula>$A1339="Pipe"</formula>
    </cfRule>
    <cfRule type="expression" dxfId="6478" priority="6688" stopIfTrue="1">
      <formula>$A1339="Junction"</formula>
    </cfRule>
    <cfRule type="expression" dxfId="6477" priority="6699" stopIfTrue="1">
      <formula>$A1339="Sngljun"</formula>
    </cfRule>
    <cfRule type="expression" dxfId="6476" priority="6713" stopIfTrue="1">
      <formula>$A1339="Mtrvlv"</formula>
    </cfRule>
    <cfRule type="expression" dxfId="6475" priority="6725" stopIfTrue="1">
      <formula>$A1339="Srvvlv"</formula>
    </cfRule>
    <cfRule type="expression" dxfId="6474" priority="6737" stopIfTrue="1">
      <formula>$A1339="Chkvlv"</formula>
    </cfRule>
    <cfRule type="expression" dxfId="6473" priority="6749" stopIfTrue="1">
      <formula>$A1339="Inrvlv"</formula>
    </cfRule>
    <cfRule type="expression" dxfId="6472" priority="6761" stopIfTrue="1">
      <formula>$A1339="Tmdpjun"</formula>
    </cfRule>
    <cfRule type="expression" dxfId="6471" priority="6773" stopIfTrue="1">
      <formula>$A1339="Pump"</formula>
    </cfRule>
    <cfRule type="expression" dxfId="6470" priority="6785" stopIfTrue="1">
      <formula>$A1339="Tmdpvol"</formula>
    </cfRule>
    <cfRule type="expression" dxfId="6469" priority="6797" stopIfTrue="1">
      <formula>$A1339="Snglvol"</formula>
    </cfRule>
    <cfRule type="expression" dxfId="6468" priority="6817" stopIfTrue="1">
      <formula>$A1339="Timestep"</formula>
    </cfRule>
  </conditionalFormatting>
  <conditionalFormatting sqref="E1339:E1340">
    <cfRule type="expression" dxfId="6467" priority="6677" stopIfTrue="1">
      <formula>$A1339="Pipe"</formula>
    </cfRule>
    <cfRule type="expression" dxfId="6466" priority="6689" stopIfTrue="1">
      <formula>$A1339="Junction"</formula>
    </cfRule>
    <cfRule type="expression" dxfId="6465" priority="6700" stopIfTrue="1">
      <formula>$A1339="Sngljun"</formula>
    </cfRule>
    <cfRule type="expression" dxfId="6464" priority="6714" stopIfTrue="1">
      <formula>$A1339="Mtrvlv"</formula>
    </cfRule>
    <cfRule type="expression" dxfId="6463" priority="6726" stopIfTrue="1">
      <formula>$A1339="Srvvlv"</formula>
    </cfRule>
    <cfRule type="expression" dxfId="6462" priority="6738" stopIfTrue="1">
      <formula>$A1339="Chkvlv"</formula>
    </cfRule>
    <cfRule type="expression" dxfId="6461" priority="6750" stopIfTrue="1">
      <formula>$A1339="Inrvlv"</formula>
    </cfRule>
    <cfRule type="expression" dxfId="6460" priority="6762" stopIfTrue="1">
      <formula>$A1339="Tmdpjun"</formula>
    </cfRule>
    <cfRule type="expression" dxfId="6459" priority="6774" stopIfTrue="1">
      <formula>$A1339="Pump"</formula>
    </cfRule>
    <cfRule type="expression" dxfId="6458" priority="6786" stopIfTrue="1">
      <formula>$A1339="Tmdpvol"</formula>
    </cfRule>
    <cfRule type="expression" dxfId="6457" priority="6798" stopIfTrue="1">
      <formula>$A1339="Snglvol"</formula>
    </cfRule>
    <cfRule type="expression" dxfId="6456" priority="6818" stopIfTrue="1">
      <formula>$A1339="Timestep"</formula>
    </cfRule>
  </conditionalFormatting>
  <conditionalFormatting sqref="F1339:G1340">
    <cfRule type="expression" dxfId="6455" priority="6678" stopIfTrue="1">
      <formula>$A1339="Pipe"</formula>
    </cfRule>
    <cfRule type="expression" dxfId="6454" priority="6690" stopIfTrue="1">
      <formula>$A1339="Junction"</formula>
    </cfRule>
    <cfRule type="expression" dxfId="6453" priority="6701" stopIfTrue="1">
      <formula>$A1339="Sngljun"</formula>
    </cfRule>
    <cfRule type="expression" dxfId="6452" priority="6715" stopIfTrue="1">
      <formula>$A1339="Mtrvlv"</formula>
    </cfRule>
    <cfRule type="expression" dxfId="6451" priority="6727" stopIfTrue="1">
      <formula>$A1339="Srvvlv"</formula>
    </cfRule>
    <cfRule type="expression" dxfId="6450" priority="6739" stopIfTrue="1">
      <formula>$A1339="Chkvlv"</formula>
    </cfRule>
    <cfRule type="expression" dxfId="6449" priority="6751" stopIfTrue="1">
      <formula>$A1339="Inrvlv"</formula>
    </cfRule>
    <cfRule type="expression" dxfId="6448" priority="6763" stopIfTrue="1">
      <formula>$A1339="Tmdpjun"</formula>
    </cfRule>
    <cfRule type="expression" dxfId="6447" priority="6775" stopIfTrue="1">
      <formula>$A1339="Pump"</formula>
    </cfRule>
    <cfRule type="expression" dxfId="6446" priority="6787" stopIfTrue="1">
      <formula>$A1339="Tmdpvol"</formula>
    </cfRule>
    <cfRule type="expression" dxfId="6445" priority="6799" stopIfTrue="1">
      <formula>$A1339="Snglvol"</formula>
    </cfRule>
  </conditionalFormatting>
  <conditionalFormatting sqref="H1339:I1340">
    <cfRule type="expression" dxfId="6444" priority="6679" stopIfTrue="1">
      <formula>$A1339="Pipe"</formula>
    </cfRule>
    <cfRule type="expression" dxfId="6443" priority="6691" stopIfTrue="1">
      <formula>$A1339="Junction"</formula>
    </cfRule>
    <cfRule type="expression" dxfId="6442" priority="6702" stopIfTrue="1">
      <formula>$A1339="Sngljun"</formula>
    </cfRule>
    <cfRule type="expression" dxfId="6441" priority="6716" stopIfTrue="1">
      <formula>$A1339="Mtrvlv"</formula>
    </cfRule>
    <cfRule type="expression" dxfId="6440" priority="6728" stopIfTrue="1">
      <formula>$A1339="Srvvlv"</formula>
    </cfRule>
    <cfRule type="expression" dxfId="6439" priority="6740" stopIfTrue="1">
      <formula>$A1339="Chkvlv"</formula>
    </cfRule>
    <cfRule type="expression" dxfId="6438" priority="6752" stopIfTrue="1">
      <formula>$A1339="Inrvlv"</formula>
    </cfRule>
    <cfRule type="expression" dxfId="6437" priority="6764" stopIfTrue="1">
      <formula>$A1339="Tmdpjun"</formula>
    </cfRule>
    <cfRule type="expression" dxfId="6436" priority="6776" stopIfTrue="1">
      <formula>$A1339="Pump"</formula>
    </cfRule>
    <cfRule type="expression" dxfId="6435" priority="6788" stopIfTrue="1">
      <formula>$A1339="Tmdpvol"</formula>
    </cfRule>
    <cfRule type="expression" dxfId="6434" priority="6800" stopIfTrue="1">
      <formula>$A1339="Snglvol"</formula>
    </cfRule>
  </conditionalFormatting>
  <conditionalFormatting sqref="J1339:K1340">
    <cfRule type="expression" dxfId="6433" priority="6680" stopIfTrue="1">
      <formula>$A1339="Pipe"</formula>
    </cfRule>
    <cfRule type="expression" dxfId="6432" priority="6692" stopIfTrue="1">
      <formula>$A1339="Junction"</formula>
    </cfRule>
    <cfRule type="expression" dxfId="6431" priority="6703" stopIfTrue="1">
      <formula>$A1339="Sngljun"</formula>
    </cfRule>
    <cfRule type="expression" dxfId="6430" priority="6717" stopIfTrue="1">
      <formula>$A1339="Mtrvlv"</formula>
    </cfRule>
    <cfRule type="expression" dxfId="6429" priority="6729" stopIfTrue="1">
      <formula>$A1339="Srvvlv"</formula>
    </cfRule>
    <cfRule type="expression" dxfId="6428" priority="6741" stopIfTrue="1">
      <formula>$A1339="Chkvlv"</formula>
    </cfRule>
    <cfRule type="expression" dxfId="6427" priority="6753" stopIfTrue="1">
      <formula>$A1339="Inrvlv"</formula>
    </cfRule>
    <cfRule type="expression" dxfId="6426" priority="6765" stopIfTrue="1">
      <formula>$A1339="Tmdpjun"</formula>
    </cfRule>
    <cfRule type="expression" dxfId="6425" priority="6777" stopIfTrue="1">
      <formula>$A1339="Pump"</formula>
    </cfRule>
    <cfRule type="expression" dxfId="6424" priority="6789" stopIfTrue="1">
      <formula>$A1339="Tmdpvol"</formula>
    </cfRule>
    <cfRule type="expression" dxfId="6423" priority="6801" stopIfTrue="1">
      <formula>$A1339="Snglvol"</formula>
    </cfRule>
  </conditionalFormatting>
  <conditionalFormatting sqref="L1339:L1340">
    <cfRule type="expression" dxfId="6422" priority="6681" stopIfTrue="1">
      <formula>$A1339="Pipe"</formula>
    </cfRule>
    <cfRule type="expression" dxfId="6421" priority="6693" stopIfTrue="1">
      <formula>$A1339="Junction"</formula>
    </cfRule>
    <cfRule type="expression" dxfId="6420" priority="6704" stopIfTrue="1">
      <formula>$A1339="Sngljun"</formula>
    </cfRule>
    <cfRule type="expression" dxfId="6419" priority="6718" stopIfTrue="1">
      <formula>$A1339="Mtrvlv"</formula>
    </cfRule>
    <cfRule type="expression" dxfId="6418" priority="6730" stopIfTrue="1">
      <formula>$A1339="Srvvlv"</formula>
    </cfRule>
    <cfRule type="expression" dxfId="6417" priority="6742" stopIfTrue="1">
      <formula>$A1339="Chkvlv"</formula>
    </cfRule>
    <cfRule type="expression" dxfId="6416" priority="6754" stopIfTrue="1">
      <formula>$A1339="Inrvlv"</formula>
    </cfRule>
    <cfRule type="expression" dxfId="6415" priority="6766" stopIfTrue="1">
      <formula>$A1339="Tmdpjun"</formula>
    </cfRule>
    <cfRule type="expression" dxfId="6414" priority="6778" stopIfTrue="1">
      <formula>$A1339="Pump"</formula>
    </cfRule>
    <cfRule type="expression" dxfId="6413" priority="6790" stopIfTrue="1">
      <formula>$A1339="Tmdpvol"</formula>
    </cfRule>
    <cfRule type="expression" dxfId="6412" priority="6802" stopIfTrue="1">
      <formula>$A1339="Snglvol"</formula>
    </cfRule>
  </conditionalFormatting>
  <conditionalFormatting sqref="M1339:N1340">
    <cfRule type="expression" dxfId="6411" priority="6682" stopIfTrue="1">
      <formula>$A1339="Pipe"</formula>
    </cfRule>
    <cfRule type="expression" dxfId="6410" priority="6694" stopIfTrue="1">
      <formula>$A1339="Junction"</formula>
    </cfRule>
    <cfRule type="expression" dxfId="6409" priority="6705" stopIfTrue="1">
      <formula>$A1339="Sngljun"</formula>
    </cfRule>
    <cfRule type="expression" dxfId="6408" priority="6719" stopIfTrue="1">
      <formula>$A1339="Mtrvlv"</formula>
    </cfRule>
    <cfRule type="expression" dxfId="6407" priority="6731" stopIfTrue="1">
      <formula>$A1339="Srvvlv"</formula>
    </cfRule>
    <cfRule type="expression" dxfId="6406" priority="6743" stopIfTrue="1">
      <formula>$A1339="Chkvlv"</formula>
    </cfRule>
    <cfRule type="expression" dxfId="6405" priority="6755" stopIfTrue="1">
      <formula>$A1339="Inrvlv"</formula>
    </cfRule>
    <cfRule type="expression" dxfId="6404" priority="6767" stopIfTrue="1">
      <formula>$A1339="Tmdpjun"</formula>
    </cfRule>
    <cfRule type="expression" dxfId="6403" priority="6779" stopIfTrue="1">
      <formula>$A1339="Pump"</formula>
    </cfRule>
    <cfRule type="expression" dxfId="6402" priority="6791" stopIfTrue="1">
      <formula>$A1339="Tmdpvol"</formula>
    </cfRule>
    <cfRule type="expression" dxfId="6401" priority="6803" stopIfTrue="1">
      <formula>$A1339="Snglvol"</formula>
    </cfRule>
  </conditionalFormatting>
  <conditionalFormatting sqref="O1339:O1340">
    <cfRule type="expression" dxfId="6400" priority="6683" stopIfTrue="1">
      <formula>$A1339="Pipe"</formula>
    </cfRule>
    <cfRule type="expression" dxfId="6399" priority="6720" stopIfTrue="1">
      <formula>$A1339="Mtrvlv"</formula>
    </cfRule>
    <cfRule type="expression" dxfId="6398" priority="6732" stopIfTrue="1">
      <formula>$A1339="Srvvlv"</formula>
    </cfRule>
    <cfRule type="expression" dxfId="6397" priority="6744" stopIfTrue="1">
      <formula>$A1339="Chkvlv"</formula>
    </cfRule>
    <cfRule type="expression" dxfId="6396" priority="6756" stopIfTrue="1">
      <formula>$A1339="Inrvlv"</formula>
    </cfRule>
    <cfRule type="expression" dxfId="6395" priority="6768" stopIfTrue="1">
      <formula>$A1339="Tmdpjun"</formula>
    </cfRule>
    <cfRule type="expression" dxfId="6394" priority="6780" stopIfTrue="1">
      <formula>$A1339="Pump"</formula>
    </cfRule>
    <cfRule type="expression" dxfId="6393" priority="6792" stopIfTrue="1">
      <formula>$A1339="Tmdpvol"</formula>
    </cfRule>
    <cfRule type="expression" dxfId="6392" priority="6804" stopIfTrue="1">
      <formula>$A1339="Snglvol"</formula>
    </cfRule>
  </conditionalFormatting>
  <conditionalFormatting sqref="P1339:P1340">
    <cfRule type="expression" dxfId="6391" priority="6684" stopIfTrue="1">
      <formula>$A1339="Pipe"</formula>
    </cfRule>
    <cfRule type="expression" dxfId="6390" priority="6707" stopIfTrue="1">
      <formula>$A1339="Sngljun"</formula>
    </cfRule>
    <cfRule type="expression" dxfId="6389" priority="6721" stopIfTrue="1">
      <formula>$A1339="Mtrvlv"</formula>
    </cfRule>
    <cfRule type="expression" dxfId="6388" priority="6733" stopIfTrue="1">
      <formula>$A1339="Srvvlv"</formula>
    </cfRule>
    <cfRule type="expression" dxfId="6387" priority="6745" stopIfTrue="1">
      <formula>$A1339="Chkvlv"</formula>
    </cfRule>
    <cfRule type="expression" dxfId="6386" priority="6757" stopIfTrue="1">
      <formula>$A1339="Inrvlv"</formula>
    </cfRule>
    <cfRule type="expression" dxfId="6385" priority="6769" stopIfTrue="1">
      <formula>$A1339="Tmdpjun"</formula>
    </cfRule>
    <cfRule type="expression" dxfId="6384" priority="6781" stopIfTrue="1">
      <formula>$A1339="Pump"</formula>
    </cfRule>
    <cfRule type="expression" dxfId="6383" priority="6793" stopIfTrue="1">
      <formula>$A1339="Tmdpvol"</formula>
    </cfRule>
    <cfRule type="expression" dxfId="6382" priority="6805" stopIfTrue="1">
      <formula>$A1339="Snglvol"</formula>
    </cfRule>
  </conditionalFormatting>
  <conditionalFormatting sqref="O1339:O1340">
    <cfRule type="expression" dxfId="6381" priority="6695" stopIfTrue="1">
      <formula>$A1339="Junction"</formula>
    </cfRule>
    <cfRule type="expression" dxfId="6380" priority="6706" stopIfTrue="1">
      <formula>$A1339="Sngljun"</formula>
    </cfRule>
  </conditionalFormatting>
  <conditionalFormatting sqref="Q1339:T1340">
    <cfRule type="expression" dxfId="6379" priority="6708" stopIfTrue="1">
      <formula>$A1339="Sngljun"</formula>
    </cfRule>
  </conditionalFormatting>
  <conditionalFormatting sqref="U1339:V1340 H58:I58 A58:B58 U1:V58 M1:P58 M68:P68 U68:V68 A68:B68 H68:K68 H80:K80 A80:B80 U80:V80 M80:P80 M207:P224 U207:V224 A207:B224 H229:K231 A229:B231 U229:V231 M229:P231 M250:P252 U250:V252 A250:B252 H250:K252 H271:K291 A271:B291 U271:V291 M271:P291 H74:K77 U74:V77 M74:P77 M84:P90 U84:V90 H84:K90 H94:K100 U94:V100 M94:P100 H154:K158 U154:V158 M154:P158 M162:P164 U162:V164 A162:B164 H162:K164 H166:K168 A166:B168 U166:V168 M166:P168 M171:P182 U171:V182 A171:B177 H171:K182 A181:B182 A188:B197 H188:K202 U188:V202 M188:P202 A154:B158 A74:B77 A84:B90 A94:B100 H121:J122 M121:P122 U121:V122 A121:B122 E121:E122 E126:E133 A126:B133 U126:V133 M126:P133 H126:K133 H207:K224 M303:P305 U303:V305 A303:B305 H303:K305 H320:K1183 A320:B1183 U320:V1183 M320:P1183 J1:K58 A199:B202 A198">
    <cfRule type="expression" dxfId="6378" priority="6709" stopIfTrue="1">
      <formula>$A1="Sngljun"</formula>
    </cfRule>
  </conditionalFormatting>
  <conditionalFormatting sqref="A1184:A1338">
    <cfRule type="expression" dxfId="6377" priority="6825" stopIfTrue="1">
      <formula>$A1184="Pipe"</formula>
    </cfRule>
    <cfRule type="expression" dxfId="6376" priority="6847" stopIfTrue="1">
      <formula>$A1184="Junction"</formula>
    </cfRule>
    <cfRule type="expression" dxfId="6375" priority="6869" stopIfTrue="1">
      <formula>$A1184="Sngljun"</formula>
    </cfRule>
    <cfRule type="expression" dxfId="6374" priority="6891" stopIfTrue="1">
      <formula>$A1184="Mtrvlv"</formula>
    </cfRule>
    <cfRule type="expression" dxfId="6373" priority="6913" stopIfTrue="1">
      <formula>$A1184="Srvvlv"</formula>
    </cfRule>
    <cfRule type="expression" dxfId="6372" priority="6935" stopIfTrue="1">
      <formula>$A1184="Chkvlv"</formula>
    </cfRule>
    <cfRule type="expression" dxfId="6371" priority="6957" stopIfTrue="1">
      <formula>$A1184="Inrvlv"</formula>
    </cfRule>
    <cfRule type="expression" dxfId="6370" priority="6979" stopIfTrue="1">
      <formula>$A1184="Tmdpjun"</formula>
    </cfRule>
    <cfRule type="expression" dxfId="6369" priority="7001" stopIfTrue="1">
      <formula>$A1184="Pump"</formula>
    </cfRule>
    <cfRule type="expression" dxfId="6368" priority="7023" stopIfTrue="1">
      <formula>$A1184="Tmdpvol"</formula>
    </cfRule>
    <cfRule type="expression" dxfId="6367" priority="7045" stopIfTrue="1">
      <formula>$A1184="Snglvol"</formula>
    </cfRule>
    <cfRule type="expression" dxfId="6366" priority="7067" stopIfTrue="1">
      <formula>$A1184="Relapnr"</formula>
    </cfRule>
    <cfRule type="expression" dxfId="6365" priority="7069" stopIfTrue="1">
      <formula>$A1184="Init"</formula>
    </cfRule>
    <cfRule type="expression" dxfId="6364" priority="7072" stopIfTrue="1">
      <formula>$A1184="InitGas"</formula>
    </cfRule>
    <cfRule type="expression" dxfId="6363" priority="7075" stopIfTrue="1">
      <formula>$A1184="Timestep"</formula>
    </cfRule>
    <cfRule type="expression" dxfId="6362" priority="7080" stopIfTrue="1">
      <formula>$A1184="Replacements"</formula>
    </cfRule>
    <cfRule type="expression" dxfId="6361" priority="7082" stopIfTrue="1">
      <formula>$A1184="Triggerwords"</formula>
    </cfRule>
    <cfRule type="expression" dxfId="6360" priority="7084" stopIfTrue="1">
      <formula>$A1184="Custom"</formula>
    </cfRule>
  </conditionalFormatting>
  <conditionalFormatting sqref="B1184:B1338">
    <cfRule type="expression" dxfId="6359" priority="6826" stopIfTrue="1">
      <formula>$A1184="Pipe"</formula>
    </cfRule>
    <cfRule type="expression" dxfId="6358" priority="6848" stopIfTrue="1">
      <formula>$A1184="Junction"</formula>
    </cfRule>
    <cfRule type="expression" dxfId="6357" priority="6870" stopIfTrue="1">
      <formula>$A1184="Sngljun"</formula>
    </cfRule>
    <cfRule type="expression" dxfId="6356" priority="6892" stopIfTrue="1">
      <formula>$A1184="Mtrvlv"</formula>
    </cfRule>
    <cfRule type="expression" dxfId="6355" priority="6914" stopIfTrue="1">
      <formula>$A1184="Srvvlv"</formula>
    </cfRule>
    <cfRule type="expression" dxfId="6354" priority="6936" stopIfTrue="1">
      <formula>$A1184="Chkvlv"</formula>
    </cfRule>
    <cfRule type="expression" dxfId="6353" priority="6958" stopIfTrue="1">
      <formula>$A1184="Inrvlv"</formula>
    </cfRule>
    <cfRule type="expression" dxfId="6352" priority="6980" stopIfTrue="1">
      <formula>$A1184="Tmdpjun"</formula>
    </cfRule>
    <cfRule type="expression" dxfId="6351" priority="7002" stopIfTrue="1">
      <formula>$A1184="Pump"</formula>
    </cfRule>
    <cfRule type="expression" dxfId="6350" priority="7024" stopIfTrue="1">
      <formula>$A1184="Tmdpvol"</formula>
    </cfRule>
    <cfRule type="expression" dxfId="6349" priority="7046" stopIfTrue="1">
      <formula>$A1184="Snglvol"</formula>
    </cfRule>
    <cfRule type="expression" dxfId="6348" priority="7068" stopIfTrue="1">
      <formula>$A1184="Relapnr"</formula>
    </cfRule>
    <cfRule type="expression" dxfId="6347" priority="7070" stopIfTrue="1">
      <formula>$A1184="Init"</formula>
    </cfRule>
    <cfRule type="expression" dxfId="6346" priority="7073" stopIfTrue="1">
      <formula>$A1184="InitGas"</formula>
    </cfRule>
    <cfRule type="expression" dxfId="6345" priority="7076" stopIfTrue="1">
      <formula>$A1184="Timestep"</formula>
    </cfRule>
    <cfRule type="expression" dxfId="6344" priority="7081" stopIfTrue="1">
      <formula>$A1184="Replacements"</formula>
    </cfRule>
    <cfRule type="expression" dxfId="6343" priority="7083" stopIfTrue="1">
      <formula>$A1184="Triggerwords"</formula>
    </cfRule>
    <cfRule type="expression" dxfId="6342" priority="7085" stopIfTrue="1">
      <formula>$A1184="Custom"</formula>
    </cfRule>
  </conditionalFormatting>
  <conditionalFormatting sqref="C1184:C1338">
    <cfRule type="expression" dxfId="6341" priority="6827" stopIfTrue="1">
      <formula>$A1184="Pipe"</formula>
    </cfRule>
    <cfRule type="expression" dxfId="6340" priority="6849" stopIfTrue="1">
      <formula>$A1184="Junction"</formula>
    </cfRule>
    <cfRule type="expression" dxfId="6339" priority="6871" stopIfTrue="1">
      <formula>$A1184="Sngljun"</formula>
    </cfRule>
    <cfRule type="expression" dxfId="6338" priority="6893" stopIfTrue="1">
      <formula>$A1184="Mtrvlv"</formula>
    </cfRule>
    <cfRule type="expression" dxfId="6337" priority="6915" stopIfTrue="1">
      <formula>$A1184="Srvvlv"</formula>
    </cfRule>
    <cfRule type="expression" dxfId="6336" priority="6937" stopIfTrue="1">
      <formula>$A1184="Chkvlv"</formula>
    </cfRule>
    <cfRule type="expression" dxfId="6335" priority="6959" stopIfTrue="1">
      <formula>$A1184="Inrvlv"</formula>
    </cfRule>
    <cfRule type="expression" dxfId="6334" priority="6981" stopIfTrue="1">
      <formula>$A1184="Tmdpjun"</formula>
    </cfRule>
    <cfRule type="expression" dxfId="6333" priority="7003" stopIfTrue="1">
      <formula>$A1184="Pump"</formula>
    </cfRule>
    <cfRule type="expression" dxfId="6332" priority="7025" stopIfTrue="1">
      <formula>$A1184="Tmdpvol"</formula>
    </cfRule>
    <cfRule type="expression" dxfId="6331" priority="7047" stopIfTrue="1">
      <formula>$A1184="Snglvol"</formula>
    </cfRule>
    <cfRule type="expression" dxfId="6330" priority="7071" stopIfTrue="1">
      <formula>$A1184="Init"</formula>
    </cfRule>
    <cfRule type="expression" dxfId="6329" priority="7074" stopIfTrue="1">
      <formula>$A1184="InitGas"</formula>
    </cfRule>
    <cfRule type="expression" dxfId="6328" priority="7077" stopIfTrue="1">
      <formula>$A1184="Timestep"</formula>
    </cfRule>
  </conditionalFormatting>
  <conditionalFormatting sqref="D1184:D1338">
    <cfRule type="expression" dxfId="6327" priority="6828" stopIfTrue="1">
      <formula>$A1184="Pipe"</formula>
    </cfRule>
    <cfRule type="expression" dxfId="6326" priority="6850" stopIfTrue="1">
      <formula>$A1184="Junction"</formula>
    </cfRule>
    <cfRule type="expression" dxfId="6325" priority="6872" stopIfTrue="1">
      <formula>$A1184="Sngljun"</formula>
    </cfRule>
    <cfRule type="expression" dxfId="6324" priority="6894" stopIfTrue="1">
      <formula>$A1184="Mtrvlv"</formula>
    </cfRule>
    <cfRule type="expression" dxfId="6323" priority="6916" stopIfTrue="1">
      <formula>$A1184="Srvvlv"</formula>
    </cfRule>
    <cfRule type="expression" dxfId="6322" priority="6938" stopIfTrue="1">
      <formula>$A1184="Chkvlv"</formula>
    </cfRule>
    <cfRule type="expression" dxfId="6321" priority="6960" stopIfTrue="1">
      <formula>$A1184="Inrvlv"</formula>
    </cfRule>
    <cfRule type="expression" dxfId="6320" priority="6982" stopIfTrue="1">
      <formula>$A1184="Tmdpjun"</formula>
    </cfRule>
    <cfRule type="expression" dxfId="6319" priority="7004" stopIfTrue="1">
      <formula>$A1184="Pump"</formula>
    </cfRule>
    <cfRule type="expression" dxfId="6318" priority="7026" stopIfTrue="1">
      <formula>$A1184="Tmdpvol"</formula>
    </cfRule>
    <cfRule type="expression" dxfId="6317" priority="7048" stopIfTrue="1">
      <formula>$A1184="Snglvol"</formula>
    </cfRule>
    <cfRule type="expression" dxfId="6316" priority="7078" stopIfTrue="1">
      <formula>$A1184="Timestep"</formula>
    </cfRule>
  </conditionalFormatting>
  <conditionalFormatting sqref="E1184:E1338">
    <cfRule type="expression" dxfId="6315" priority="6829" stopIfTrue="1">
      <formula>$A1184="Pipe"</formula>
    </cfRule>
    <cfRule type="expression" dxfId="6314" priority="6851" stopIfTrue="1">
      <formula>$A1184="Junction"</formula>
    </cfRule>
    <cfRule type="expression" dxfId="6313" priority="6873" stopIfTrue="1">
      <formula>$A1184="Sngljun"</formula>
    </cfRule>
    <cfRule type="expression" dxfId="6312" priority="6895" stopIfTrue="1">
      <formula>$A1184="Mtrvlv"</formula>
    </cfRule>
    <cfRule type="expression" dxfId="6311" priority="6917" stopIfTrue="1">
      <formula>$A1184="Srvvlv"</formula>
    </cfRule>
    <cfRule type="expression" dxfId="6310" priority="6939" stopIfTrue="1">
      <formula>$A1184="Chkvlv"</formula>
    </cfRule>
    <cfRule type="expression" dxfId="6309" priority="6961" stopIfTrue="1">
      <formula>$A1184="Inrvlv"</formula>
    </cfRule>
    <cfRule type="expression" dxfId="6308" priority="6983" stopIfTrue="1">
      <formula>$A1184="Tmdpjun"</formula>
    </cfRule>
    <cfRule type="expression" dxfId="6307" priority="7005" stopIfTrue="1">
      <formula>$A1184="Pump"</formula>
    </cfRule>
    <cfRule type="expression" dxfId="6306" priority="7027" stopIfTrue="1">
      <formula>$A1184="Tmdpvol"</formula>
    </cfRule>
    <cfRule type="expression" dxfId="6305" priority="7049" stopIfTrue="1">
      <formula>$A1184="Snglvol"</formula>
    </cfRule>
    <cfRule type="expression" dxfId="6304" priority="7079" stopIfTrue="1">
      <formula>$A1184="Timestep"</formula>
    </cfRule>
  </conditionalFormatting>
  <conditionalFormatting sqref="F1184:F1338">
    <cfRule type="expression" dxfId="6303" priority="6830" stopIfTrue="1">
      <formula>$A1184="Pipe"</formula>
    </cfRule>
    <cfRule type="expression" dxfId="6302" priority="6852" stopIfTrue="1">
      <formula>$A1184="Junction"</formula>
    </cfRule>
    <cfRule type="expression" dxfId="6301" priority="6874" stopIfTrue="1">
      <formula>$A1184="Sngljun"</formula>
    </cfRule>
    <cfRule type="expression" dxfId="6300" priority="6896" stopIfTrue="1">
      <formula>$A1184="Mtrvlv"</formula>
    </cfRule>
    <cfRule type="expression" dxfId="6299" priority="6918" stopIfTrue="1">
      <formula>$A1184="Srvvlv"</formula>
    </cfRule>
    <cfRule type="expression" dxfId="6298" priority="6940" stopIfTrue="1">
      <formula>$A1184="Chkvlv"</formula>
    </cfRule>
    <cfRule type="expression" dxfId="6297" priority="6962" stopIfTrue="1">
      <formula>$A1184="Inrvlv"</formula>
    </cfRule>
    <cfRule type="expression" dxfId="6296" priority="6984" stopIfTrue="1">
      <formula>$A1184="Tmdpjun"</formula>
    </cfRule>
    <cfRule type="expression" dxfId="6295" priority="7006" stopIfTrue="1">
      <formula>$A1184="Pump"</formula>
    </cfRule>
    <cfRule type="expression" dxfId="6294" priority="7028" stopIfTrue="1">
      <formula>$A1184="Tmdpvol"</formula>
    </cfRule>
    <cfRule type="expression" dxfId="6293" priority="7050" stopIfTrue="1">
      <formula>$A1184="Snglvol"</formula>
    </cfRule>
  </conditionalFormatting>
  <conditionalFormatting sqref="G1184:G1338">
    <cfRule type="expression" dxfId="6292" priority="6831" stopIfTrue="1">
      <formula>$A1184="Pipe"</formula>
    </cfRule>
    <cfRule type="expression" dxfId="6291" priority="6853" stopIfTrue="1">
      <formula>$A1184="Junction"</formula>
    </cfRule>
    <cfRule type="expression" dxfId="6290" priority="6875" stopIfTrue="1">
      <formula>$A1184="Sngljun"</formula>
    </cfRule>
    <cfRule type="expression" dxfId="6289" priority="6897" stopIfTrue="1">
      <formula>$A1184="Mtrvlv"</formula>
    </cfRule>
    <cfRule type="expression" dxfId="6288" priority="6919" stopIfTrue="1">
      <formula>$A1184="Srvvlv"</formula>
    </cfRule>
    <cfRule type="expression" dxfId="6287" priority="6941" stopIfTrue="1">
      <formula>$A1184="Chkvlv"</formula>
    </cfRule>
    <cfRule type="expression" dxfId="6286" priority="6963" stopIfTrue="1">
      <formula>$A1184="Inrvlv"</formula>
    </cfRule>
    <cfRule type="expression" dxfId="6285" priority="6985" stopIfTrue="1">
      <formula>$A1184="Tmdpjun"</formula>
    </cfRule>
    <cfRule type="expression" dxfId="6284" priority="7007" stopIfTrue="1">
      <formula>$A1184="Pump"</formula>
    </cfRule>
    <cfRule type="expression" dxfId="6283" priority="7029" stopIfTrue="1">
      <formula>$A1184="Tmdpvol"</formula>
    </cfRule>
    <cfRule type="expression" dxfId="6282" priority="7051" stopIfTrue="1">
      <formula>$A1184="Snglvol"</formula>
    </cfRule>
  </conditionalFormatting>
  <conditionalFormatting sqref="H1184:H1338">
    <cfRule type="expression" dxfId="6281" priority="6832" stopIfTrue="1">
      <formula>$A1184="Pipe"</formula>
    </cfRule>
    <cfRule type="expression" dxfId="6280" priority="6854" stopIfTrue="1">
      <formula>$A1184="Junction"</formula>
    </cfRule>
    <cfRule type="expression" dxfId="6279" priority="6876" stopIfTrue="1">
      <formula>$A1184="Sngljun"</formula>
    </cfRule>
    <cfRule type="expression" dxfId="6278" priority="6898" stopIfTrue="1">
      <formula>$A1184="Mtrvlv"</formula>
    </cfRule>
    <cfRule type="expression" dxfId="6277" priority="6920" stopIfTrue="1">
      <formula>$A1184="Srvvlv"</formula>
    </cfRule>
    <cfRule type="expression" dxfId="6276" priority="6942" stopIfTrue="1">
      <formula>$A1184="Chkvlv"</formula>
    </cfRule>
    <cfRule type="expression" dxfId="6275" priority="6964" stopIfTrue="1">
      <formula>$A1184="Inrvlv"</formula>
    </cfRule>
    <cfRule type="expression" dxfId="6274" priority="6986" stopIfTrue="1">
      <formula>$A1184="Tmdpjun"</formula>
    </cfRule>
    <cfRule type="expression" dxfId="6273" priority="7008" stopIfTrue="1">
      <formula>$A1184="Pump"</formula>
    </cfRule>
    <cfRule type="expression" dxfId="6272" priority="7030" stopIfTrue="1">
      <formula>$A1184="Tmdpvol"</formula>
    </cfRule>
    <cfRule type="expression" dxfId="6271" priority="7052" stopIfTrue="1">
      <formula>$A1184="Snglvol"</formula>
    </cfRule>
  </conditionalFormatting>
  <conditionalFormatting sqref="I1184:I1338">
    <cfRule type="expression" dxfId="6270" priority="6833" stopIfTrue="1">
      <formula>$A1184="Pipe"</formula>
    </cfRule>
    <cfRule type="expression" dxfId="6269" priority="6855" stopIfTrue="1">
      <formula>$A1184="Junction"</formula>
    </cfRule>
    <cfRule type="expression" dxfId="6268" priority="6877" stopIfTrue="1">
      <formula>$A1184="Sngljun"</formula>
    </cfRule>
    <cfRule type="expression" dxfId="6267" priority="6899" stopIfTrue="1">
      <formula>$A1184="Mtrvlv"</formula>
    </cfRule>
    <cfRule type="expression" dxfId="6266" priority="6921" stopIfTrue="1">
      <formula>$A1184="Srvvlv"</formula>
    </cfRule>
    <cfRule type="expression" dxfId="6265" priority="6943" stopIfTrue="1">
      <formula>$A1184="Chkvlv"</formula>
    </cfRule>
    <cfRule type="expression" dxfId="6264" priority="6965" stopIfTrue="1">
      <formula>$A1184="Inrvlv"</formula>
    </cfRule>
    <cfRule type="expression" dxfId="6263" priority="6987" stopIfTrue="1">
      <formula>$A1184="Tmdpjun"</formula>
    </cfRule>
    <cfRule type="expression" dxfId="6262" priority="7009" stopIfTrue="1">
      <formula>$A1184="Pump"</formula>
    </cfRule>
    <cfRule type="expression" dxfId="6261" priority="7031" stopIfTrue="1">
      <formula>$A1184="Tmdpvol"</formula>
    </cfRule>
    <cfRule type="expression" dxfId="6260" priority="7053" stopIfTrue="1">
      <formula>$A1184="Snglvol"</formula>
    </cfRule>
  </conditionalFormatting>
  <conditionalFormatting sqref="J1184:J1338">
    <cfRule type="expression" dxfId="6259" priority="6834" stopIfTrue="1">
      <formula>$A1184="Pipe"</formula>
    </cfRule>
    <cfRule type="expression" dxfId="6258" priority="6856" stopIfTrue="1">
      <formula>$A1184="Junction"</formula>
    </cfRule>
    <cfRule type="expression" dxfId="6257" priority="6878" stopIfTrue="1">
      <formula>$A1184="Sngljun"</formula>
    </cfRule>
    <cfRule type="expression" dxfId="6256" priority="6900" stopIfTrue="1">
      <formula>$A1184="Mtrvlv"</formula>
    </cfRule>
    <cfRule type="expression" dxfId="6255" priority="6922" stopIfTrue="1">
      <formula>$A1184="Srvvlv"</formula>
    </cfRule>
    <cfRule type="expression" dxfId="6254" priority="6944" stopIfTrue="1">
      <formula>$A1184="Chkvlv"</formula>
    </cfRule>
    <cfRule type="expression" dxfId="6253" priority="6966" stopIfTrue="1">
      <formula>$A1184="Inrvlv"</formula>
    </cfRule>
    <cfRule type="expression" dxfId="6252" priority="6988" stopIfTrue="1">
      <formula>$A1184="Tmdpjun"</formula>
    </cfRule>
    <cfRule type="expression" dxfId="6251" priority="7010" stopIfTrue="1">
      <formula>$A1184="Pump"</formula>
    </cfRule>
    <cfRule type="expression" dxfId="6250" priority="7032" stopIfTrue="1">
      <formula>$A1184="Tmdpvol"</formula>
    </cfRule>
    <cfRule type="expression" dxfId="6249" priority="7054" stopIfTrue="1">
      <formula>$A1184="Snglvol"</formula>
    </cfRule>
  </conditionalFormatting>
  <conditionalFormatting sqref="K1184:K1338">
    <cfRule type="expression" dxfId="6248" priority="6835" stopIfTrue="1">
      <formula>$A1184="Pipe"</formula>
    </cfRule>
    <cfRule type="expression" dxfId="6247" priority="6857" stopIfTrue="1">
      <formula>$A1184="Junction"</formula>
    </cfRule>
    <cfRule type="expression" dxfId="6246" priority="6879" stopIfTrue="1">
      <formula>$A1184="Sngljun"</formula>
    </cfRule>
    <cfRule type="expression" dxfId="6245" priority="6901" stopIfTrue="1">
      <formula>$A1184="Mtrvlv"</formula>
    </cfRule>
    <cfRule type="expression" dxfId="6244" priority="6923" stopIfTrue="1">
      <formula>$A1184="Srvvlv"</formula>
    </cfRule>
    <cfRule type="expression" dxfId="6243" priority="6945" stopIfTrue="1">
      <formula>$A1184="Chkvlv"</formula>
    </cfRule>
    <cfRule type="expression" dxfId="6242" priority="6967" stopIfTrue="1">
      <formula>$A1184="Inrvlv"</formula>
    </cfRule>
    <cfRule type="expression" dxfId="6241" priority="6989" stopIfTrue="1">
      <formula>$A1184="Tmdpjun"</formula>
    </cfRule>
    <cfRule type="expression" dxfId="6240" priority="7011" stopIfTrue="1">
      <formula>$A1184="Pump"</formula>
    </cfRule>
    <cfRule type="expression" dxfId="6239" priority="7033" stopIfTrue="1">
      <formula>$A1184="Tmdpvol"</formula>
    </cfRule>
    <cfRule type="expression" dxfId="6238" priority="7055" stopIfTrue="1">
      <formula>$A1184="Snglvol"</formula>
    </cfRule>
  </conditionalFormatting>
  <conditionalFormatting sqref="L1184:L1338">
    <cfRule type="expression" dxfId="6237" priority="6836" stopIfTrue="1">
      <formula>$A1184="Pipe"</formula>
    </cfRule>
    <cfRule type="expression" dxfId="6236" priority="6858" stopIfTrue="1">
      <formula>$A1184="Junction"</formula>
    </cfRule>
    <cfRule type="expression" dxfId="6235" priority="6880" stopIfTrue="1">
      <formula>$A1184="Sngljun"</formula>
    </cfRule>
    <cfRule type="expression" dxfId="6234" priority="6902" stopIfTrue="1">
      <formula>$A1184="Mtrvlv"</formula>
    </cfRule>
    <cfRule type="expression" dxfId="6233" priority="6924" stopIfTrue="1">
      <formula>$A1184="Srvvlv"</formula>
    </cfRule>
    <cfRule type="expression" dxfId="6232" priority="6946" stopIfTrue="1">
      <formula>$A1184="Chkvlv"</formula>
    </cfRule>
    <cfRule type="expression" dxfId="6231" priority="6968" stopIfTrue="1">
      <formula>$A1184="Inrvlv"</formula>
    </cfRule>
    <cfRule type="expression" dxfId="6230" priority="7034" stopIfTrue="1">
      <formula>$A1184="Tmdpvol"</formula>
    </cfRule>
  </conditionalFormatting>
  <conditionalFormatting sqref="M1184:M1338">
    <cfRule type="expression" dxfId="6229" priority="6837" stopIfTrue="1">
      <formula>$A1184="Pipe"</formula>
    </cfRule>
    <cfRule type="expression" dxfId="6228" priority="6859" stopIfTrue="1">
      <formula>$A1184="Junction"</formula>
    </cfRule>
    <cfRule type="expression" dxfId="6227" priority="6881" stopIfTrue="1">
      <formula>$A1184="Sngljun"</formula>
    </cfRule>
    <cfRule type="expression" dxfId="6226" priority="6903" stopIfTrue="1">
      <formula>$A1184="Mtrvlv"</formula>
    </cfRule>
    <cfRule type="expression" dxfId="6225" priority="6925" stopIfTrue="1">
      <formula>$A1184="Srvvlv"</formula>
    </cfRule>
    <cfRule type="expression" dxfId="6224" priority="6947" stopIfTrue="1">
      <formula>$A1184="Chkvlv"</formula>
    </cfRule>
  </conditionalFormatting>
  <conditionalFormatting sqref="N1184:N1338">
    <cfRule type="expression" dxfId="6223" priority="6838" stopIfTrue="1">
      <formula>$A1184="Pipe"</formula>
    </cfRule>
    <cfRule type="expression" dxfId="6222" priority="6860" stopIfTrue="1">
      <formula>$A1184="Junction"</formula>
    </cfRule>
    <cfRule type="expression" dxfId="6221" priority="6882" stopIfTrue="1">
      <formula>$A1184="Sngljun"</formula>
    </cfRule>
    <cfRule type="expression" dxfId="6220" priority="6904" stopIfTrue="1">
      <formula>$A1184="Mtrvlv"</formula>
    </cfRule>
    <cfRule type="expression" dxfId="6219" priority="6926" stopIfTrue="1">
      <formula>$A1184="Srvvlv"</formula>
    </cfRule>
  </conditionalFormatting>
  <conditionalFormatting sqref="O1184:O1338">
    <cfRule type="expression" dxfId="6218" priority="6839" stopIfTrue="1">
      <formula>$A1184="Pipe"</formula>
    </cfRule>
    <cfRule type="expression" dxfId="6217" priority="6861" stopIfTrue="1">
      <formula>$A1184="Junction"</formula>
    </cfRule>
    <cfRule type="expression" dxfId="6216" priority="6883" stopIfTrue="1">
      <formula>$A1184="Sngljun"</formula>
    </cfRule>
    <cfRule type="expression" dxfId="6215" priority="6905" stopIfTrue="1">
      <formula>$A1184="Mtrvlv"</formula>
    </cfRule>
  </conditionalFormatting>
  <conditionalFormatting sqref="P1184:P1338">
    <cfRule type="expression" dxfId="6214" priority="6840" stopIfTrue="1">
      <formula>$A1184="Pipe"</formula>
    </cfRule>
    <cfRule type="expression" dxfId="6213" priority="6862" stopIfTrue="1">
      <formula>$A1184="Junction"</formula>
    </cfRule>
    <cfRule type="expression" dxfId="6212" priority="6884" stopIfTrue="1">
      <formula>$A1184="Sngljun"</formula>
    </cfRule>
  </conditionalFormatting>
  <conditionalFormatting sqref="Q1184:Q1338">
    <cfRule type="expression" dxfId="6211" priority="6841" stopIfTrue="1">
      <formula>$A1184="Pipe"</formula>
    </cfRule>
    <cfRule type="expression" dxfId="6210" priority="6863" stopIfTrue="1">
      <formula>$A1184="Junction"</formula>
    </cfRule>
  </conditionalFormatting>
  <conditionalFormatting sqref="R1184:R1338">
    <cfRule type="expression" dxfId="6209" priority="6842" stopIfTrue="1">
      <formula>$A1184="Pipe"</formula>
    </cfRule>
  </conditionalFormatting>
  <conditionalFormatting sqref="S1184:S1338">
    <cfRule type="expression" dxfId="6208" priority="6843" stopIfTrue="1">
      <formula>$A1184="Pipe"</formula>
    </cfRule>
  </conditionalFormatting>
  <conditionalFormatting sqref="T1184:T1338">
    <cfRule type="expression" dxfId="6207" priority="6844" stopIfTrue="1">
      <formula>$A1184="Pipe"</formula>
    </cfRule>
  </conditionalFormatting>
  <conditionalFormatting sqref="U1184:U1338">
    <cfRule type="expression" dxfId="6206" priority="6845" stopIfTrue="1">
      <formula>$A1184="Pipe"</formula>
    </cfRule>
  </conditionalFormatting>
  <conditionalFormatting sqref="V1184:V1338">
    <cfRule type="expression" dxfId="6205" priority="6846" stopIfTrue="1">
      <formula>$A1184="Pipe"</formula>
    </cfRule>
  </conditionalFormatting>
  <conditionalFormatting sqref="R1184:R1338">
    <cfRule type="expression" dxfId="6204" priority="6864" stopIfTrue="1">
      <formula>$A1184="Junction"</formula>
    </cfRule>
  </conditionalFormatting>
  <conditionalFormatting sqref="S1184:S1338">
    <cfRule type="expression" dxfId="6203" priority="6865" stopIfTrue="1">
      <formula>$A1184="Junction"</formula>
    </cfRule>
  </conditionalFormatting>
  <conditionalFormatting sqref="T1184:T1338">
    <cfRule type="expression" dxfId="6202" priority="6866" stopIfTrue="1">
      <formula>$A1184="Junction"</formula>
    </cfRule>
  </conditionalFormatting>
  <conditionalFormatting sqref="U1184:U1338">
    <cfRule type="expression" dxfId="6201" priority="6867" stopIfTrue="1">
      <formula>$A1184="Junction"</formula>
    </cfRule>
  </conditionalFormatting>
  <conditionalFormatting sqref="V1184:V1338">
    <cfRule type="expression" dxfId="6200" priority="6868" stopIfTrue="1">
      <formula>$A1184="Junction"</formula>
    </cfRule>
  </conditionalFormatting>
  <conditionalFormatting sqref="Q1184:Q1338">
    <cfRule type="expression" dxfId="6199" priority="6885" stopIfTrue="1">
      <formula>$A1184="Sngljun"</formula>
    </cfRule>
  </conditionalFormatting>
  <conditionalFormatting sqref="R1184:R1338">
    <cfRule type="expression" dxfId="6198" priority="6886" stopIfTrue="1">
      <formula>$A1184="Sngljun"</formula>
    </cfRule>
  </conditionalFormatting>
  <conditionalFormatting sqref="S1184:S1338">
    <cfRule type="expression" dxfId="6197" priority="6887" stopIfTrue="1">
      <formula>$A1184="Sngljun"</formula>
    </cfRule>
  </conditionalFormatting>
  <conditionalFormatting sqref="T1184:T1338">
    <cfRule type="expression" dxfId="6196" priority="6888" stopIfTrue="1">
      <formula>$A1184="Sngljun"</formula>
    </cfRule>
  </conditionalFormatting>
  <conditionalFormatting sqref="U1184:U1338">
    <cfRule type="expression" dxfId="6195" priority="6889" stopIfTrue="1">
      <formula>$A1184="Sngljun"</formula>
    </cfRule>
  </conditionalFormatting>
  <conditionalFormatting sqref="V1184:V1338">
    <cfRule type="expression" dxfId="6194" priority="6890" stopIfTrue="1">
      <formula>$A1184="Sngljun"</formula>
    </cfRule>
  </conditionalFormatting>
  <conditionalFormatting sqref="P1184:P1338">
    <cfRule type="expression" dxfId="6193" priority="6906" stopIfTrue="1">
      <formula>$A1184="Mtrvlv"</formula>
    </cfRule>
  </conditionalFormatting>
  <conditionalFormatting sqref="Q1184:Q1338">
    <cfRule type="expression" dxfId="6192" priority="6907" stopIfTrue="1">
      <formula>$A1184="Mtrvlv"</formula>
    </cfRule>
  </conditionalFormatting>
  <conditionalFormatting sqref="R1184:R1338">
    <cfRule type="expression" dxfId="6191" priority="6908" stopIfTrue="1">
      <formula>$A1184="Mtrvlv"</formula>
    </cfRule>
  </conditionalFormatting>
  <conditionalFormatting sqref="S1184:S1338">
    <cfRule type="expression" dxfId="6190" priority="6909" stopIfTrue="1">
      <formula>$A1184="Mtrvlv"</formula>
    </cfRule>
  </conditionalFormatting>
  <conditionalFormatting sqref="T1184:T1338">
    <cfRule type="expression" dxfId="6189" priority="6910" stopIfTrue="1">
      <formula>$A1184="Mtrvlv"</formula>
    </cfRule>
  </conditionalFormatting>
  <conditionalFormatting sqref="U1184:U1338">
    <cfRule type="expression" dxfId="6188" priority="6911" stopIfTrue="1">
      <formula>$A1184="Mtrvlv"</formula>
    </cfRule>
  </conditionalFormatting>
  <conditionalFormatting sqref="V1184:V1338">
    <cfRule type="expression" dxfId="6187" priority="6912" stopIfTrue="1">
      <formula>$A1184="Mtrvlv"</formula>
    </cfRule>
  </conditionalFormatting>
  <conditionalFormatting sqref="O1184:O1338">
    <cfRule type="expression" dxfId="6186" priority="6927" stopIfTrue="1">
      <formula>$A1184="Srvvlv"</formula>
    </cfRule>
  </conditionalFormatting>
  <conditionalFormatting sqref="P1184:P1338">
    <cfRule type="expression" dxfId="6185" priority="6928" stopIfTrue="1">
      <formula>$A1184="Srvvlv"</formula>
    </cfRule>
  </conditionalFormatting>
  <conditionalFormatting sqref="Q1184:Q1338">
    <cfRule type="expression" dxfId="6184" priority="6929" stopIfTrue="1">
      <formula>$A1184="Srvvlv"</formula>
    </cfRule>
  </conditionalFormatting>
  <conditionalFormatting sqref="R1184:R1338">
    <cfRule type="expression" dxfId="6183" priority="6930" stopIfTrue="1">
      <formula>$A1184="Srvvlv"</formula>
    </cfRule>
  </conditionalFormatting>
  <conditionalFormatting sqref="S1184:S1338">
    <cfRule type="expression" dxfId="6182" priority="6931" stopIfTrue="1">
      <formula>$A1184="Srvvlv"</formula>
    </cfRule>
  </conditionalFormatting>
  <conditionalFormatting sqref="T1184:T1338">
    <cfRule type="expression" dxfId="6181" priority="6932" stopIfTrue="1">
      <formula>$A1184="Srvvlv"</formula>
    </cfRule>
  </conditionalFormatting>
  <conditionalFormatting sqref="U1184:U1338">
    <cfRule type="expression" dxfId="6180" priority="6933" stopIfTrue="1">
      <formula>$A1184="Srvvlv"</formula>
    </cfRule>
  </conditionalFormatting>
  <conditionalFormatting sqref="V1184:V1338">
    <cfRule type="expression" dxfId="6179" priority="6934" stopIfTrue="1">
      <formula>$A1184="Srvvlv"</formula>
    </cfRule>
  </conditionalFormatting>
  <conditionalFormatting sqref="N1184:N1338">
    <cfRule type="expression" dxfId="6178" priority="6948" stopIfTrue="1">
      <formula>$A1184="Chkvlv"</formula>
    </cfRule>
  </conditionalFormatting>
  <conditionalFormatting sqref="O1184:O1338">
    <cfRule type="expression" dxfId="6177" priority="6949" stopIfTrue="1">
      <formula>$A1184="Chkvlv"</formula>
    </cfRule>
  </conditionalFormatting>
  <conditionalFormatting sqref="P1184:P1338">
    <cfRule type="expression" dxfId="6176" priority="6950" stopIfTrue="1">
      <formula>$A1184="Chkvlv"</formula>
    </cfRule>
  </conditionalFormatting>
  <conditionalFormatting sqref="Q1184:Q1338">
    <cfRule type="expression" dxfId="6175" priority="6951" stopIfTrue="1">
      <formula>$A1184="Chkvlv"</formula>
    </cfRule>
  </conditionalFormatting>
  <conditionalFormatting sqref="R1184:R1338">
    <cfRule type="expression" dxfId="6174" priority="6952" stopIfTrue="1">
      <formula>$A1184="Chkvlv"</formula>
    </cfRule>
  </conditionalFormatting>
  <conditionalFormatting sqref="S1184:S1338">
    <cfRule type="expression" dxfId="6173" priority="6953" stopIfTrue="1">
      <formula>$A1184="Chkvlv"</formula>
    </cfRule>
  </conditionalFormatting>
  <conditionalFormatting sqref="T1184:T1338">
    <cfRule type="expression" dxfId="6172" priority="6954" stopIfTrue="1">
      <formula>$A1184="Chkvlv"</formula>
    </cfRule>
  </conditionalFormatting>
  <conditionalFormatting sqref="U1184:U1338">
    <cfRule type="expression" dxfId="6171" priority="6955" stopIfTrue="1">
      <formula>$A1184="Chkvlv"</formula>
    </cfRule>
  </conditionalFormatting>
  <conditionalFormatting sqref="V1184:V1338">
    <cfRule type="expression" dxfId="6170" priority="6956" stopIfTrue="1">
      <formula>$A1184="Chkvlv"</formula>
    </cfRule>
  </conditionalFormatting>
  <conditionalFormatting sqref="M1184:M1338">
    <cfRule type="expression" dxfId="6169" priority="6969" stopIfTrue="1">
      <formula>$A1184="Inrvlv"</formula>
    </cfRule>
    <cfRule type="expression" dxfId="6168" priority="7035" stopIfTrue="1">
      <formula>$A1184="Tmdpvol"</formula>
    </cfRule>
    <cfRule type="expression" dxfId="6167" priority="7057" stopIfTrue="1">
      <formula>$A1184="Snglvol"</formula>
    </cfRule>
  </conditionalFormatting>
  <conditionalFormatting sqref="N1184:N1338">
    <cfRule type="expression" dxfId="6166" priority="6970" stopIfTrue="1">
      <formula>$A1184="Inrvlv"</formula>
    </cfRule>
  </conditionalFormatting>
  <conditionalFormatting sqref="O1184:O1338">
    <cfRule type="expression" dxfId="6165" priority="6971" stopIfTrue="1">
      <formula>$A1184="Inrvlv"</formula>
    </cfRule>
  </conditionalFormatting>
  <conditionalFormatting sqref="P1184:P1338">
    <cfRule type="expression" dxfId="6164" priority="6972" stopIfTrue="1">
      <formula>$A1184="Inrvlv"</formula>
    </cfRule>
  </conditionalFormatting>
  <conditionalFormatting sqref="Q1184:Q1338">
    <cfRule type="expression" dxfId="6163" priority="6973" stopIfTrue="1">
      <formula>$A1184="Inrvlv"</formula>
    </cfRule>
  </conditionalFormatting>
  <conditionalFormatting sqref="R1184:R1338">
    <cfRule type="expression" dxfId="6162" priority="6974" stopIfTrue="1">
      <formula>$A1184="Inrvlv"</formula>
    </cfRule>
  </conditionalFormatting>
  <conditionalFormatting sqref="S1184:S1338">
    <cfRule type="expression" dxfId="6161" priority="6975" stopIfTrue="1">
      <formula>$A1184="Inrvlv"</formula>
    </cfRule>
  </conditionalFormatting>
  <conditionalFormatting sqref="T1184:T1338">
    <cfRule type="expression" dxfId="6160" priority="6976" stopIfTrue="1">
      <formula>$A1184="Inrvlv"</formula>
    </cfRule>
  </conditionalFormatting>
  <conditionalFormatting sqref="U1184:U1338">
    <cfRule type="expression" dxfId="6159" priority="6977" stopIfTrue="1">
      <formula>$A1184="Inrvlv"</formula>
    </cfRule>
  </conditionalFormatting>
  <conditionalFormatting sqref="V1184:V1338">
    <cfRule type="expression" dxfId="6158" priority="6978" stopIfTrue="1">
      <formula>$A1184="Inrvlv"</formula>
    </cfRule>
  </conditionalFormatting>
  <conditionalFormatting sqref="L1184:L1338">
    <cfRule type="expression" dxfId="6157" priority="6990" stopIfTrue="1">
      <formula>$A1184="Tmdpjun"</formula>
    </cfRule>
    <cfRule type="expression" dxfId="6156" priority="7056" stopIfTrue="1">
      <formula>$A1184="Snglvol"</formula>
    </cfRule>
  </conditionalFormatting>
  <conditionalFormatting sqref="M1184:M1338">
    <cfRule type="expression" dxfId="6155" priority="6991" stopIfTrue="1">
      <formula>$A1184="Tmdpjun"</formula>
    </cfRule>
  </conditionalFormatting>
  <conditionalFormatting sqref="N1184:N1338">
    <cfRule type="expression" dxfId="6154" priority="6992" stopIfTrue="1">
      <formula>$A1184="Tmdpjun"</formula>
    </cfRule>
  </conditionalFormatting>
  <conditionalFormatting sqref="O1184:O1338">
    <cfRule type="expression" dxfId="6153" priority="6993" stopIfTrue="1">
      <formula>$A1184="Tmdpjun"</formula>
    </cfRule>
  </conditionalFormatting>
  <conditionalFormatting sqref="P1184:P1338">
    <cfRule type="expression" dxfId="6152" priority="6994" stopIfTrue="1">
      <formula>$A1184="Tmdpjun"</formula>
    </cfRule>
  </conditionalFormatting>
  <conditionalFormatting sqref="Q1184:Q1338">
    <cfRule type="expression" dxfId="6151" priority="6995" stopIfTrue="1">
      <formula>$A1184="Tmdpjun"</formula>
    </cfRule>
  </conditionalFormatting>
  <conditionalFormatting sqref="R1184:R1338">
    <cfRule type="expression" dxfId="6150" priority="6996" stopIfTrue="1">
      <formula>$A1184="Tmdpjun"</formula>
    </cfRule>
  </conditionalFormatting>
  <conditionalFormatting sqref="S1184:S1338">
    <cfRule type="expression" dxfId="6149" priority="6997" stopIfTrue="1">
      <formula>$A1184="Tmdpjun"</formula>
    </cfRule>
  </conditionalFormatting>
  <conditionalFormatting sqref="T1184:T1338">
    <cfRule type="expression" dxfId="6148" priority="6998" stopIfTrue="1">
      <formula>$A1184="Tmdpjun"</formula>
    </cfRule>
  </conditionalFormatting>
  <conditionalFormatting sqref="U1184:U1338">
    <cfRule type="expression" dxfId="6147" priority="6999" stopIfTrue="1">
      <formula>$A1184="Tmdpjun"</formula>
    </cfRule>
  </conditionalFormatting>
  <conditionalFormatting sqref="V1184:V1338">
    <cfRule type="expression" dxfId="6146" priority="7000" stopIfTrue="1">
      <formula>$A1184="Tmdpjun"</formula>
    </cfRule>
  </conditionalFormatting>
  <conditionalFormatting sqref="L1184:L1338">
    <cfRule type="expression" dxfId="6145" priority="7012" stopIfTrue="1">
      <formula>$A1184="Pump"</formula>
    </cfRule>
  </conditionalFormatting>
  <conditionalFormatting sqref="M1184:M1338">
    <cfRule type="expression" dxfId="6144" priority="7013" stopIfTrue="1">
      <formula>$A1184="Pump"</formula>
    </cfRule>
  </conditionalFormatting>
  <conditionalFormatting sqref="N1184:N1338">
    <cfRule type="expression" dxfId="6143" priority="7014" stopIfTrue="1">
      <formula>$A1184="Pump"</formula>
    </cfRule>
  </conditionalFormatting>
  <conditionalFormatting sqref="O1184:O1338">
    <cfRule type="expression" dxfId="6142" priority="7015" stopIfTrue="1">
      <formula>$A1184="Pump"</formula>
    </cfRule>
  </conditionalFormatting>
  <conditionalFormatting sqref="P1184:P1338">
    <cfRule type="expression" dxfId="6141" priority="7016" stopIfTrue="1">
      <formula>$A1184="Pump"</formula>
    </cfRule>
  </conditionalFormatting>
  <conditionalFormatting sqref="Q1184:Q1338">
    <cfRule type="expression" dxfId="6140" priority="7017" stopIfTrue="1">
      <formula>$A1184="Pump"</formula>
    </cfRule>
  </conditionalFormatting>
  <conditionalFormatting sqref="R1184:R1338">
    <cfRule type="expression" dxfId="6139" priority="7018" stopIfTrue="1">
      <formula>$A1184="Pump"</formula>
    </cfRule>
  </conditionalFormatting>
  <conditionalFormatting sqref="S1184:S1338">
    <cfRule type="expression" dxfId="6138" priority="7019" stopIfTrue="1">
      <formula>$A1184="Pump"</formula>
    </cfRule>
  </conditionalFormatting>
  <conditionalFormatting sqref="T1184:T1338">
    <cfRule type="expression" dxfId="6137" priority="7020" stopIfTrue="1">
      <formula>$A1184="Pump"</formula>
    </cfRule>
  </conditionalFormatting>
  <conditionalFormatting sqref="U1184:U1338">
    <cfRule type="expression" dxfId="6136" priority="7021" stopIfTrue="1">
      <formula>$A1184="Pump"</formula>
    </cfRule>
  </conditionalFormatting>
  <conditionalFormatting sqref="V1184:V1338">
    <cfRule type="expression" dxfId="6135" priority="7022" stopIfTrue="1">
      <formula>$A1184="Pump"</formula>
    </cfRule>
  </conditionalFormatting>
  <conditionalFormatting sqref="N1184:N1338">
    <cfRule type="expression" dxfId="6134" priority="7036" stopIfTrue="1">
      <formula>$A1184="Tmdpvol"</formula>
    </cfRule>
  </conditionalFormatting>
  <conditionalFormatting sqref="O1184:O1338">
    <cfRule type="expression" dxfId="6133" priority="7037" stopIfTrue="1">
      <formula>$A1184="Tmdpvol"</formula>
    </cfRule>
  </conditionalFormatting>
  <conditionalFormatting sqref="P1184:P1338">
    <cfRule type="expression" dxfId="6132" priority="7038" stopIfTrue="1">
      <formula>$A1184="Tmdpvol"</formula>
    </cfRule>
  </conditionalFormatting>
  <conditionalFormatting sqref="Q1184:Q1338">
    <cfRule type="expression" dxfId="6131" priority="7039" stopIfTrue="1">
      <formula>$A1184="Tmdpvol"</formula>
    </cfRule>
  </conditionalFormatting>
  <conditionalFormatting sqref="R1184:R1338">
    <cfRule type="expression" dxfId="6130" priority="7040" stopIfTrue="1">
      <formula>$A1184="Tmdpvol"</formula>
    </cfRule>
  </conditionalFormatting>
  <conditionalFormatting sqref="S1184:S1338">
    <cfRule type="expression" dxfId="6129" priority="7041" stopIfTrue="1">
      <formula>$A1184="Tmdpvol"</formula>
    </cfRule>
  </conditionalFormatting>
  <conditionalFormatting sqref="T1184:T1338">
    <cfRule type="expression" dxfId="6128" priority="7042" stopIfTrue="1">
      <formula>$A1184="Tmdpvol"</formula>
    </cfRule>
  </conditionalFormatting>
  <conditionalFormatting sqref="U1184:U1338">
    <cfRule type="expression" dxfId="6127" priority="7043" stopIfTrue="1">
      <formula>$A1184="Tmdpvol"</formula>
    </cfRule>
  </conditionalFormatting>
  <conditionalFormatting sqref="V1184:V1338">
    <cfRule type="expression" dxfId="6126" priority="7044" stopIfTrue="1">
      <formula>$A1184="Tmdpvol"</formula>
    </cfRule>
  </conditionalFormatting>
  <conditionalFormatting sqref="N1184:N1338">
    <cfRule type="expression" dxfId="6125" priority="7058" stopIfTrue="1">
      <formula>$A1184="Snglvol"</formula>
    </cfRule>
  </conditionalFormatting>
  <conditionalFormatting sqref="O1184:O1338">
    <cfRule type="expression" dxfId="6124" priority="7059" stopIfTrue="1">
      <formula>$A1184="Snglvol"</formula>
    </cfRule>
  </conditionalFormatting>
  <conditionalFormatting sqref="P1184:P1338">
    <cfRule type="expression" dxfId="6123" priority="7060" stopIfTrue="1">
      <formula>$A1184="Snglvol"</formula>
    </cfRule>
  </conditionalFormatting>
  <conditionalFormatting sqref="Q1184:Q1338">
    <cfRule type="expression" dxfId="6122" priority="7061" stopIfTrue="1">
      <formula>$A1184="Snglvol"</formula>
    </cfRule>
  </conditionalFormatting>
  <conditionalFormatting sqref="R1184:R1338">
    <cfRule type="expression" dxfId="6121" priority="7062" stopIfTrue="1">
      <formula>$A1184="Snglvol"</formula>
    </cfRule>
  </conditionalFormatting>
  <conditionalFormatting sqref="S1184:S1338">
    <cfRule type="expression" dxfId="6120" priority="7063" stopIfTrue="1">
      <formula>$A1184="Snglvol"</formula>
    </cfRule>
  </conditionalFormatting>
  <conditionalFormatting sqref="T1184:T1338">
    <cfRule type="expression" dxfId="6119" priority="7064" stopIfTrue="1">
      <formula>$A1184="Snglvol"</formula>
    </cfRule>
  </conditionalFormatting>
  <conditionalFormatting sqref="U1184:U1338">
    <cfRule type="expression" dxfId="6118" priority="7065" stopIfTrue="1">
      <formula>$A1184="Snglvol"</formula>
    </cfRule>
  </conditionalFormatting>
  <conditionalFormatting sqref="V1184:V1338">
    <cfRule type="expression" dxfId="6117" priority="7066" stopIfTrue="1">
      <formula>$A1184="Snglvol"</formula>
    </cfRule>
  </conditionalFormatting>
  <conditionalFormatting sqref="A1:A27 A42 A51:A57">
    <cfRule type="expression" dxfId="6116" priority="7086" stopIfTrue="1">
      <formula>$A1="Pipe"</formula>
    </cfRule>
  </conditionalFormatting>
  <conditionalFormatting sqref="B42 B1:B27 B51:B57">
    <cfRule type="expression" dxfId="6115" priority="7087" stopIfTrue="1">
      <formula>$A1="Pipe"</formula>
    </cfRule>
  </conditionalFormatting>
  <conditionalFormatting sqref="C42:C44 C1:C27 C46 C50:C57">
    <cfRule type="expression" dxfId="6114" priority="7088" stopIfTrue="1">
      <formula>$A1="Pipe"</formula>
    </cfRule>
  </conditionalFormatting>
  <conditionalFormatting sqref="D1:D44 D46 D50:D57">
    <cfRule type="expression" dxfId="6113" priority="7089" stopIfTrue="1">
      <formula>$A1="Pipe"</formula>
    </cfRule>
  </conditionalFormatting>
  <conditionalFormatting sqref="E1:E46 E74 E76:E77 E84:E90 E229:E231 E250:E252 E271:E291 E94:E100 E154:E158 E162:E164 E166 E171:E182 E188 E190:E202 E207:E224 E168 E50:E56 E303:E305 E320:E1183">
    <cfRule type="expression" dxfId="6112" priority="7090" stopIfTrue="1">
      <formula>$A1="Pipe"</formula>
    </cfRule>
  </conditionalFormatting>
  <conditionalFormatting sqref="F1:F46 F50:F57">
    <cfRule type="expression" dxfId="6111" priority="7091" stopIfTrue="1">
      <formula>$A1="Pipe"</formula>
    </cfRule>
  </conditionalFormatting>
  <conditionalFormatting sqref="G1:G46 G50:G57">
    <cfRule type="expression" dxfId="6110" priority="7092" stopIfTrue="1">
      <formula>$A1="Pipe"</formula>
    </cfRule>
  </conditionalFormatting>
  <conditionalFormatting sqref="H1:H46 H50:H57">
    <cfRule type="expression" dxfId="6109" priority="7093" stopIfTrue="1">
      <formula>$A1="Pipe"</formula>
    </cfRule>
  </conditionalFormatting>
  <conditionalFormatting sqref="I1:I46 I50:I57">
    <cfRule type="expression" dxfId="6108" priority="7094" stopIfTrue="1">
      <formula>$A1="Pipe"</formula>
    </cfRule>
  </conditionalFormatting>
  <conditionalFormatting sqref="R1:T58 M1:P58 M68:P68 R68:T68 R80:T80 M80:P80 M207:P224 R207:T224 R229:T231 M229:P231 M250:P252 R250:T252 R271:T291 M271:P291 R74:T77 M74:P77 M84:P90 R84:T90 R94:T100 M94:P100 R154:T158 M154:P158 M162:P164 R162:T164 R166:T168 M166:P168 M171:P182 R171:T182 R188:T202 M188:P202 M121:P122 R121:T122 R126:T133 M126:P133 M303:P305 R303:T305 R320:T1183 M320:P1183">
    <cfRule type="expression" dxfId="6107" priority="7098" stopIfTrue="1">
      <formula>$A1="Pipe"</formula>
    </cfRule>
  </conditionalFormatting>
  <conditionalFormatting sqref="A1:A27 A42 A51:A57">
    <cfRule type="expression" dxfId="6106" priority="7108" stopIfTrue="1">
      <formula>$A1="Junction"</formula>
    </cfRule>
  </conditionalFormatting>
  <conditionalFormatting sqref="B42 B1:B27 B51:B57">
    <cfRule type="expression" dxfId="6105" priority="7109" stopIfTrue="1">
      <formula>$A1="Junction"</formula>
    </cfRule>
  </conditionalFormatting>
  <conditionalFormatting sqref="C42:C44 C68 C80 C1:C27 C207:C224 C229:C231 C250:C252 C271:C291 C74:C77 C84:C90 C94:C100 C154:C158 C162:C164 C166:C168 C171:C177 C181:C182 C188:C202 C121:C122 C126:C133 C46 C50:C58 C303:C305 C320:C1183">
    <cfRule type="expression" dxfId="6104" priority="7110" stopIfTrue="1">
      <formula>$A1="Junction"</formula>
    </cfRule>
    <cfRule type="expression" dxfId="6103" priority="7308" stopIfTrue="1">
      <formula>$A1="Snglvol"</formula>
    </cfRule>
    <cfRule type="expression" dxfId="6102" priority="7335" stopIfTrue="1">
      <formula>$A1="InitGas"</formula>
    </cfRule>
    <cfRule type="expression" dxfId="6101" priority="7349" stopIfTrue="1">
      <formula>$A1="Tripvar"</formula>
    </cfRule>
  </conditionalFormatting>
  <conditionalFormatting sqref="F58:G58 L1:L58 Q1:T58 Q68:T68 L74:L77 F68:G68 D68 D80 F80:G80 L84:L90 Q80:T80 Q207:T224 L207:L224 F207:G224 D207:D224 D229:D231 F229:G231 L229:L231 Q229:T231 Q250:T252 L250:L252 F250:G252 D250:D252 D271:D291 F271:G291 L271:L291 Q271:T291 D74:D77 F74:G77 Q74:T77 Q84:T90 F84:G90 D84:D90 D94:D100 F94:G100 Q94:T100 L94:L100 D154:D158 F154:G158 Q154:T158 L154:L158 L162:L164 Q162:T164 F162:G164 D162:D164 D166:D168 F166:G168 Q166:T168 L166:L168 L171:L182 Q171:T182 F171:G182 D171:D182 D188:D202 F188:G202 Q188:T202 L188:L202 D1:D44 Q121:T122 F121:G122 D121:D122 L121:L122 L126:L133 D126:D133 F126:G133 Q126:T133 D46 D50:D58 Q303:T305 L303:L305 F303:G305 D303:D305 D320:D1183 F320:G1183 L320:L1183 Q320:T1183">
    <cfRule type="expression" dxfId="6100" priority="7111" stopIfTrue="1">
      <formula>$A1="Junction"</formula>
    </cfRule>
  </conditionalFormatting>
  <conditionalFormatting sqref="E1:E46 E74 E76:E77 E84:E90 E229:E231 E250:E252 E271:E291 E94:E100 E154:E158 E162:E164 E166 E171:E182 E188 E190:E202 E207:E224 E168 E50:E56 E303:E305 E320:E1183">
    <cfRule type="expression" dxfId="6099" priority="7112" stopIfTrue="1">
      <formula>$A1="Junction"</formula>
    </cfRule>
  </conditionalFormatting>
  <conditionalFormatting sqref="F1:F46 F50:F57">
    <cfRule type="expression" dxfId="6098" priority="7113" stopIfTrue="1">
      <formula>$A1="Junction"</formula>
    </cfRule>
  </conditionalFormatting>
  <conditionalFormatting sqref="G1:G46 G50:G57">
    <cfRule type="expression" dxfId="6097" priority="7114" stopIfTrue="1">
      <formula>$A1="Junction"</formula>
    </cfRule>
  </conditionalFormatting>
  <conditionalFormatting sqref="H1:H46 H50:H57">
    <cfRule type="expression" dxfId="6096" priority="7115" stopIfTrue="1">
      <formula>$A1="Junction"</formula>
    </cfRule>
  </conditionalFormatting>
  <conditionalFormatting sqref="I1:I46 I50:I57">
    <cfRule type="expression" dxfId="6095" priority="7116" stopIfTrue="1">
      <formula>$A1="Junction"</formula>
    </cfRule>
  </conditionalFormatting>
  <conditionalFormatting sqref="A1:A27 A42 A51:A57">
    <cfRule type="expression" dxfId="6094" priority="7130" stopIfTrue="1">
      <formula>$A1="Sngljun"</formula>
    </cfRule>
  </conditionalFormatting>
  <conditionalFormatting sqref="B42 B1:B27 B51:B57">
    <cfRule type="expression" dxfId="6093" priority="7131" stopIfTrue="1">
      <formula>$A1="Sngljun"</formula>
    </cfRule>
  </conditionalFormatting>
  <conditionalFormatting sqref="C58:D58 F58:G58 L1:L58 Q1:T58 C42:C44 Q68:T68 L74:L77 F68:G68 C68:D68 C80:D80 F80:G80 L84:L90 Q80:T80 C1:C27 Q207:T224 L207:L224 F207:G224 C207:D224 C229:D231 F229:G231 L229:L231 Q229:T231 Q250:T252 L250:L252 F250:G252 C250:D252 C271:D291 F271:G291 L271:L291 Q271:T291 C74:D77 F74:G77 Q74:T77 Q84:T90 F84:G90 C84:D90 C94:D100 F94:G100 Q94:T100 L94:L100 C154:D158 F154:G158 Q154:T158 L154:L158 L162:L164 Q162:T164 F162:G164 C162:D164 C166:D168 F166:G168 Q166:T168 L166:L168 L171:L182 Q171:T182 F171:G182 C171:D177 C181:D182 D178:D180 C188:D202 F188:G202 Q188:T202 L188:L202 Q121:T122 F121:G122 C121:D122 L121:L122 L126:L133 C126:D133 F126:G133 Q126:T133 C46 C50:C57 Q303:T305 L303:L305 F303:G305 C303:D305 C320:D1183 F320:G1183 L320:L1183 Q320:T1183">
    <cfRule type="expression" dxfId="6092" priority="7132" stopIfTrue="1">
      <formula>$A1="Sngljun"</formula>
    </cfRule>
  </conditionalFormatting>
  <conditionalFormatting sqref="D1:D44 D46 D50:D57">
    <cfRule type="expression" dxfId="6091" priority="7133" stopIfTrue="1">
      <formula>$A1="Sngljun"</formula>
    </cfRule>
  </conditionalFormatting>
  <conditionalFormatting sqref="E1:E46 E74 E76:E77 E84:E90 E229:E231 E250:E252 E271:E291 E94:E100 E154:E158 E162:E164 E166 E171:E182 E188 E190:E202 E207:E224 E168 E50:E56 E303:E305 E320:E1183">
    <cfRule type="expression" dxfId="6090" priority="7134" stopIfTrue="1">
      <formula>$A1="Sngljun"</formula>
    </cfRule>
  </conditionalFormatting>
  <conditionalFormatting sqref="F1:F46 F50:F57">
    <cfRule type="expression" dxfId="6089" priority="7135" stopIfTrue="1">
      <formula>$A1="Sngljun"</formula>
    </cfRule>
  </conditionalFormatting>
  <conditionalFormatting sqref="G1:G46 G50:G57">
    <cfRule type="expression" dxfId="6088" priority="7136" stopIfTrue="1">
      <formula>$A1="Sngljun"</formula>
    </cfRule>
  </conditionalFormatting>
  <conditionalFormatting sqref="H1:H46 H50:H57">
    <cfRule type="expression" dxfId="6087" priority="7137" stopIfTrue="1">
      <formula>$A1="Sngljun"</formula>
    </cfRule>
  </conditionalFormatting>
  <conditionalFormatting sqref="I1:I46 I50:I57">
    <cfRule type="expression" dxfId="6086" priority="7138" stopIfTrue="1">
      <formula>$A1="Sngljun"</formula>
    </cfRule>
  </conditionalFormatting>
  <conditionalFormatting sqref="A1:A27 A42 A51:A57">
    <cfRule type="expression" dxfId="6085" priority="7152" stopIfTrue="1">
      <formula>$A1="Mtrvlv"</formula>
    </cfRule>
  </conditionalFormatting>
  <conditionalFormatting sqref="B42 B1:B27 B51:B57">
    <cfRule type="expression" dxfId="6084" priority="7153" stopIfTrue="1">
      <formula>$A1="Mtrvlv"</formula>
    </cfRule>
  </conditionalFormatting>
  <conditionalFormatting sqref="C58:D58 F58:G58 L1:L58 Q1:S58 C42:C44 Q68:S68 L74:L77 F68:G68 C68:D68 C80:D80 F80:G80 L84:L90 Q80:S80 C1:C27 Q207:S224 L207:L224 F207:G224 C207:D224 C229:D231 F229:G231 L229:L231 Q229:S231 Q250:S252 L250:L252 F250:G252 C250:D252 C271:D291 F271:G291 L271:L291 Q271:S291 C74:D77 F74:G77 Q74:S77 Q84:S90 F84:G90 C84:D90 C94:D100 F94:G100 Q94:S100 L94:L100 C154:D158 F154:G158 Q154:S158 L154:L158 L162:L164 Q162:S164 F162:G164 C162:D164 C166:D168 F166:G168 Q166:S168 L166:L168 L171:L182 Q171:S182 F171:G182 C171:D177 C181:D182 D178:D180 C188:D202 F188:G202 Q188:S202 L188:L202 Q121:S122 F121:G122 C121:D122 L121:L122 L126:L133 C126:D133 F126:G133 Q126:S133 C46 C50:C57 Q303:S305 L303:L305 F303:G305 C303:D305 C320:D1183 F320:G1183 L320:L1183 Q320:S1183">
    <cfRule type="expression" dxfId="6083" priority="7154" stopIfTrue="1">
      <formula>$A1="Mtrvlv"</formula>
    </cfRule>
  </conditionalFormatting>
  <conditionalFormatting sqref="D1:D44 D46 D50:D57">
    <cfRule type="expression" dxfId="6082" priority="7155" stopIfTrue="1">
      <formula>$A1="Mtrvlv"</formula>
    </cfRule>
  </conditionalFormatting>
  <conditionalFormatting sqref="E1:E46 E74 E76:E77 E84:E90 E229:E231 E250:E252 E271:E291 E94:E100 E154:E158 E162:E164 E166 E171:E182 E188 E190:E202 E207:E224 E168 E50:E56 E303:E305 E320:E1183">
    <cfRule type="expression" dxfId="6081" priority="7156" stopIfTrue="1">
      <formula>$A1="Mtrvlv"</formula>
    </cfRule>
  </conditionalFormatting>
  <conditionalFormatting sqref="F1:F46 F50:F57">
    <cfRule type="expression" dxfId="6080" priority="7157" stopIfTrue="1">
      <formula>$A1="Mtrvlv"</formula>
    </cfRule>
  </conditionalFormatting>
  <conditionalFormatting sqref="G1:G46 G50:G57">
    <cfRule type="expression" dxfId="6079" priority="7158" stopIfTrue="1">
      <formula>$A1="Mtrvlv"</formula>
    </cfRule>
  </conditionalFormatting>
  <conditionalFormatting sqref="H1:H46 H50:H57">
    <cfRule type="expression" dxfId="6078" priority="7159" stopIfTrue="1">
      <formula>$A1="Mtrvlv"</formula>
    </cfRule>
  </conditionalFormatting>
  <conditionalFormatting sqref="I1:I46 I50:I57">
    <cfRule type="expression" dxfId="6077" priority="7160" stopIfTrue="1">
      <formula>$A1="Mtrvlv"</formula>
    </cfRule>
  </conditionalFormatting>
  <conditionalFormatting sqref="A1:A27 A42 A68 A80 A207:A224 A229:A231 A250:A252 A271:A291 A162:A164 A166:A168 A171:A177 A181:A182 A188:A202 A51:A58 A154:A158 A74:A77 A84:A90 A94:A100 A121:A122 A126:A133 A303:A305 A320:A1183">
    <cfRule type="expression" dxfId="6076" priority="7174" stopIfTrue="1">
      <formula>$A1="Srvvlv"</formula>
    </cfRule>
    <cfRule type="expression" dxfId="6075" priority="7240" stopIfTrue="1">
      <formula>$A1="Tmdpjun"</formula>
    </cfRule>
  </conditionalFormatting>
  <conditionalFormatting sqref="B42 B1:B27 B51:B57">
    <cfRule type="expression" dxfId="6074" priority="7175" stopIfTrue="1">
      <formula>$A1="Srvvlv"</formula>
    </cfRule>
  </conditionalFormatting>
  <conditionalFormatting sqref="C58:D58 F58:G58 L1:L58 Q1:Q58 S1:S58 C42:C44 S68 Q68 L74:L77 F68:G68 C68:D68 C80:D80 F80:G80 L84:L90 Q80 S80 C1:C27 S207:S224 Q207:Q224 L207:L224 F207:G224 C207:D224 C229:D231 F229:G231 L229:L231 Q229:Q231 S229:S231 S250:S252 Q250:Q252 L250:L252 F250:G252 C250:D252 C271:D291 F271:G291 L271:L291 Q271:Q291 S271:S291 C74:D77 F74:G77 Q74:Q77 S74:S77 S84:S90 Q84:Q90 F84:G90 C84:D90 C94:D100 F94:G100 Q94:Q100 S94:S100 L94:L100 C154:D158 F154:G158 Q154:Q158 S154:S158 L154:L158 L162:L164 S162:S164 Q162:Q164 F162:G164 C162:D164 C166:D168 F166:G168 Q166:Q168 S166:S168 L166:L168 L171:L182 S171:S182 Q171:Q182 F171:G182 C171:D177 C181:D182 D178:D180 C188:D202 F188:G202 Q188:Q202 S188:S202 L188:L202 S121:S122 Q121:Q122 F121:G122 C121:D122 L121:L122 L126:L133 C126:D133 F126:G133 Q126:Q133 S126:S133 C46 C50:C57 S303:S305 Q303:Q305 L303:L305 F303:G305 C303:D305 C320:D1183 F320:G1183 L320:L1183 Q320:Q1183 S320:S1183">
    <cfRule type="expression" dxfId="6073" priority="7176" stopIfTrue="1">
      <formula>$A1="Srvvlv"</formula>
    </cfRule>
  </conditionalFormatting>
  <conditionalFormatting sqref="D1:D44 D46 D50:D57">
    <cfRule type="expression" dxfId="6072" priority="7177" stopIfTrue="1">
      <formula>$A1="Srvvlv"</formula>
    </cfRule>
  </conditionalFormatting>
  <conditionalFormatting sqref="E1:E46 E74 E76:E77 E84:E90 E229:E231 E250:E252 E271:E291 E94:E100 E154:E158 E162:E164 E166 E171:E182 E188 E190:E202 E207:E224 E168 E50:E56 E303:E305 E320:E1183">
    <cfRule type="expression" dxfId="6071" priority="7178" stopIfTrue="1">
      <formula>$A1="Srvvlv"</formula>
    </cfRule>
  </conditionalFormatting>
  <conditionalFormatting sqref="F1:F46 F50:F57">
    <cfRule type="expression" dxfId="6070" priority="7179" stopIfTrue="1">
      <formula>$A1="Srvvlv"</formula>
    </cfRule>
  </conditionalFormatting>
  <conditionalFormatting sqref="G1:G46 G50:G57">
    <cfRule type="expression" dxfId="6069" priority="7180" stopIfTrue="1">
      <formula>$A1="Srvvlv"</formula>
    </cfRule>
  </conditionalFormatting>
  <conditionalFormatting sqref="H1:H46 H50:H57">
    <cfRule type="expression" dxfId="6068" priority="7181" stopIfTrue="1">
      <formula>$A1="Srvvlv"</formula>
    </cfRule>
  </conditionalFormatting>
  <conditionalFormatting sqref="I1:I46 I50:I57">
    <cfRule type="expression" dxfId="6067" priority="7182" stopIfTrue="1">
      <formula>$A1="Srvvlv"</formula>
    </cfRule>
  </conditionalFormatting>
  <conditionalFormatting sqref="R1:R58 R68 R80 R207:R224 R229:R231 R250:R252 R271:R291 R74:R77 R84:R90 R94:R100 R154:R158 R162:R164 R166:R168 R171:R182 R188:R202 R121:R122 R126:R133 R303:R305 R320:R1183">
    <cfRule type="expression" dxfId="6066" priority="7191" stopIfTrue="1">
      <formula>$A1="Srvvlv"</formula>
    </cfRule>
    <cfRule type="expression" dxfId="6065" priority="7257" stopIfTrue="1">
      <formula>$A1="Tmdpjun"</formula>
    </cfRule>
    <cfRule type="expression" dxfId="6064" priority="7279" stopIfTrue="1">
      <formula>$A1="Pump"</formula>
    </cfRule>
    <cfRule type="expression" dxfId="6063" priority="7301" stopIfTrue="1">
      <formula>$A1="Tmdpvol"</formula>
    </cfRule>
    <cfRule type="expression" dxfId="6062" priority="7323" stopIfTrue="1">
      <formula>$A1="Snglvol"</formula>
    </cfRule>
  </conditionalFormatting>
  <conditionalFormatting sqref="A1:A27 A42 A51:A57">
    <cfRule type="expression" dxfId="6061" priority="7196" stopIfTrue="1">
      <formula>$A1="Chkvlv"</formula>
    </cfRule>
  </conditionalFormatting>
  <conditionalFormatting sqref="B42 B68 B80 B207:B224 B229:B231 B250:B252 B271:B291 B74:B77 B84:B90 B94:B100 B154:B158 B162:B164 B166:B168 B171:B177 B181:B182 B188:B197 B1:B27 B51:B58 B121:B122 B126:B133 B303:B305 B320:B1183 B199:B202">
    <cfRule type="expression" dxfId="6060" priority="7197" stopIfTrue="1">
      <formula>$A1="Chkvlv"</formula>
    </cfRule>
    <cfRule type="expression" dxfId="6059" priority="7329" stopIfTrue="1">
      <formula>$A1="Relapnr"</formula>
    </cfRule>
    <cfRule type="expression" dxfId="6058" priority="7334" stopIfTrue="1">
      <formula>$A1="InitGas"</formula>
    </cfRule>
    <cfRule type="expression" dxfId="6057" priority="7342" stopIfTrue="1">
      <formula>$A1="Replacements"</formula>
    </cfRule>
    <cfRule type="expression" dxfId="6056" priority="7346" stopIfTrue="1">
      <formula>$A1="Custom"</formula>
    </cfRule>
    <cfRule type="expression" dxfId="6055" priority="7357" stopIfTrue="1">
      <formula>$A1="Triplog"</formula>
    </cfRule>
  </conditionalFormatting>
  <conditionalFormatting sqref="F58:G58 L1:L58 Q1:S58 C42:C44 C68 Q68:S68 L74:L77 F68:G68 F80:G80 L84:L90 Q80:S80 C80 C1:C27 C207:C224 Q207:S224 L207:L224 F207:G224 F229:G231 L229:L231 Q229:S231 C229:C231 C250:C252 Q250:S252 L250:L252 F250:G252 F271:G291 L271:L291 Q271:S291 C271:C291 F74:G77 Q74:S77 C74:C77 C84:C90 Q84:S90 F84:G90 F94:G100 Q94:S100 C94:C100 L94:L100 F154:G158 Q154:S158 C154:C158 L154:L158 L162:L164 C162:C164 Q162:S164 F162:G164 F166:G168 Q166:S168 C166:C168 L166:L168 L171:L182 C171:C177 Q171:S182 F171:G182 C181:C182 C188:C202 F188:G202 Q188:S202 L188:L202 C121:C122 Q121:S122 F121:G122 L121:L122 L126:L133 F126:G133 Q126:S133 C126:C133 C46 C50:C58 C303:C305 Q303:S305 L303:L305 F303:G305 F320:G1183 L320:L1183 Q320:S1183 C320:C1183">
    <cfRule type="expression" dxfId="6054" priority="7198" stopIfTrue="1">
      <formula>$A1="Chkvlv"</formula>
    </cfRule>
  </conditionalFormatting>
  <conditionalFormatting sqref="D68 D80 D207:D224 D229:D231 D250:D252 D271:D291 D74:D77 D84:D90 D94:D100 D154:D158 D162:D164 D166:D168 D171:D182 D188:D202 D1:D44 D121:D122 D126:D133 D46 D50:D58 D303:D305 D320:D1183">
    <cfRule type="expression" dxfId="6053" priority="7199" stopIfTrue="1">
      <formula>$A1="Chkvlv"</formula>
    </cfRule>
    <cfRule type="expression" dxfId="6052" priority="7359" stopIfTrue="1">
      <formula>$A1="Triplog"</formula>
    </cfRule>
  </conditionalFormatting>
  <conditionalFormatting sqref="E1:E46 E74 E76:E77 E84:E90 E229:E231 E250:E252 E271:E291 E94:E100 E154:E158 E162:E164 E166 E171:E182 E188 E190:E202 E207:E224 E168 E50:E56 E303:E305 E320:E1183">
    <cfRule type="expression" dxfId="6051" priority="7200" stopIfTrue="1">
      <formula>$A1="Chkvlv"</formula>
    </cfRule>
  </conditionalFormatting>
  <conditionalFormatting sqref="F1:F46 F50:F57">
    <cfRule type="expression" dxfId="6050" priority="7201" stopIfTrue="1">
      <formula>$A1="Chkvlv"</formula>
    </cfRule>
  </conditionalFormatting>
  <conditionalFormatting sqref="G1:G46 G50:G57">
    <cfRule type="expression" dxfId="6049" priority="7202" stopIfTrue="1">
      <formula>$A1="Chkvlv"</formula>
    </cfRule>
  </conditionalFormatting>
  <conditionalFormatting sqref="H1:H46 H50:H57">
    <cfRule type="expression" dxfId="6048" priority="7203" stopIfTrue="1">
      <formula>$A1="Chkvlv"</formula>
    </cfRule>
  </conditionalFormatting>
  <conditionalFormatting sqref="I1:I46 I50:I57">
    <cfRule type="expression" dxfId="6047" priority="7204" stopIfTrue="1">
      <formula>$A1="Chkvlv"</formula>
    </cfRule>
  </conditionalFormatting>
  <conditionalFormatting sqref="U1:U58 U68 K68 K80 U80 U207:U224 K207:K224 K229:K231 U229:U231 U250:U252 K250:K252 K271:K291 U271:U291 K74:K77 U74:U77 U84:U90 K84:K90 K94:K100 U94:U100 K154:K158 U154:U158 U162:U164 K162:K164 K166:K168 U166:U168 U171:U182 K171:K182 K188:K202 U188:U202 U121:U122 K126:K133 U126:U133 U303:U305 K303:K305 K320:K1183 U320:U1183 K1:K58">
    <cfRule type="expression" dxfId="6046" priority="7206" stopIfTrue="1">
      <formula>$A1="Chkvlv"</formula>
    </cfRule>
    <cfRule type="expression" dxfId="6045" priority="7316" stopIfTrue="1">
      <formula>$A1="Snglvol"</formula>
    </cfRule>
  </conditionalFormatting>
  <conditionalFormatting sqref="M1:M58 M68 M80 M207:M224 M229:M231 M250:M252 M271:M291 M74:M77 M84:M90 M94:M100 M154:M158 M162:M164 M166:M168 M171:M182 M188:M202 M121:M122 M126:M133 M303:M305 M320:M1183">
    <cfRule type="expression" dxfId="6044" priority="7208" stopIfTrue="1">
      <formula>$A1="Chkvlv"</formula>
    </cfRule>
    <cfRule type="expression" dxfId="6043" priority="7318" stopIfTrue="1">
      <formula>$A1="Snglvol"</formula>
    </cfRule>
  </conditionalFormatting>
  <conditionalFormatting sqref="A1:A27 A42 A51:A57">
    <cfRule type="expression" dxfId="6042" priority="7218" stopIfTrue="1">
      <formula>$A1="Inrvlv"</formula>
    </cfRule>
  </conditionalFormatting>
  <conditionalFormatting sqref="B42 B1:B27 B51:B57">
    <cfRule type="expression" dxfId="6041" priority="7219" stopIfTrue="1">
      <formula>$A1="Inrvlv"</formula>
    </cfRule>
  </conditionalFormatting>
  <conditionalFormatting sqref="C42:C44 C68 C80 C1:C27 C207:C224 C229:C231 C250:C252 C271:C291 C74:C77 C84:C90 C94:C100 C154:C158 C162:C164 C166:C168 C171:C177 C181:C182 C188:C202 C121:C122 C126:C133 C46 C50:C58 C303:C305 C320:C1183">
    <cfRule type="expression" dxfId="6040" priority="7220" stopIfTrue="1">
      <formula>$A1="Inrvlv"</formula>
    </cfRule>
    <cfRule type="expression" dxfId="6039" priority="7332" stopIfTrue="1">
      <formula>$A1="Init"</formula>
    </cfRule>
    <cfRule type="expression" dxfId="6038" priority="7338" stopIfTrue="1">
      <formula>$A1="Timestep"</formula>
    </cfRule>
    <cfRule type="expression" dxfId="6037" priority="7358" stopIfTrue="1">
      <formula>$A1="Triplog"</formula>
    </cfRule>
  </conditionalFormatting>
  <conditionalFormatting sqref="F58:G58 L1:L58 Q1:R58 Q68:R68 L74:L77 F68:G68 D68 D80 F80:G80 L84:L90 Q80:R80 Q207:R224 L207:L224 F207:G224 D207:D224 D229:D231 F229:G231 L229:L231 Q229:R231 Q250:R252 L250:L252 F250:G252 D250:D252 D271:D291 F271:G291 L271:L291 Q271:R291 D74:D77 F74:G77 Q74:R77 Q84:R90 F84:G90 D84:D90 D94:D100 F94:G100 Q94:R100 L94:L100 D154:D158 F154:G158 Q154:R158 L154:L158 L162:L164 Q162:R164 F162:G164 D162:D164 D166:D168 F166:G168 Q166:R168 L166:L168 L171:L182 Q171:R182 F171:G182 D171:D182 D188:D202 F188:G202 Q188:R202 L188:L202 D1:D44 Q121:R122 F121:G122 D121:D122 L121:L122 L126:L133 D126:D133 F126:G133 Q126:R133 D46 D50:D58 Q303:R305 L303:L305 F303:G305 D303:D305 D320:D1183 F320:G1183 L320:L1183 Q320:R1183">
    <cfRule type="expression" dxfId="6036" priority="7221" stopIfTrue="1">
      <formula>$A1="Inrvlv"</formula>
    </cfRule>
  </conditionalFormatting>
  <conditionalFormatting sqref="E1:E46 E74 E76:E77 E84:E90 E229:E231 E250:E252 E271:E291 E94:E100 E154:E158 E162:E164 E166 E171:E182 E188 E190:E202 E207:E224 E168 E50:E56 E303:E305 E320:E1183">
    <cfRule type="expression" dxfId="6035" priority="7222" stopIfTrue="1">
      <formula>$A1="Inrvlv"</formula>
    </cfRule>
  </conditionalFormatting>
  <conditionalFormatting sqref="F1:F46 F50:F57">
    <cfRule type="expression" dxfId="6034" priority="7223" stopIfTrue="1">
      <formula>$A1="Inrvlv"</formula>
    </cfRule>
  </conditionalFormatting>
  <conditionalFormatting sqref="G1:G46 G50:G57">
    <cfRule type="expression" dxfId="6033" priority="7224" stopIfTrue="1">
      <formula>$A1="Inrvlv"</formula>
    </cfRule>
  </conditionalFormatting>
  <conditionalFormatting sqref="H1:H46 H50:H57">
    <cfRule type="expression" dxfId="6032" priority="7225" stopIfTrue="1">
      <formula>$A1="Inrvlv"</formula>
    </cfRule>
  </conditionalFormatting>
  <conditionalFormatting sqref="I1:I46 I50:I57">
    <cfRule type="expression" dxfId="6031" priority="7226" stopIfTrue="1">
      <formula>$A1="Inrvlv"</formula>
    </cfRule>
  </conditionalFormatting>
  <conditionalFormatting sqref="S1:S58 S68 S80 S207:S224 S229:S231 S250:S252 S271:S291 S74:S77 S84:S90 S94:S100 S154:S158 S162:S164 S166:S168 S171:S182 S188:S202 S121:S122 S126:S133 S303:S305 S320:S1183">
    <cfRule type="expression" dxfId="6030" priority="7236" stopIfTrue="1">
      <formula>$A1="Inrvlv"</formula>
    </cfRule>
    <cfRule type="expression" dxfId="6029" priority="7258" stopIfTrue="1">
      <formula>$A1="Tmdpjun"</formula>
    </cfRule>
    <cfRule type="expression" dxfId="6028" priority="7280" stopIfTrue="1">
      <formula>$A1="Pump"</formula>
    </cfRule>
    <cfRule type="expression" dxfId="6027" priority="7302" stopIfTrue="1">
      <formula>$A1="Tmdpvol"</formula>
    </cfRule>
    <cfRule type="expression" dxfId="6026" priority="7324" stopIfTrue="1">
      <formula>$A1="Snglvol"</formula>
    </cfRule>
  </conditionalFormatting>
  <conditionalFormatting sqref="B42 B1:B27 B51:B57">
    <cfRule type="expression" dxfId="6025" priority="7241" stopIfTrue="1">
      <formula>$A1="Tmdpjun"</formula>
    </cfRule>
  </conditionalFormatting>
  <conditionalFormatting sqref="C58:D58 F58:G58 L1:L58 Q1:Q58 C42:C44 Q68 L74:L77 F68:G68 C68:D68 C80:D80 F80:G80 L84:L90 Q80 C1:C27 Q207:Q224 L207:L224 F207:G224 C207:D224 C229:D231 F229:G231 L229:L231 Q229:Q231 Q250:Q252 L250:L252 F250:G252 C250:D252 C271:D291 F271:G291 L271:L291 Q271:Q291 C74:D77 F74:G77 Q74:Q77 Q84:Q90 F84:G90 C84:D90 C94:D100 F94:G100 Q94:Q100 L94:L100 C154:D158 F154:G158 Q154:Q158 L154:L158 L162:L164 Q162:Q164 F162:G164 C162:D164 C166:D168 F166:G168 Q166:Q168 L166:L168 L171:L182 Q171:Q182 F171:G182 C171:D177 C181:D182 D178:D180 C188:D202 F188:G202 Q188:Q202 L188:L202 Q121:Q122 F121:G122 C121:D122 L121:L122 L126:L133 C126:D133 F126:G133 Q126:Q133 C46 C50:C57 Q303:Q305 L303:L305 F303:G305 C303:D305 C320:D1183 F320:G1183 L320:L1183 Q320:Q1183">
    <cfRule type="expression" dxfId="6024" priority="7242" stopIfTrue="1">
      <formula>$A1="Tmdpjun"</formula>
    </cfRule>
  </conditionalFormatting>
  <conditionalFormatting sqref="D1:D44 D46 D50:D57">
    <cfRule type="expression" dxfId="6023" priority="7243" stopIfTrue="1">
      <formula>$A1="Tmdpjun"</formula>
    </cfRule>
  </conditionalFormatting>
  <conditionalFormatting sqref="E1:E46 E74 E76:E77 E84:E90 E229:E231 E250:E252 E271:E291 E94:E100 E154:E158 E162:E164 E166 E171:E182 E188 E190:E202 E207:E224 E168 E50:E56 E303:E305 E320:E1183">
    <cfRule type="expression" dxfId="6022" priority="7244" stopIfTrue="1">
      <formula>$A1="Tmdpjun"</formula>
    </cfRule>
  </conditionalFormatting>
  <conditionalFormatting sqref="F1:F46 F50:F57">
    <cfRule type="expression" dxfId="6021" priority="7245" stopIfTrue="1">
      <formula>$A1="Tmdpjun"</formula>
    </cfRule>
  </conditionalFormatting>
  <conditionalFormatting sqref="G1:G46 G50:G57">
    <cfRule type="expression" dxfId="6020" priority="7246" stopIfTrue="1">
      <formula>$A1="Tmdpjun"</formula>
    </cfRule>
  </conditionalFormatting>
  <conditionalFormatting sqref="H1:H46 H50:H57">
    <cfRule type="expression" dxfId="6019" priority="7247" stopIfTrue="1">
      <formula>$A1="Tmdpjun"</formula>
    </cfRule>
  </conditionalFormatting>
  <conditionalFormatting sqref="I1:I46 I50:I57">
    <cfRule type="expression" dxfId="6018" priority="7248" stopIfTrue="1">
      <formula>$A1="Tmdpjun"</formula>
    </cfRule>
  </conditionalFormatting>
  <conditionalFormatting sqref="A1:A27 A42 A51:A57">
    <cfRule type="expression" dxfId="6017" priority="7262" stopIfTrue="1">
      <formula>$A1="Pump"</formula>
    </cfRule>
  </conditionalFormatting>
  <conditionalFormatting sqref="B42 B1:B27 B51:B57">
    <cfRule type="expression" dxfId="6016" priority="7263" stopIfTrue="1">
      <formula>$A1="Pump"</formula>
    </cfRule>
  </conditionalFormatting>
  <conditionalFormatting sqref="C42:C44 C1:C27 C46 C50:C57">
    <cfRule type="expression" dxfId="6015" priority="7264" stopIfTrue="1">
      <formula>$A1="Pump"</formula>
    </cfRule>
  </conditionalFormatting>
  <conditionalFormatting sqref="L1:L58 Q1:Q58 Q68 L74:L77 D68 D80 L84:L90 Q80 Q207:Q224 L207:L224 D207:D224 D229:D231 L229:L231 Q229:Q231 Q250:Q252 L250:L252 D250:D252 D271:D291 L271:L291 Q271:Q291 D74:D77 Q74:Q77 Q84:Q90 D84:D90 D94:D100 Q94:Q100 L94:L100 D154:D158 Q154:Q158 L154:L158 L162:L164 Q162:Q164 D162:D164 D166:D168 Q166:Q168 L166:L168 L171:L182 Q171:Q182 D171:D182 D188:D202 Q188:Q202 L188:L202 D1:D44 Q121:Q122 D121:D122 L121:L122 L126:L133 D126:D133 Q126:Q133 D46 D50:D58 Q303:Q305 L303:L305 D303:D305 D320:D1183 L320:L1183 Q320:Q1183">
    <cfRule type="expression" dxfId="6014" priority="7265" stopIfTrue="1">
      <formula>$A1="Pump"</formula>
    </cfRule>
  </conditionalFormatting>
  <conditionalFormatting sqref="E1:E46 E74 E76:E77 E84:E90 E229:E231 E250:E252 E271:E291 E94:E100 E154:E158 E162:E164 E166 E171:E182 E188 E190:E202 E207:E224 E168 E50:E56 E303:E305 E320:E1183">
    <cfRule type="expression" dxfId="6013" priority="7266" stopIfTrue="1">
      <formula>$A1="Pump"</formula>
    </cfRule>
  </conditionalFormatting>
  <conditionalFormatting sqref="F1:F46 F50:F57">
    <cfRule type="expression" dxfId="6012" priority="7267" stopIfTrue="1">
      <formula>$A1="Pump"</formula>
    </cfRule>
  </conditionalFormatting>
  <conditionalFormatting sqref="G1:G46 G50:G57">
    <cfRule type="expression" dxfId="6011" priority="7268" stopIfTrue="1">
      <formula>$A1="Pump"</formula>
    </cfRule>
  </conditionalFormatting>
  <conditionalFormatting sqref="H1:H46 H50:H57">
    <cfRule type="expression" dxfId="6010" priority="7269" stopIfTrue="1">
      <formula>$A1="Pump"</formula>
    </cfRule>
  </conditionalFormatting>
  <conditionalFormatting sqref="I1:I46 I50:I57">
    <cfRule type="expression" dxfId="6009" priority="7270" stopIfTrue="1">
      <formula>$A1="Pump"</formula>
    </cfRule>
  </conditionalFormatting>
  <conditionalFormatting sqref="A1:A27 A42 A51:A57">
    <cfRule type="expression" dxfId="6008" priority="7284" stopIfTrue="1">
      <formula>$A1="Tmdpvol"</formula>
    </cfRule>
  </conditionalFormatting>
  <conditionalFormatting sqref="B42 B1:B27 B51:B57">
    <cfRule type="expression" dxfId="6007" priority="7285" stopIfTrue="1">
      <formula>$A1="Tmdpvol"</formula>
    </cfRule>
  </conditionalFormatting>
  <conditionalFormatting sqref="C42:C44 C1:C27 C46 C50:C57">
    <cfRule type="expression" dxfId="6006" priority="7286" stopIfTrue="1">
      <formula>$A1="Tmdpvol"</formula>
    </cfRule>
  </conditionalFormatting>
  <conditionalFormatting sqref="H58:I58 T1:T58 L1:P58 L74:P77 T68 H68:I68 D68 D80 H80:I80 T80 L84:P90 M68:P68 M80:P80 L207:P224 T207:T224 D207:D224 D229:D231 H229:I231 T229:T231 L229:P231 L250:P252 T250:T252 H250:I252 D250:D252 D271:D291 H271:I291 T271:T291 L271:P291 D74:D77 H74:I77 T74:T77 T84:T90 H84:I90 D84:D90 D94:D100 H94:I100 T94:T100 L94:P100 D154:D158 H154:I158 T154:T158 L154:P158 L162:P164 T162:T164 H162:I164 D162:D164 D166:D168 H166:I168 T166:T168 L166:P168 L171:P182 T171:T182 H171:I182 D171:D182 D188:D202 H188:I202 T188:T202 L188:P202 D1:D44 T121:T122 H121:I122 D121:D122 L121:P122 L126:P133 D126:D133 H126:I133 T126:T133 H207:I224 D46 D50:D58 L303:P305 T303:T305 H303:I305 D303:D305 D320:D1183 H320:I1183 T320:T1183 L320:P1183">
    <cfRule type="expression" dxfId="6005" priority="7287" stopIfTrue="1">
      <formula>$A1="Tmdpvol"</formula>
    </cfRule>
  </conditionalFormatting>
  <conditionalFormatting sqref="E1:E46 E74 E76:E77 E84:E90 E229:E231 E250:E252 E271:E291 E94:E100 E154:E158 E162:E164 E166 E171:E182 E188 E190:E202 E207:E224 E168 E50:E56 E303:E305 E320:E1183">
    <cfRule type="expression" dxfId="6004" priority="7288" stopIfTrue="1">
      <formula>$A1="Tmdpvol"</formula>
    </cfRule>
  </conditionalFormatting>
  <conditionalFormatting sqref="F1:F46 F50:F57">
    <cfRule type="expression" dxfId="6003" priority="7289" stopIfTrue="1">
      <formula>$A1="Tmdpvol"</formula>
    </cfRule>
  </conditionalFormatting>
  <conditionalFormatting sqref="G1:G46 G50:G57">
    <cfRule type="expression" dxfId="6002" priority="7290" stopIfTrue="1">
      <formula>$A1="Tmdpvol"</formula>
    </cfRule>
  </conditionalFormatting>
  <conditionalFormatting sqref="H1:H46 H50:H57">
    <cfRule type="expression" dxfId="6001" priority="7291" stopIfTrue="1">
      <formula>$A1="Tmdpvol"</formula>
    </cfRule>
  </conditionalFormatting>
  <conditionalFormatting sqref="I1:I46 I50:I57">
    <cfRule type="expression" dxfId="6000" priority="7292" stopIfTrue="1">
      <formula>$A1="Tmdpvol"</formula>
    </cfRule>
  </conditionalFormatting>
  <conditionalFormatting sqref="A1:A27 A42 A51:A57">
    <cfRule type="expression" dxfId="5999" priority="7306" stopIfTrue="1">
      <formula>$A1="Snglvol"</formula>
    </cfRule>
  </conditionalFormatting>
  <conditionalFormatting sqref="B42 B68 B80 B207:B224 B229:B231 B250:B252 B271:B291 B74:B77 B84:B90 B94:B100 B154:B158 B162:B164 B166:B168 B171:B177 B181:B182 B188:B197 B1:B27 B51:B58 B121:B122 B126:B133 B303:B305 B320:B1183 B199:B202">
    <cfRule type="expression" dxfId="5998" priority="7307" stopIfTrue="1">
      <formula>$A1="Snglvol"</formula>
    </cfRule>
    <cfRule type="expression" dxfId="5997" priority="7331" stopIfTrue="1">
      <formula>$A1="Init"</formula>
    </cfRule>
    <cfRule type="expression" dxfId="5996" priority="7337" stopIfTrue="1">
      <formula>$A1="Timestep"</formula>
    </cfRule>
    <cfRule type="expression" dxfId="5995" priority="7344" stopIfTrue="1">
      <formula>$A1="Triggerwords"</formula>
    </cfRule>
    <cfRule type="expression" dxfId="5994" priority="7348" stopIfTrue="1">
      <formula>$A1="Tripvar"</formula>
    </cfRule>
  </conditionalFormatting>
  <conditionalFormatting sqref="H58:I58 L1:L58 N1:Q58 T1:T58 T68 N68:Q68 L74:L77 H68:I68 D68 D80 H80:I80 L84:L90 N80:Q80 T80 T207:T224 N207:Q224 L207:L224 D207:D224 D229:D231 H229:I231 L229:L231 N229:Q231 T229:T231 T250:T252 N250:Q252 L250:L252 H250:I252 D250:D252 D271:D291 H271:I291 L271:L291 N271:Q291 T271:T291 D74:D77 H74:I77 N74:Q77 T74:T77 T84:T90 N84:Q90 H84:I90 D84:D90 D94:D100 H94:I100 N94:Q100 T94:T100 L94:L100 D154:D158 H154:I158 N154:Q158 T154:T158 L154:L158 L162:L164 T162:T164 N162:Q164 H162:I164 D162:D164 D166:D168 H166:I168 N166:Q168 T166:T168 L166:L168 L171:L182 T171:T182 N171:Q182 H171:I182 D171:D182 D188:D202 H188:I202 N188:Q202 T188:T202 L188:L202 D1:D44 T121:T122 N121:Q122 H121:I122 D121:D122 L121:L122 L126:L133 D126:D133 H126:I133 N126:Q133 T126:T133 H207:I224 D46 D50:D58 T303:T305 N303:Q305 L303:L305 H303:I305 D303:D305 D320:D1183 H320:I1183 L320:L1183 N320:Q1183 T320:T1183">
    <cfRule type="expression" dxfId="5993" priority="7309" stopIfTrue="1">
      <formula>$A1="Snglvol"</formula>
    </cfRule>
  </conditionalFormatting>
  <conditionalFormatting sqref="E1:E46 E74 E76:E77 E84:E90 E229:E231 E250:E252 E271:E291 E94:E100 E154:E158 E162:E164 E166 E171:E182 E188 E190:E202 E207:E224 E168 E50:E56 E303:E305 E320:E1183">
    <cfRule type="expression" dxfId="5992" priority="7310" stopIfTrue="1">
      <formula>$A1="Snglvol"</formula>
    </cfRule>
  </conditionalFormatting>
  <conditionalFormatting sqref="F1:F46 F50:F57">
    <cfRule type="expression" dxfId="5991" priority="7311" stopIfTrue="1">
      <formula>$A1="Snglvol"</formula>
    </cfRule>
  </conditionalFormatting>
  <conditionalFormatting sqref="G1:G46 G50:G57">
    <cfRule type="expression" dxfId="5990" priority="7312" stopIfTrue="1">
      <formula>$A1="Snglvol"</formula>
    </cfRule>
  </conditionalFormatting>
  <conditionalFormatting sqref="H1:H46 H50:H57">
    <cfRule type="expression" dxfId="5989" priority="7313" stopIfTrue="1">
      <formula>$A1="Snglvol"</formula>
    </cfRule>
  </conditionalFormatting>
  <conditionalFormatting sqref="I1:I46 I50:I57">
    <cfRule type="expression" dxfId="5988" priority="7314" stopIfTrue="1">
      <formula>$A1="Snglvol"</formula>
    </cfRule>
  </conditionalFormatting>
  <conditionalFormatting sqref="A1:A27 A42 A68 A80 A207:A224 A229:A231 A250:A252 A271:A291 A162:A164 A166:A168 A171:A177 A181:A182 A188:A202 A51:A58 A154:A158 A74:A77 A84:A90 A94:A100 A121:A122 A126:A133 A303:A305 A320:A1183">
    <cfRule type="expression" dxfId="5987" priority="7328" stopIfTrue="1">
      <formula>$A1="Relapnr"</formula>
    </cfRule>
  </conditionalFormatting>
  <conditionalFormatting sqref="A1:A27 A42 A68 A80 A207:A224 A229:A231 A250:A252 A271:A291 A162:A164 A166:A168 A171:A177 A181:A182 A188:A202 A51:A58 A154:A158 A74:A77 A84:A90 A94:A100 A121:A122 A126:A133 A303:A305 A320:A1183">
    <cfRule type="expression" dxfId="5986" priority="7330" stopIfTrue="1">
      <formula>$A1="Init"</formula>
    </cfRule>
  </conditionalFormatting>
  <conditionalFormatting sqref="A1:A27 A42 A68 A80 A207:A224 A229:A231 A250:A252 A271:A291 A162:A164 A166:A168 A171:A177 A181:A182 A188:A202 A51:A58 A154:A158 A74:A77 A84:A90 A94:A100 A121:A122 A126:A133 A303:A305 A320:A1183">
    <cfRule type="expression" dxfId="5985" priority="7333" stopIfTrue="1">
      <formula>$A1="InitGas"</formula>
    </cfRule>
  </conditionalFormatting>
  <conditionalFormatting sqref="A1:A27 D58 A42 A68 D68 D80 A80 A207:A224 D207:D224 D229:D231 A229:A231 A250:A252 D250:D252 D271:D291 A271:A291 D74:D77 D84:D90 D94:D100 D154:D158 A162:A164 D162:D164 D166:D168 A166:A168 A171:A177 D171:D182 A181:A182 A188:A202 D188:D202 A51:A58 A154:A158 A74:A77 A84:A90 A94:A100 A121:A122 D121:E122 D126:E133 A126:A133 A303:A305 D303:D305 D320:D1183 A320:A1183">
    <cfRule type="expression" dxfId="5984" priority="7336" stopIfTrue="1">
      <formula>$A1="Timestep"</formula>
    </cfRule>
  </conditionalFormatting>
  <conditionalFormatting sqref="D1:D44 D46 D50:D57">
    <cfRule type="expression" dxfId="5983" priority="7339" stopIfTrue="1">
      <formula>$A1="Timestep"</formula>
    </cfRule>
  </conditionalFormatting>
  <conditionalFormatting sqref="E1:E46 E74 E76:E77 E84:E90 E229:E231 E250:E252 E271:E291 E94:E100 E154:E158 E162:E164 E166 E171:E182 E188 E190:E202 E207:E224 E168 E50:E56 E303:E305 E320:E1183">
    <cfRule type="expression" dxfId="5982" priority="7340" stopIfTrue="1">
      <formula>$A1="Timestep"</formula>
    </cfRule>
  </conditionalFormatting>
  <conditionalFormatting sqref="A1:A27 A42 A68 A80 A207:A224 A229:A231 A250:A252 A271:A291 A162:A164 A166:A168 A171:A177 A181:A182 A188:A202 A51:A58 A154:A158 A74:A77 A84:A90 A94:A100 A121:A122 A126:A133 A303:A305 A320:A1183">
    <cfRule type="expression" dxfId="5981" priority="7341" stopIfTrue="1">
      <formula>$A1="Replacements"</formula>
    </cfRule>
  </conditionalFormatting>
  <conditionalFormatting sqref="A1:A27 A42 A68 A80 A207:A224 A229:A231 A250:A252 A271:A291 A162:A164 A166:A168 A171:A177 A181:A182 A188:A202 A51:A58 A154:A158 A74:A77 A84:A90 A94:A100 A121:A122 A126:A133 A303:A305 A320:A1183">
    <cfRule type="expression" dxfId="5980" priority="7343" stopIfTrue="1">
      <formula>$A1="Triggerwords"</formula>
    </cfRule>
  </conditionalFormatting>
  <conditionalFormatting sqref="A1:A27 A42 A68 A80 A207:A224 A229:A231 A250:A252 A271:A291 A162:A164 A166:A168 A171:A177 A181:A182 A188:A202 A51:A58 A154:A158 A74:A77 A84:A90 A94:A100 A121:A122 A126:A133 A303:A305 A320:A1183">
    <cfRule type="expression" dxfId="5979" priority="7345" stopIfTrue="1">
      <formula>$A1="Custom"</formula>
    </cfRule>
  </conditionalFormatting>
  <conditionalFormatting sqref="A1:A27 D58 F58:I58 A42 A68 F68:I68 D68 D80 F80:I80 A80 A207:A224 D207:D224 D229:D231 F229:I231 A229:A231 A250:A252 F250:I252 D250:D252 D271:D291 F271:I291 A271:A291 D74:D77 F74:I77 F84:I90 D84:D90 D94:D100 F94:I100 D154:D158 F154:I158 A162:A164 F162:I164 D162:D164 D166:D168 F166:I168 A166:A168 A171:A177 F171:I182 D171:D182 A181:A182 A188:A202 D188:D202 F188:I202 A51:A58 A154:A158 A74:A77 A84:A90 A94:A100 A121:A122 D121:I122 D126:I133 A126:A133 F207:I224 A303:A305 F303:I305 D303:D305 D320:D1183 F320:I1183 A320:A1183">
    <cfRule type="expression" dxfId="5978" priority="7347" stopIfTrue="1">
      <formula>$A1="Tripvar"</formula>
    </cfRule>
  </conditionalFormatting>
  <conditionalFormatting sqref="D1:D44 D46 D50:D57">
    <cfRule type="expression" dxfId="5977" priority="7350" stopIfTrue="1">
      <formula>$A1="Tripvar"</formula>
    </cfRule>
  </conditionalFormatting>
  <conditionalFormatting sqref="E1:E46 E74 E76:E77 E84:E90 E229:E231 E250:E252 E271:E291 E94:E100 E154:E158 E162:E164 E166 E171:E182 E188 E190:E202 E207:E224 E168 E50:E56 E303:E305 E320:E1183">
    <cfRule type="expression" dxfId="5976" priority="7351" stopIfTrue="1">
      <formula>$A1="Tripvar"</formula>
    </cfRule>
  </conditionalFormatting>
  <conditionalFormatting sqref="F1:F46 F50:F57">
    <cfRule type="expression" dxfId="5975" priority="7352" stopIfTrue="1">
      <formula>$A1="Tripvar"</formula>
    </cfRule>
  </conditionalFormatting>
  <conditionalFormatting sqref="G1:G46 G50:G57">
    <cfRule type="expression" dxfId="5974" priority="7353" stopIfTrue="1">
      <formula>$A1="Tripvar"</formula>
    </cfRule>
  </conditionalFormatting>
  <conditionalFormatting sqref="H1:H46 H50:H57">
    <cfRule type="expression" dxfId="5973" priority="7354" stopIfTrue="1">
      <formula>$A1="Tripvar"</formula>
    </cfRule>
  </conditionalFormatting>
  <conditionalFormatting sqref="I1:I46 I50:I57">
    <cfRule type="expression" dxfId="5972" priority="7355" stopIfTrue="1">
      <formula>$A1="Tripvar"</formula>
    </cfRule>
  </conditionalFormatting>
  <conditionalFormatting sqref="A1:A27 F58 A42 A68 F68 F80 A80 A207:A224 F207:F224 F229:F231 A229:A231 A250:A252 F250:F252 F271:F291 A271:A291 F74:F77 F84:F90 F94:F100 F154:F158 A162:A164 F162:F164 F166:F168 A166:A168 A171:A177 F171:F182 A181:A182 A188:A202 F188:F202 A51:A58 A154:A158 A74:A77 A84:A90 A94:A100 A121:A122 E121:F122 E126:F133 A126:A133 A303:A305 F303:F305 F320:F1183 A320:A1183">
    <cfRule type="expression" dxfId="5971" priority="7356" stopIfTrue="1">
      <formula>$A1="Triplog"</formula>
    </cfRule>
  </conditionalFormatting>
  <conditionalFormatting sqref="E1:E46 E74 E76:E77 E84:E90 E229:E231 E250:E252 E271:E291 E94:E100 E154:E158 E162:E164 E166 E171:E182 E188 E190:E202 E207:E224 E168 E50:E56 E303:E305 E320:E1183">
    <cfRule type="expression" dxfId="5970" priority="7360" stopIfTrue="1">
      <formula>$A1="Triplog"</formula>
    </cfRule>
  </conditionalFormatting>
  <conditionalFormatting sqref="F1:F46 F50:F57">
    <cfRule type="expression" dxfId="5969" priority="7361" stopIfTrue="1">
      <formula>$A1="Triplog"</formula>
    </cfRule>
  </conditionalFormatting>
  <conditionalFormatting sqref="E58">
    <cfRule type="expression" dxfId="5968" priority="6517" stopIfTrue="1">
      <formula>$A58="Pipe"</formula>
    </cfRule>
  </conditionalFormatting>
  <conditionalFormatting sqref="E58">
    <cfRule type="expression" dxfId="5967" priority="6526" stopIfTrue="1">
      <formula>$A58="Junction"</formula>
    </cfRule>
  </conditionalFormatting>
  <conditionalFormatting sqref="E58">
    <cfRule type="expression" dxfId="5966" priority="6535" stopIfTrue="1">
      <formula>$A58="Sngljun"</formula>
    </cfRule>
  </conditionalFormatting>
  <conditionalFormatting sqref="E58">
    <cfRule type="expression" dxfId="5965" priority="6544" stopIfTrue="1">
      <formula>$A58="Mtrvlv"</formula>
    </cfRule>
  </conditionalFormatting>
  <conditionalFormatting sqref="E58">
    <cfRule type="expression" dxfId="5964" priority="6553" stopIfTrue="1">
      <formula>$A58="Srvvlv"</formula>
    </cfRule>
  </conditionalFormatting>
  <conditionalFormatting sqref="E58">
    <cfRule type="expression" dxfId="5963" priority="6562" stopIfTrue="1">
      <formula>$A58="Chkvlv"</formula>
    </cfRule>
  </conditionalFormatting>
  <conditionalFormatting sqref="E58">
    <cfRule type="expression" dxfId="5962" priority="6571" stopIfTrue="1">
      <formula>$A58="Inrvlv"</formula>
    </cfRule>
  </conditionalFormatting>
  <conditionalFormatting sqref="E58">
    <cfRule type="expression" dxfId="5961" priority="6580" stopIfTrue="1">
      <formula>$A58="Tmdpjun"</formula>
    </cfRule>
  </conditionalFormatting>
  <conditionalFormatting sqref="E58">
    <cfRule type="expression" dxfId="5960" priority="6589" stopIfTrue="1">
      <formula>$A58="Pump"</formula>
    </cfRule>
  </conditionalFormatting>
  <conditionalFormatting sqref="E58">
    <cfRule type="expression" dxfId="5959" priority="6598" stopIfTrue="1">
      <formula>$A58="Tmdpvol"</formula>
    </cfRule>
  </conditionalFormatting>
  <conditionalFormatting sqref="E58">
    <cfRule type="expression" dxfId="5958" priority="6607" stopIfTrue="1">
      <formula>$A58="Snglvol"</formula>
    </cfRule>
  </conditionalFormatting>
  <conditionalFormatting sqref="E58">
    <cfRule type="expression" dxfId="5957" priority="6624" stopIfTrue="1">
      <formula>$A58="Timestep"</formula>
    </cfRule>
  </conditionalFormatting>
  <conditionalFormatting sqref="E58">
    <cfRule type="expression" dxfId="5956" priority="6635" stopIfTrue="1">
      <formula>$A58="Tripvar"</formula>
    </cfRule>
  </conditionalFormatting>
  <conditionalFormatting sqref="E58">
    <cfRule type="expression" dxfId="5955" priority="6644" stopIfTrue="1">
      <formula>$A58="Triplog"</formula>
    </cfRule>
  </conditionalFormatting>
  <conditionalFormatting sqref="E75">
    <cfRule type="expression" dxfId="5954" priority="6485" stopIfTrue="1">
      <formula>$A75="Pipe"</formula>
    </cfRule>
  </conditionalFormatting>
  <conditionalFormatting sqref="E75">
    <cfRule type="expression" dxfId="5953" priority="6486" stopIfTrue="1">
      <formula>$A75="Junction"</formula>
    </cfRule>
  </conditionalFormatting>
  <conditionalFormatting sqref="E75">
    <cfRule type="expression" dxfId="5952" priority="6487" stopIfTrue="1">
      <formula>$A75="Sngljun"</formula>
    </cfRule>
  </conditionalFormatting>
  <conditionalFormatting sqref="E75">
    <cfRule type="expression" dxfId="5951" priority="6488" stopIfTrue="1">
      <formula>$A75="Mtrvlv"</formula>
    </cfRule>
  </conditionalFormatting>
  <conditionalFormatting sqref="E75">
    <cfRule type="expression" dxfId="5950" priority="6489" stopIfTrue="1">
      <formula>$A75="Srvvlv"</formula>
    </cfRule>
  </conditionalFormatting>
  <conditionalFormatting sqref="E75">
    <cfRule type="expression" dxfId="5949" priority="6490" stopIfTrue="1">
      <formula>$A75="Chkvlv"</formula>
    </cfRule>
  </conditionalFormatting>
  <conditionalFormatting sqref="E75">
    <cfRule type="expression" dxfId="5948" priority="6491" stopIfTrue="1">
      <formula>$A75="Inrvlv"</formula>
    </cfRule>
  </conditionalFormatting>
  <conditionalFormatting sqref="E75">
    <cfRule type="expression" dxfId="5947" priority="6492" stopIfTrue="1">
      <formula>$A75="Tmdpjun"</formula>
    </cfRule>
  </conditionalFormatting>
  <conditionalFormatting sqref="E75">
    <cfRule type="expression" dxfId="5946" priority="6493" stopIfTrue="1">
      <formula>$A75="Pump"</formula>
    </cfRule>
  </conditionalFormatting>
  <conditionalFormatting sqref="E75">
    <cfRule type="expression" dxfId="5945" priority="6494" stopIfTrue="1">
      <formula>$A75="Tmdpvol"</formula>
    </cfRule>
  </conditionalFormatting>
  <conditionalFormatting sqref="E75">
    <cfRule type="expression" dxfId="5944" priority="6495" stopIfTrue="1">
      <formula>$A75="Snglvol"</formula>
    </cfRule>
  </conditionalFormatting>
  <conditionalFormatting sqref="E75">
    <cfRule type="expression" dxfId="5943" priority="6496" stopIfTrue="1">
      <formula>$A75="Timestep"</formula>
    </cfRule>
  </conditionalFormatting>
  <conditionalFormatting sqref="E75">
    <cfRule type="expression" dxfId="5942" priority="6497" stopIfTrue="1">
      <formula>$A75="Tripvar"</formula>
    </cfRule>
  </conditionalFormatting>
  <conditionalFormatting sqref="E75">
    <cfRule type="expression" dxfId="5941" priority="6498" stopIfTrue="1">
      <formula>$A75="Triplog"</formula>
    </cfRule>
  </conditionalFormatting>
  <conditionalFormatting sqref="E80">
    <cfRule type="expression" dxfId="5940" priority="6471" stopIfTrue="1">
      <formula>$A80="Pipe"</formula>
    </cfRule>
  </conditionalFormatting>
  <conditionalFormatting sqref="E80">
    <cfRule type="expression" dxfId="5939" priority="6472" stopIfTrue="1">
      <formula>$A80="Junction"</formula>
    </cfRule>
  </conditionalFormatting>
  <conditionalFormatting sqref="E80">
    <cfRule type="expression" dxfId="5938" priority="6473" stopIfTrue="1">
      <formula>$A80="Sngljun"</formula>
    </cfRule>
  </conditionalFormatting>
  <conditionalFormatting sqref="E80">
    <cfRule type="expression" dxfId="5937" priority="6474" stopIfTrue="1">
      <formula>$A80="Mtrvlv"</formula>
    </cfRule>
  </conditionalFormatting>
  <conditionalFormatting sqref="E80">
    <cfRule type="expression" dxfId="5936" priority="6475" stopIfTrue="1">
      <formula>$A80="Srvvlv"</formula>
    </cfRule>
  </conditionalFormatting>
  <conditionalFormatting sqref="E80">
    <cfRule type="expression" dxfId="5935" priority="6476" stopIfTrue="1">
      <formula>$A80="Chkvlv"</formula>
    </cfRule>
  </conditionalFormatting>
  <conditionalFormatting sqref="E80">
    <cfRule type="expression" dxfId="5934" priority="6477" stopIfTrue="1">
      <formula>$A80="Inrvlv"</formula>
    </cfRule>
  </conditionalFormatting>
  <conditionalFormatting sqref="E80">
    <cfRule type="expression" dxfId="5933" priority="6478" stopIfTrue="1">
      <formula>$A80="Tmdpjun"</formula>
    </cfRule>
  </conditionalFormatting>
  <conditionalFormatting sqref="E80">
    <cfRule type="expression" dxfId="5932" priority="6479" stopIfTrue="1">
      <formula>$A80="Pump"</formula>
    </cfRule>
  </conditionalFormatting>
  <conditionalFormatting sqref="E80">
    <cfRule type="expression" dxfId="5931" priority="6480" stopIfTrue="1">
      <formula>$A80="Tmdpvol"</formula>
    </cfRule>
  </conditionalFormatting>
  <conditionalFormatting sqref="E80">
    <cfRule type="expression" dxfId="5930" priority="6481" stopIfTrue="1">
      <formula>$A80="Snglvol"</formula>
    </cfRule>
  </conditionalFormatting>
  <conditionalFormatting sqref="E80">
    <cfRule type="expression" dxfId="5929" priority="6482" stopIfTrue="1">
      <formula>$A80="Timestep"</formula>
    </cfRule>
  </conditionalFormatting>
  <conditionalFormatting sqref="E80">
    <cfRule type="expression" dxfId="5928" priority="6483" stopIfTrue="1">
      <formula>$A80="Tripvar"</formula>
    </cfRule>
  </conditionalFormatting>
  <conditionalFormatting sqref="E80">
    <cfRule type="expression" dxfId="5927" priority="6484" stopIfTrue="1">
      <formula>$A80="Triplog"</formula>
    </cfRule>
  </conditionalFormatting>
  <conditionalFormatting sqref="A28:A32 A36:A41">
    <cfRule type="expression" dxfId="5926" priority="6139" stopIfTrue="1">
      <formula>$A28="Pipe"</formula>
    </cfRule>
  </conditionalFormatting>
  <conditionalFormatting sqref="B30:B32 B36:B41">
    <cfRule type="expression" dxfId="5925" priority="6140" stopIfTrue="1">
      <formula>$A30="Pipe"</formula>
    </cfRule>
  </conditionalFormatting>
  <conditionalFormatting sqref="C28 C36:C41 C30:C32">
    <cfRule type="expression" dxfId="5924" priority="6141" stopIfTrue="1">
      <formula>$A28="Pipe"</formula>
    </cfRule>
  </conditionalFormatting>
  <conditionalFormatting sqref="A28:A32 A36:A41">
    <cfRule type="expression" dxfId="5923" priority="6142" stopIfTrue="1">
      <formula>$A28="Junction"</formula>
    </cfRule>
  </conditionalFormatting>
  <conditionalFormatting sqref="B30:B32 B36:B41">
    <cfRule type="expression" dxfId="5922" priority="6143" stopIfTrue="1">
      <formula>$A30="Junction"</formula>
    </cfRule>
  </conditionalFormatting>
  <conditionalFormatting sqref="C28 C36:C41 C30:C32">
    <cfRule type="expression" dxfId="5921" priority="6144" stopIfTrue="1">
      <formula>$A28="Junction"</formula>
    </cfRule>
    <cfRule type="expression" dxfId="5920" priority="6171" stopIfTrue="1">
      <formula>$A28="Snglvol"</formula>
    </cfRule>
    <cfRule type="expression" dxfId="5919" priority="6179" stopIfTrue="1">
      <formula>$A28="InitGas"</formula>
    </cfRule>
    <cfRule type="expression" dxfId="5918" priority="6191" stopIfTrue="1">
      <formula>$A28="Tripvar"</formula>
    </cfRule>
  </conditionalFormatting>
  <conditionalFormatting sqref="A28:A32 A36:A41">
    <cfRule type="expression" dxfId="5917" priority="6145" stopIfTrue="1">
      <formula>$A28="Sngljun"</formula>
    </cfRule>
  </conditionalFormatting>
  <conditionalFormatting sqref="B30:B32 B36:B41">
    <cfRule type="expression" dxfId="5916" priority="6146" stopIfTrue="1">
      <formula>$A30="Sngljun"</formula>
    </cfRule>
  </conditionalFormatting>
  <conditionalFormatting sqref="C28 C36:C41 C30:C32">
    <cfRule type="expression" dxfId="5915" priority="6147" stopIfTrue="1">
      <formula>$A28="Sngljun"</formula>
    </cfRule>
  </conditionalFormatting>
  <conditionalFormatting sqref="A28:A32 A36:A41">
    <cfRule type="expression" dxfId="5914" priority="6148" stopIfTrue="1">
      <formula>$A28="Mtrvlv"</formula>
    </cfRule>
  </conditionalFormatting>
  <conditionalFormatting sqref="B30:B32 B36:B41">
    <cfRule type="expression" dxfId="5913" priority="6149" stopIfTrue="1">
      <formula>$A30="Mtrvlv"</formula>
    </cfRule>
  </conditionalFormatting>
  <conditionalFormatting sqref="C28 C36:C41 C30:C32">
    <cfRule type="expression" dxfId="5912" priority="6150" stopIfTrue="1">
      <formula>$A28="Mtrvlv"</formula>
    </cfRule>
  </conditionalFormatting>
  <conditionalFormatting sqref="A28:A32 A36:A41">
    <cfRule type="expression" dxfId="5911" priority="6151" stopIfTrue="1">
      <formula>$A28="Srvvlv"</formula>
    </cfRule>
    <cfRule type="expression" dxfId="5910" priority="6160" stopIfTrue="1">
      <formula>$A28="Tmdpjun"</formula>
    </cfRule>
  </conditionalFormatting>
  <conditionalFormatting sqref="B30:B32 B36:B41">
    <cfRule type="expression" dxfId="5909" priority="6152" stopIfTrue="1">
      <formula>$A30="Srvvlv"</formula>
    </cfRule>
  </conditionalFormatting>
  <conditionalFormatting sqref="C28 C36:C41 C30:C32">
    <cfRule type="expression" dxfId="5908" priority="6153" stopIfTrue="1">
      <formula>$A28="Srvvlv"</formula>
    </cfRule>
  </conditionalFormatting>
  <conditionalFormatting sqref="A28:A32 A36:A41">
    <cfRule type="expression" dxfId="5907" priority="6154" stopIfTrue="1">
      <formula>$A28="Chkvlv"</formula>
    </cfRule>
  </conditionalFormatting>
  <conditionalFormatting sqref="B30:B32 B36:B41">
    <cfRule type="expression" dxfId="5906" priority="6155" stopIfTrue="1">
      <formula>$A30="Chkvlv"</formula>
    </cfRule>
    <cfRule type="expression" dxfId="5905" priority="6173" stopIfTrue="1">
      <formula>$A30="Relapnr"</formula>
    </cfRule>
    <cfRule type="expression" dxfId="5904" priority="6178" stopIfTrue="1">
      <formula>$A30="InitGas"</formula>
    </cfRule>
    <cfRule type="expression" dxfId="5903" priority="6184" stopIfTrue="1">
      <formula>$A30="Replacements"</formula>
    </cfRule>
    <cfRule type="expression" dxfId="5902" priority="6188" stopIfTrue="1">
      <formula>$A30="Custom"</formula>
    </cfRule>
    <cfRule type="expression" dxfId="5901" priority="6193" stopIfTrue="1">
      <formula>$A30="Triplog"</formula>
    </cfRule>
  </conditionalFormatting>
  <conditionalFormatting sqref="C28 C36:C41 C30:C32">
    <cfRule type="expression" dxfId="5900" priority="6156" stopIfTrue="1">
      <formula>$A28="Chkvlv"</formula>
    </cfRule>
  </conditionalFormatting>
  <conditionalFormatting sqref="A28:A32 A36:A41">
    <cfRule type="expression" dxfId="5899" priority="6157" stopIfTrue="1">
      <formula>$A28="Inrvlv"</formula>
    </cfRule>
  </conditionalFormatting>
  <conditionalFormatting sqref="B30:B32 B36:B41">
    <cfRule type="expression" dxfId="5898" priority="6158" stopIfTrue="1">
      <formula>$A30="Inrvlv"</formula>
    </cfRule>
  </conditionalFormatting>
  <conditionalFormatting sqref="C28 C36:C41 C30:C32">
    <cfRule type="expression" dxfId="5897" priority="6159" stopIfTrue="1">
      <formula>$A28="Inrvlv"</formula>
    </cfRule>
    <cfRule type="expression" dxfId="5896" priority="6176" stopIfTrue="1">
      <formula>$A28="Init"</formula>
    </cfRule>
    <cfRule type="expression" dxfId="5895" priority="6182" stopIfTrue="1">
      <formula>$A28="Timestep"</formula>
    </cfRule>
    <cfRule type="expression" dxfId="5894" priority="6194" stopIfTrue="1">
      <formula>$A28="Triplog"</formula>
    </cfRule>
  </conditionalFormatting>
  <conditionalFormatting sqref="B30:B32 B36:B41">
    <cfRule type="expression" dxfId="5893" priority="6161" stopIfTrue="1">
      <formula>$A30="Tmdpjun"</formula>
    </cfRule>
  </conditionalFormatting>
  <conditionalFormatting sqref="C28 C36:C41 C30:C32">
    <cfRule type="expression" dxfId="5892" priority="6162" stopIfTrue="1">
      <formula>$A28="Tmdpjun"</formula>
    </cfRule>
  </conditionalFormatting>
  <conditionalFormatting sqref="A28:A32 A36:A41">
    <cfRule type="expression" dxfId="5891" priority="6163" stopIfTrue="1">
      <formula>$A28="Pump"</formula>
    </cfRule>
  </conditionalFormatting>
  <conditionalFormatting sqref="B30:B32 B36:B41">
    <cfRule type="expression" dxfId="5890" priority="6164" stopIfTrue="1">
      <formula>$A30="Pump"</formula>
    </cfRule>
  </conditionalFormatting>
  <conditionalFormatting sqref="C28 C36:C41 C30:C32">
    <cfRule type="expression" dxfId="5889" priority="6165" stopIfTrue="1">
      <formula>$A28="Pump"</formula>
    </cfRule>
  </conditionalFormatting>
  <conditionalFormatting sqref="A28:A32 A36:A41">
    <cfRule type="expression" dxfId="5888" priority="6166" stopIfTrue="1">
      <formula>$A28="Tmdpvol"</formula>
    </cfRule>
  </conditionalFormatting>
  <conditionalFormatting sqref="B30:B32 B36:B41">
    <cfRule type="expression" dxfId="5887" priority="6167" stopIfTrue="1">
      <formula>$A30="Tmdpvol"</formula>
    </cfRule>
  </conditionalFormatting>
  <conditionalFormatting sqref="C28 C36:C41 C30:C32">
    <cfRule type="expression" dxfId="5886" priority="6168" stopIfTrue="1">
      <formula>$A28="Tmdpvol"</formula>
    </cfRule>
  </conditionalFormatting>
  <conditionalFormatting sqref="A28:A32 A36:A41">
    <cfRule type="expression" dxfId="5885" priority="6169" stopIfTrue="1">
      <formula>$A28="Snglvol"</formula>
    </cfRule>
  </conditionalFormatting>
  <conditionalFormatting sqref="B30:B32 B36:B41">
    <cfRule type="expression" dxfId="5884" priority="6170" stopIfTrue="1">
      <formula>$A30="Snglvol"</formula>
    </cfRule>
    <cfRule type="expression" dxfId="5883" priority="6175" stopIfTrue="1">
      <formula>$A30="Init"</formula>
    </cfRule>
    <cfRule type="expression" dxfId="5882" priority="6181" stopIfTrue="1">
      <formula>$A30="Timestep"</formula>
    </cfRule>
    <cfRule type="expression" dxfId="5881" priority="6186" stopIfTrue="1">
      <formula>$A30="Triggerwords"</formula>
    </cfRule>
    <cfRule type="expression" dxfId="5880" priority="6190" stopIfTrue="1">
      <formula>$A30="Tripvar"</formula>
    </cfRule>
  </conditionalFormatting>
  <conditionalFormatting sqref="A28:A32 A36:A41">
    <cfRule type="expression" dxfId="5879" priority="6172" stopIfTrue="1">
      <formula>$A28="Relapnr"</formula>
    </cfRule>
  </conditionalFormatting>
  <conditionalFormatting sqref="A28:A32 A36:A41">
    <cfRule type="expression" dxfId="5878" priority="6174" stopIfTrue="1">
      <formula>$A28="Init"</formula>
    </cfRule>
  </conditionalFormatting>
  <conditionalFormatting sqref="A28:A32 A36:A41">
    <cfRule type="expression" dxfId="5877" priority="6177" stopIfTrue="1">
      <formula>$A28="InitGas"</formula>
    </cfRule>
  </conditionalFormatting>
  <conditionalFormatting sqref="A28:A32 A36:A41">
    <cfRule type="expression" dxfId="5876" priority="6180" stopIfTrue="1">
      <formula>$A28="Timestep"</formula>
    </cfRule>
  </conditionalFormatting>
  <conditionalFormatting sqref="A28:A32 A36:A41">
    <cfRule type="expression" dxfId="5875" priority="6183" stopIfTrue="1">
      <formula>$A28="Replacements"</formula>
    </cfRule>
  </conditionalFormatting>
  <conditionalFormatting sqref="A28:A32 A36:A41">
    <cfRule type="expression" dxfId="5874" priority="6185" stopIfTrue="1">
      <formula>$A28="Triggerwords"</formula>
    </cfRule>
  </conditionalFormatting>
  <conditionalFormatting sqref="A28:A32 A36:A41">
    <cfRule type="expression" dxfId="5873" priority="6187" stopIfTrue="1">
      <formula>$A28="Custom"</formula>
    </cfRule>
  </conditionalFormatting>
  <conditionalFormatting sqref="A28:A32 A36:A41">
    <cfRule type="expression" dxfId="5872" priority="6189" stopIfTrue="1">
      <formula>$A28="Tripvar"</formula>
    </cfRule>
  </conditionalFormatting>
  <conditionalFormatting sqref="A28:A32 A36:A41">
    <cfRule type="expression" dxfId="5871" priority="6192" stopIfTrue="1">
      <formula>$A28="Triplog"</formula>
    </cfRule>
  </conditionalFormatting>
  <conditionalFormatting sqref="U59:V59 Q59 A59:D59 F59:L59">
    <cfRule type="expression" dxfId="5870" priority="6071" stopIfTrue="1">
      <formula>$A59="Pipe"</formula>
    </cfRule>
  </conditionalFormatting>
  <conditionalFormatting sqref="M59:P59 U59:V59 A59:B59 H59:K59">
    <cfRule type="expression" dxfId="5869" priority="6072" stopIfTrue="1">
      <formula>$A59="Junction"</formula>
    </cfRule>
  </conditionalFormatting>
  <conditionalFormatting sqref="M59:P59 T59:V59 A59:B59 H59:K59">
    <cfRule type="expression" dxfId="5868" priority="6073" stopIfTrue="1">
      <formula>$A59="Mtrvlv"</formula>
    </cfRule>
  </conditionalFormatting>
  <conditionalFormatting sqref="M59:P59 T59:V59 B59 H59:K59">
    <cfRule type="expression" dxfId="5867" priority="6074" stopIfTrue="1">
      <formula>$A59="Srvvlv"</formula>
    </cfRule>
  </conditionalFormatting>
  <conditionalFormatting sqref="V59 T59 N59:P59 A59 H59:J59">
    <cfRule type="expression" dxfId="5866" priority="6075" stopIfTrue="1">
      <formula>$A59="Chkvlv"</formula>
    </cfRule>
  </conditionalFormatting>
  <conditionalFormatting sqref="M59:P59 T59:V59 A59:B59 H59:K59">
    <cfRule type="expression" dxfId="5865" priority="6076" stopIfTrue="1">
      <formula>$A59="Inrvlv"</formula>
    </cfRule>
  </conditionalFormatting>
  <conditionalFormatting sqref="M59:P59 T59:V59 B59 H59:K59">
    <cfRule type="expression" dxfId="5864" priority="6077" stopIfTrue="1">
      <formula>$A59="Tmdpjun"</formula>
    </cfRule>
  </conditionalFormatting>
  <conditionalFormatting sqref="M59:P59 T59:V59 A59:C59 F59:K59">
    <cfRule type="expression" dxfId="5863" priority="6078" stopIfTrue="1">
      <formula>$A59="Pump"</formula>
    </cfRule>
  </conditionalFormatting>
  <conditionalFormatting sqref="U59:V59 Q59 J59:K59 F59:G59 A59:C59">
    <cfRule type="expression" dxfId="5862" priority="6079" stopIfTrue="1">
      <formula>$A59="Tmdpvol"</formula>
    </cfRule>
  </conditionalFormatting>
  <conditionalFormatting sqref="V59 J59 F59:G59 A59">
    <cfRule type="expression" dxfId="5861" priority="6080" stopIfTrue="1">
      <formula>$A59="Snglvol"</formula>
    </cfRule>
  </conditionalFormatting>
  <conditionalFormatting sqref="M59:P59 U59:V59 A59:B59 H59:K59">
    <cfRule type="expression" dxfId="5860" priority="6081" stopIfTrue="1">
      <formula>$A59="Sngljun"</formula>
    </cfRule>
  </conditionalFormatting>
  <conditionalFormatting sqref="M59:P59 R59:T59">
    <cfRule type="expression" dxfId="5859" priority="6082" stopIfTrue="1">
      <formula>$A59="Pipe"</formula>
    </cfRule>
  </conditionalFormatting>
  <conditionalFormatting sqref="C59">
    <cfRule type="expression" dxfId="5858" priority="6083" stopIfTrue="1">
      <formula>$A59="Junction"</formula>
    </cfRule>
    <cfRule type="expression" dxfId="5857" priority="6109" stopIfTrue="1">
      <formula>$A59="Snglvol"</formula>
    </cfRule>
    <cfRule type="expression" dxfId="5856" priority="6122" stopIfTrue="1">
      <formula>$A59="InitGas"</formula>
    </cfRule>
    <cfRule type="expression" dxfId="5855" priority="6134" stopIfTrue="1">
      <formula>$A59="Tripvar"</formula>
    </cfRule>
  </conditionalFormatting>
  <conditionalFormatting sqref="Q59:T59 L59 F59:G59 D59">
    <cfRule type="expression" dxfId="5854" priority="6084" stopIfTrue="1">
      <formula>$A59="Junction"</formula>
    </cfRule>
  </conditionalFormatting>
  <conditionalFormatting sqref="Q59:T59 L59 F59:G59 C59:D59">
    <cfRule type="expression" dxfId="5853" priority="6085" stopIfTrue="1">
      <formula>$A59="Sngljun"</formula>
    </cfRule>
  </conditionalFormatting>
  <conditionalFormatting sqref="Q59:S59 L59 F59:G59 C59:D59">
    <cfRule type="expression" dxfId="5852" priority="6086" stopIfTrue="1">
      <formula>$A59="Mtrvlv"</formula>
    </cfRule>
  </conditionalFormatting>
  <conditionalFormatting sqref="A59">
    <cfRule type="expression" dxfId="5851" priority="6087" stopIfTrue="1">
      <formula>$A59="Srvvlv"</formula>
    </cfRule>
    <cfRule type="expression" dxfId="5850" priority="6098" stopIfTrue="1">
      <formula>$A59="Tmdpjun"</formula>
    </cfRule>
  </conditionalFormatting>
  <conditionalFormatting sqref="S59 Q59 L59 F59:G59 C59:D59">
    <cfRule type="expression" dxfId="5849" priority="6088" stopIfTrue="1">
      <formula>$A59="Srvvlv"</formula>
    </cfRule>
  </conditionalFormatting>
  <conditionalFormatting sqref="R59">
    <cfRule type="expression" dxfId="5848" priority="6089" stopIfTrue="1">
      <formula>$A59="Srvvlv"</formula>
    </cfRule>
    <cfRule type="expression" dxfId="5847" priority="6100" stopIfTrue="1">
      <formula>$A59="Tmdpjun"</formula>
    </cfRule>
    <cfRule type="expression" dxfId="5846" priority="6103" stopIfTrue="1">
      <formula>$A59="Pump"</formula>
    </cfRule>
    <cfRule type="expression" dxfId="5845" priority="6106" stopIfTrue="1">
      <formula>$A59="Tmdpvol"</formula>
    </cfRule>
    <cfRule type="expression" dxfId="5844" priority="6113" stopIfTrue="1">
      <formula>$A59="Snglvol"</formula>
    </cfRule>
  </conditionalFormatting>
  <conditionalFormatting sqref="B59">
    <cfRule type="expression" dxfId="5843" priority="6090" stopIfTrue="1">
      <formula>$A59="Chkvlv"</formula>
    </cfRule>
    <cfRule type="expression" dxfId="5842" priority="6116" stopIfTrue="1">
      <formula>$A59="Relapnr"</formula>
    </cfRule>
    <cfRule type="expression" dxfId="5841" priority="6121" stopIfTrue="1">
      <formula>$A59="InitGas"</formula>
    </cfRule>
    <cfRule type="expression" dxfId="5840" priority="6127" stopIfTrue="1">
      <formula>$A59="Replacements"</formula>
    </cfRule>
    <cfRule type="expression" dxfId="5839" priority="6131" stopIfTrue="1">
      <formula>$A59="Custom"</formula>
    </cfRule>
    <cfRule type="expression" dxfId="5838" priority="6136" stopIfTrue="1">
      <formula>$A59="Triplog"</formula>
    </cfRule>
  </conditionalFormatting>
  <conditionalFormatting sqref="C59 Q59:S59 L59 F59:G59">
    <cfRule type="expression" dxfId="5837" priority="6091" stopIfTrue="1">
      <formula>$A59="Chkvlv"</formula>
    </cfRule>
  </conditionalFormatting>
  <conditionalFormatting sqref="D59">
    <cfRule type="expression" dxfId="5836" priority="6092" stopIfTrue="1">
      <formula>$A59="Chkvlv"</formula>
    </cfRule>
    <cfRule type="expression" dxfId="5835" priority="6138" stopIfTrue="1">
      <formula>$A59="Triplog"</formula>
    </cfRule>
  </conditionalFormatting>
  <conditionalFormatting sqref="U59 K59">
    <cfRule type="expression" dxfId="5834" priority="6093" stopIfTrue="1">
      <formula>$A59="Chkvlv"</formula>
    </cfRule>
    <cfRule type="expression" dxfId="5833" priority="6111" stopIfTrue="1">
      <formula>$A59="Snglvol"</formula>
    </cfRule>
  </conditionalFormatting>
  <conditionalFormatting sqref="M59">
    <cfRule type="expression" dxfId="5832" priority="6094" stopIfTrue="1">
      <formula>$A59="Chkvlv"</formula>
    </cfRule>
    <cfRule type="expression" dxfId="5831" priority="6112" stopIfTrue="1">
      <formula>$A59="Snglvol"</formula>
    </cfRule>
  </conditionalFormatting>
  <conditionalFormatting sqref="C59">
    <cfRule type="expression" dxfId="5830" priority="6095" stopIfTrue="1">
      <formula>$A59="Inrvlv"</formula>
    </cfRule>
    <cfRule type="expression" dxfId="5829" priority="6119" stopIfTrue="1">
      <formula>$A59="Init"</formula>
    </cfRule>
    <cfRule type="expression" dxfId="5828" priority="6125" stopIfTrue="1">
      <formula>$A59="Timestep"</formula>
    </cfRule>
    <cfRule type="expression" dxfId="5827" priority="6137" stopIfTrue="1">
      <formula>$A59="Triplog"</formula>
    </cfRule>
  </conditionalFormatting>
  <conditionalFormatting sqref="Q59:R59 L59 F59:G59 D59">
    <cfRule type="expression" dxfId="5826" priority="6096" stopIfTrue="1">
      <formula>$A59="Inrvlv"</formula>
    </cfRule>
  </conditionalFormatting>
  <conditionalFormatting sqref="S59">
    <cfRule type="expression" dxfId="5825" priority="6097" stopIfTrue="1">
      <formula>$A59="Inrvlv"</formula>
    </cfRule>
    <cfRule type="expression" dxfId="5824" priority="6101" stopIfTrue="1">
      <formula>$A59="Tmdpjun"</formula>
    </cfRule>
    <cfRule type="expression" dxfId="5823" priority="6104" stopIfTrue="1">
      <formula>$A59="Pump"</formula>
    </cfRule>
    <cfRule type="expression" dxfId="5822" priority="6107" stopIfTrue="1">
      <formula>$A59="Tmdpvol"</formula>
    </cfRule>
    <cfRule type="expression" dxfId="5821" priority="6114" stopIfTrue="1">
      <formula>$A59="Snglvol"</formula>
    </cfRule>
  </conditionalFormatting>
  <conditionalFormatting sqref="Q59 L59 F59:G59 C59:D59">
    <cfRule type="expression" dxfId="5820" priority="6099" stopIfTrue="1">
      <formula>$A59="Tmdpjun"</formula>
    </cfRule>
  </conditionalFormatting>
  <conditionalFormatting sqref="Q59 L59 D59">
    <cfRule type="expression" dxfId="5819" priority="6102" stopIfTrue="1">
      <formula>$A59="Pump"</formula>
    </cfRule>
  </conditionalFormatting>
  <conditionalFormatting sqref="L59:P59 T59 H59:I59 D59">
    <cfRule type="expression" dxfId="5818" priority="6105" stopIfTrue="1">
      <formula>$A59="Tmdpvol"</formula>
    </cfRule>
  </conditionalFormatting>
  <conditionalFormatting sqref="B59">
    <cfRule type="expression" dxfId="5817" priority="6108" stopIfTrue="1">
      <formula>$A59="Snglvol"</formula>
    </cfRule>
    <cfRule type="expression" dxfId="5816" priority="6118" stopIfTrue="1">
      <formula>$A59="Init"</formula>
    </cfRule>
    <cfRule type="expression" dxfId="5815" priority="6124" stopIfTrue="1">
      <formula>$A59="Timestep"</formula>
    </cfRule>
    <cfRule type="expression" dxfId="5814" priority="6129" stopIfTrue="1">
      <formula>$A59="Triggerwords"</formula>
    </cfRule>
    <cfRule type="expression" dxfId="5813" priority="6133" stopIfTrue="1">
      <formula>$A59="Tripvar"</formula>
    </cfRule>
  </conditionalFormatting>
  <conditionalFormatting sqref="T59 N59:Q59 L59 H59:I59 D59">
    <cfRule type="expression" dxfId="5812" priority="6110" stopIfTrue="1">
      <formula>$A59="Snglvol"</formula>
    </cfRule>
  </conditionalFormatting>
  <conditionalFormatting sqref="A59">
    <cfRule type="expression" dxfId="5811" priority="6115" stopIfTrue="1">
      <formula>$A59="Relapnr"</formula>
    </cfRule>
  </conditionalFormatting>
  <conditionalFormatting sqref="A59">
    <cfRule type="expression" dxfId="5810" priority="6117" stopIfTrue="1">
      <formula>$A59="Init"</formula>
    </cfRule>
  </conditionalFormatting>
  <conditionalFormatting sqref="A59">
    <cfRule type="expression" dxfId="5809" priority="6120" stopIfTrue="1">
      <formula>$A59="InitGas"</formula>
    </cfRule>
  </conditionalFormatting>
  <conditionalFormatting sqref="A59 D59">
    <cfRule type="expression" dxfId="5808" priority="6123" stopIfTrue="1">
      <formula>$A59="Timestep"</formula>
    </cfRule>
  </conditionalFormatting>
  <conditionalFormatting sqref="A59">
    <cfRule type="expression" dxfId="5807" priority="6126" stopIfTrue="1">
      <formula>$A59="Replacements"</formula>
    </cfRule>
  </conditionalFormatting>
  <conditionalFormatting sqref="A59">
    <cfRule type="expression" dxfId="5806" priority="6128" stopIfTrue="1">
      <formula>$A59="Triggerwords"</formula>
    </cfRule>
  </conditionalFormatting>
  <conditionalFormatting sqref="A59">
    <cfRule type="expression" dxfId="5805" priority="6130" stopIfTrue="1">
      <formula>$A59="Custom"</formula>
    </cfRule>
  </conditionalFormatting>
  <conditionalFormatting sqref="A59 F59:I59 D59">
    <cfRule type="expression" dxfId="5804" priority="6132" stopIfTrue="1">
      <formula>$A59="Tripvar"</formula>
    </cfRule>
  </conditionalFormatting>
  <conditionalFormatting sqref="A59 F59">
    <cfRule type="expression" dxfId="5803" priority="6135" stopIfTrue="1">
      <formula>$A59="Triplog"</formula>
    </cfRule>
  </conditionalFormatting>
  <conditionalFormatting sqref="U60:V67 Q60:Q67 F60:L67 A60:D67">
    <cfRule type="expression" dxfId="5802" priority="5989" stopIfTrue="1">
      <formula>$A60="Pipe"</formula>
    </cfRule>
  </conditionalFormatting>
  <conditionalFormatting sqref="M60:P67 U60:V67 H60:K67 A60:B67">
    <cfRule type="expression" dxfId="5801" priority="5990" stopIfTrue="1">
      <formula>$A60="Junction"</formula>
    </cfRule>
  </conditionalFormatting>
  <conditionalFormatting sqref="M60:P67 T60:V67 H60:K67 A60:B67">
    <cfRule type="expression" dxfId="5800" priority="5991" stopIfTrue="1">
      <formula>$A60="Mtrvlv"</formula>
    </cfRule>
  </conditionalFormatting>
  <conditionalFormatting sqref="M60:P67 T60:V67 B60:B67 H60:K67">
    <cfRule type="expression" dxfId="5799" priority="5992" stopIfTrue="1">
      <formula>$A60="Srvvlv"</formula>
    </cfRule>
  </conditionalFormatting>
  <conditionalFormatting sqref="V60:V67 T60:T67 N60:P67 H60:J67 A60:A67">
    <cfRule type="expression" dxfId="5798" priority="5993" stopIfTrue="1">
      <formula>$A60="Chkvlv"</formula>
    </cfRule>
  </conditionalFormatting>
  <conditionalFormatting sqref="M60:P67 T60:V67 H60:K67 A60:B67">
    <cfRule type="expression" dxfId="5797" priority="5994" stopIfTrue="1">
      <formula>$A60="Inrvlv"</formula>
    </cfRule>
  </conditionalFormatting>
  <conditionalFormatting sqref="M60:P67 T60:V67 B60:B67 H60:K67">
    <cfRule type="expression" dxfId="5796" priority="5995" stopIfTrue="1">
      <formula>$A60="Tmdpjun"</formula>
    </cfRule>
  </conditionalFormatting>
  <conditionalFormatting sqref="M60:P67 T60:V67 F60:K67 A60:C67">
    <cfRule type="expression" dxfId="5795" priority="5996" stopIfTrue="1">
      <formula>$A60="Pump"</formula>
    </cfRule>
  </conditionalFormatting>
  <conditionalFormatting sqref="U60:V67 Q60:Q67 J60:K67 F60:G67 A60:C67">
    <cfRule type="expression" dxfId="5794" priority="5997" stopIfTrue="1">
      <formula>$A60="Tmdpvol"</formula>
    </cfRule>
  </conditionalFormatting>
  <conditionalFormatting sqref="V60:V67 J60:J67 F60:G67 A60:A67">
    <cfRule type="expression" dxfId="5793" priority="5998" stopIfTrue="1">
      <formula>$A60="Snglvol"</formula>
    </cfRule>
  </conditionalFormatting>
  <conditionalFormatting sqref="M60:P67 U60:V67 H60:K67 A60:B67">
    <cfRule type="expression" dxfId="5792" priority="5999" stopIfTrue="1">
      <formula>$A60="Sngljun"</formula>
    </cfRule>
  </conditionalFormatting>
  <conditionalFormatting sqref="M60:P67 R60:T67">
    <cfRule type="expression" dxfId="5791" priority="6000" stopIfTrue="1">
      <formula>$A60="Pipe"</formula>
    </cfRule>
  </conditionalFormatting>
  <conditionalFormatting sqref="C60:C67">
    <cfRule type="expression" dxfId="5790" priority="6001" stopIfTrue="1">
      <formula>$A60="Junction"</formula>
    </cfRule>
    <cfRule type="expression" dxfId="5789" priority="6027" stopIfTrue="1">
      <formula>$A60="Snglvol"</formula>
    </cfRule>
    <cfRule type="expression" dxfId="5788" priority="6040" stopIfTrue="1">
      <formula>$A60="InitGas"</formula>
    </cfRule>
    <cfRule type="expression" dxfId="5787" priority="6052" stopIfTrue="1">
      <formula>$A60="Tripvar"</formula>
    </cfRule>
  </conditionalFormatting>
  <conditionalFormatting sqref="Q60:T67 L60:L67 F60:G67 D60:D67">
    <cfRule type="expression" dxfId="5786" priority="6002" stopIfTrue="1">
      <formula>$A60="Junction"</formula>
    </cfRule>
  </conditionalFormatting>
  <conditionalFormatting sqref="Q60:T67 L60:L67 F60:G67 C60:D67">
    <cfRule type="expression" dxfId="5785" priority="6003" stopIfTrue="1">
      <formula>$A60="Sngljun"</formula>
    </cfRule>
  </conditionalFormatting>
  <conditionalFormatting sqref="Q60:S67 L60:L67 F60:G67 C60:D67">
    <cfRule type="expression" dxfId="5784" priority="6004" stopIfTrue="1">
      <formula>$A60="Mtrvlv"</formula>
    </cfRule>
  </conditionalFormatting>
  <conditionalFormatting sqref="A60:A67">
    <cfRule type="expression" dxfId="5783" priority="6005" stopIfTrue="1">
      <formula>$A60="Srvvlv"</formula>
    </cfRule>
    <cfRule type="expression" dxfId="5782" priority="6016" stopIfTrue="1">
      <formula>$A60="Tmdpjun"</formula>
    </cfRule>
  </conditionalFormatting>
  <conditionalFormatting sqref="S60:S67 Q60:Q67 L60:L67 F60:G67 C60:D67">
    <cfRule type="expression" dxfId="5781" priority="6006" stopIfTrue="1">
      <formula>$A60="Srvvlv"</formula>
    </cfRule>
  </conditionalFormatting>
  <conditionalFormatting sqref="R60:R67">
    <cfRule type="expression" dxfId="5780" priority="6007" stopIfTrue="1">
      <formula>$A60="Srvvlv"</formula>
    </cfRule>
    <cfRule type="expression" dxfId="5779" priority="6018" stopIfTrue="1">
      <formula>$A60="Tmdpjun"</formula>
    </cfRule>
    <cfRule type="expression" dxfId="5778" priority="6021" stopIfTrue="1">
      <formula>$A60="Pump"</formula>
    </cfRule>
    <cfRule type="expression" dxfId="5777" priority="6024" stopIfTrue="1">
      <formula>$A60="Tmdpvol"</formula>
    </cfRule>
    <cfRule type="expression" dxfId="5776" priority="6031" stopIfTrue="1">
      <formula>$A60="Snglvol"</formula>
    </cfRule>
  </conditionalFormatting>
  <conditionalFormatting sqref="B60:B67">
    <cfRule type="expression" dxfId="5775" priority="6008" stopIfTrue="1">
      <formula>$A60="Chkvlv"</formula>
    </cfRule>
    <cfRule type="expression" dxfId="5774" priority="6034" stopIfTrue="1">
      <formula>$A60="Relapnr"</formula>
    </cfRule>
    <cfRule type="expression" dxfId="5773" priority="6039" stopIfTrue="1">
      <formula>$A60="InitGas"</formula>
    </cfRule>
    <cfRule type="expression" dxfId="5772" priority="6045" stopIfTrue="1">
      <formula>$A60="Replacements"</formula>
    </cfRule>
    <cfRule type="expression" dxfId="5771" priority="6049" stopIfTrue="1">
      <formula>$A60="Custom"</formula>
    </cfRule>
    <cfRule type="expression" dxfId="5770" priority="6054" stopIfTrue="1">
      <formula>$A60="Triplog"</formula>
    </cfRule>
  </conditionalFormatting>
  <conditionalFormatting sqref="C60:C67 Q60:S67 L60:L67 F60:G67">
    <cfRule type="expression" dxfId="5769" priority="6009" stopIfTrue="1">
      <formula>$A60="Chkvlv"</formula>
    </cfRule>
  </conditionalFormatting>
  <conditionalFormatting sqref="D60:D67">
    <cfRule type="expression" dxfId="5768" priority="6010" stopIfTrue="1">
      <formula>$A60="Chkvlv"</formula>
    </cfRule>
    <cfRule type="expression" dxfId="5767" priority="6056" stopIfTrue="1">
      <formula>$A60="Triplog"</formula>
    </cfRule>
  </conditionalFormatting>
  <conditionalFormatting sqref="U60:U67 K60:K67">
    <cfRule type="expression" dxfId="5766" priority="6011" stopIfTrue="1">
      <formula>$A60="Chkvlv"</formula>
    </cfRule>
    <cfRule type="expression" dxfId="5765" priority="6029" stopIfTrue="1">
      <formula>$A60="Snglvol"</formula>
    </cfRule>
  </conditionalFormatting>
  <conditionalFormatting sqref="M60:M67">
    <cfRule type="expression" dxfId="5764" priority="6012" stopIfTrue="1">
      <formula>$A60="Chkvlv"</formula>
    </cfRule>
    <cfRule type="expression" dxfId="5763" priority="6030" stopIfTrue="1">
      <formula>$A60="Snglvol"</formula>
    </cfRule>
  </conditionalFormatting>
  <conditionalFormatting sqref="C60:C67">
    <cfRule type="expression" dxfId="5762" priority="6013" stopIfTrue="1">
      <formula>$A60="Inrvlv"</formula>
    </cfRule>
    <cfRule type="expression" dxfId="5761" priority="6037" stopIfTrue="1">
      <formula>$A60="Init"</formula>
    </cfRule>
    <cfRule type="expression" dxfId="5760" priority="6043" stopIfTrue="1">
      <formula>$A60="Timestep"</formula>
    </cfRule>
    <cfRule type="expression" dxfId="5759" priority="6055" stopIfTrue="1">
      <formula>$A60="Triplog"</formula>
    </cfRule>
  </conditionalFormatting>
  <conditionalFormatting sqref="Q60:R67 L60:L67 F60:G67 D60:D67">
    <cfRule type="expression" dxfId="5758" priority="6014" stopIfTrue="1">
      <formula>$A60="Inrvlv"</formula>
    </cfRule>
  </conditionalFormatting>
  <conditionalFormatting sqref="S60:S67">
    <cfRule type="expression" dxfId="5757" priority="6015" stopIfTrue="1">
      <formula>$A60="Inrvlv"</formula>
    </cfRule>
    <cfRule type="expression" dxfId="5756" priority="6019" stopIfTrue="1">
      <formula>$A60="Tmdpjun"</formula>
    </cfRule>
    <cfRule type="expression" dxfId="5755" priority="6022" stopIfTrue="1">
      <formula>$A60="Pump"</formula>
    </cfRule>
    <cfRule type="expression" dxfId="5754" priority="6025" stopIfTrue="1">
      <formula>$A60="Tmdpvol"</formula>
    </cfRule>
    <cfRule type="expression" dxfId="5753" priority="6032" stopIfTrue="1">
      <formula>$A60="Snglvol"</formula>
    </cfRule>
  </conditionalFormatting>
  <conditionalFormatting sqref="Q60:Q67 L60:L67 F60:G67 C60:D67">
    <cfRule type="expression" dxfId="5752" priority="6017" stopIfTrue="1">
      <formula>$A60="Tmdpjun"</formula>
    </cfRule>
  </conditionalFormatting>
  <conditionalFormatting sqref="Q60:Q67 L60:L67 D60:D67">
    <cfRule type="expression" dxfId="5751" priority="6020" stopIfTrue="1">
      <formula>$A60="Pump"</formula>
    </cfRule>
  </conditionalFormatting>
  <conditionalFormatting sqref="L60:P67 T60:T67 H60:I67 D60:D67">
    <cfRule type="expression" dxfId="5750" priority="6023" stopIfTrue="1">
      <formula>$A60="Tmdpvol"</formula>
    </cfRule>
  </conditionalFormatting>
  <conditionalFormatting sqref="B60:B67">
    <cfRule type="expression" dxfId="5749" priority="6026" stopIfTrue="1">
      <formula>$A60="Snglvol"</formula>
    </cfRule>
    <cfRule type="expression" dxfId="5748" priority="6036" stopIfTrue="1">
      <formula>$A60="Init"</formula>
    </cfRule>
    <cfRule type="expression" dxfId="5747" priority="6042" stopIfTrue="1">
      <formula>$A60="Timestep"</formula>
    </cfRule>
    <cfRule type="expression" dxfId="5746" priority="6047" stopIfTrue="1">
      <formula>$A60="Triggerwords"</formula>
    </cfRule>
    <cfRule type="expression" dxfId="5745" priority="6051" stopIfTrue="1">
      <formula>$A60="Tripvar"</formula>
    </cfRule>
  </conditionalFormatting>
  <conditionalFormatting sqref="T60:T67 N60:Q67 L60:L67 H60:I67 D60:D67">
    <cfRule type="expression" dxfId="5744" priority="6028" stopIfTrue="1">
      <formula>$A60="Snglvol"</formula>
    </cfRule>
  </conditionalFormatting>
  <conditionalFormatting sqref="A60:A67">
    <cfRule type="expression" dxfId="5743" priority="6033" stopIfTrue="1">
      <formula>$A60="Relapnr"</formula>
    </cfRule>
  </conditionalFormatting>
  <conditionalFormatting sqref="A60:A67">
    <cfRule type="expression" dxfId="5742" priority="6035" stopIfTrue="1">
      <formula>$A60="Init"</formula>
    </cfRule>
  </conditionalFormatting>
  <conditionalFormatting sqref="A60:A67">
    <cfRule type="expression" dxfId="5741" priority="6038" stopIfTrue="1">
      <formula>$A60="InitGas"</formula>
    </cfRule>
  </conditionalFormatting>
  <conditionalFormatting sqref="D60:D67 A60:A67">
    <cfRule type="expression" dxfId="5740" priority="6041" stopIfTrue="1">
      <formula>$A60="Timestep"</formula>
    </cfRule>
  </conditionalFormatting>
  <conditionalFormatting sqref="A60:A67">
    <cfRule type="expression" dxfId="5739" priority="6044" stopIfTrue="1">
      <formula>$A60="Replacements"</formula>
    </cfRule>
  </conditionalFormatting>
  <conditionalFormatting sqref="A60:A67">
    <cfRule type="expression" dxfId="5738" priority="6046" stopIfTrue="1">
      <formula>$A60="Triggerwords"</formula>
    </cfRule>
  </conditionalFormatting>
  <conditionalFormatting sqref="A60:A67">
    <cfRule type="expression" dxfId="5737" priority="6048" stopIfTrue="1">
      <formula>$A60="Custom"</formula>
    </cfRule>
  </conditionalFormatting>
  <conditionalFormatting sqref="F60:I67 D60:D67 A60:A67">
    <cfRule type="expression" dxfId="5736" priority="6050" stopIfTrue="1">
      <formula>$A60="Tripvar"</formula>
    </cfRule>
  </conditionalFormatting>
  <conditionalFormatting sqref="F60:F67 A60:A67">
    <cfRule type="expression" dxfId="5735" priority="6053" stopIfTrue="1">
      <formula>$A60="Triplog"</formula>
    </cfRule>
  </conditionalFormatting>
  <conditionalFormatting sqref="E61:E67">
    <cfRule type="expression" dxfId="5734" priority="5975" stopIfTrue="1">
      <formula>$A61="Pipe"</formula>
    </cfRule>
  </conditionalFormatting>
  <conditionalFormatting sqref="E61:E67">
    <cfRule type="expression" dxfId="5733" priority="5976" stopIfTrue="1">
      <formula>$A61="Junction"</formula>
    </cfRule>
  </conditionalFormatting>
  <conditionalFormatting sqref="E61:E67">
    <cfRule type="expression" dxfId="5732" priority="5977" stopIfTrue="1">
      <formula>$A61="Sngljun"</formula>
    </cfRule>
  </conditionalFormatting>
  <conditionalFormatting sqref="E61:E67">
    <cfRule type="expression" dxfId="5731" priority="5978" stopIfTrue="1">
      <formula>$A61="Mtrvlv"</formula>
    </cfRule>
  </conditionalFormatting>
  <conditionalFormatting sqref="E61:E67">
    <cfRule type="expression" dxfId="5730" priority="5979" stopIfTrue="1">
      <formula>$A61="Srvvlv"</formula>
    </cfRule>
  </conditionalFormatting>
  <conditionalFormatting sqref="E61:E67">
    <cfRule type="expression" dxfId="5729" priority="5980" stopIfTrue="1">
      <formula>$A61="Chkvlv"</formula>
    </cfRule>
  </conditionalFormatting>
  <conditionalFormatting sqref="E61:E67">
    <cfRule type="expression" dxfId="5728" priority="5981" stopIfTrue="1">
      <formula>$A61="Inrvlv"</formula>
    </cfRule>
  </conditionalFormatting>
  <conditionalFormatting sqref="E61:E67">
    <cfRule type="expression" dxfId="5727" priority="5982" stopIfTrue="1">
      <formula>$A61="Tmdpjun"</formula>
    </cfRule>
  </conditionalFormatting>
  <conditionalFormatting sqref="E61:E67">
    <cfRule type="expression" dxfId="5726" priority="5983" stopIfTrue="1">
      <formula>$A61="Pump"</formula>
    </cfRule>
  </conditionalFormatting>
  <conditionalFormatting sqref="E61:E67">
    <cfRule type="expression" dxfId="5725" priority="5984" stopIfTrue="1">
      <formula>$A61="Tmdpvol"</formula>
    </cfRule>
  </conditionalFormatting>
  <conditionalFormatting sqref="E61:E67">
    <cfRule type="expression" dxfId="5724" priority="5985" stopIfTrue="1">
      <formula>$A61="Snglvol"</formula>
    </cfRule>
  </conditionalFormatting>
  <conditionalFormatting sqref="E61:E67">
    <cfRule type="expression" dxfId="5723" priority="5986" stopIfTrue="1">
      <formula>$A61="Timestep"</formula>
    </cfRule>
  </conditionalFormatting>
  <conditionalFormatting sqref="E61:E67">
    <cfRule type="expression" dxfId="5722" priority="5987" stopIfTrue="1">
      <formula>$A61="Tripvar"</formula>
    </cfRule>
  </conditionalFormatting>
  <conditionalFormatting sqref="E61:E67">
    <cfRule type="expression" dxfId="5721" priority="5988" stopIfTrue="1">
      <formula>$A61="Triplog"</formula>
    </cfRule>
  </conditionalFormatting>
  <conditionalFormatting sqref="F78:L79 A78:D79 Q78:Q79 U78:V79">
    <cfRule type="expression" dxfId="5720" priority="5907" stopIfTrue="1">
      <formula>$A78="Pipe"</formula>
    </cfRule>
  </conditionalFormatting>
  <conditionalFormatting sqref="H78:K79 A78:B79 U78:V79 M78:P79">
    <cfRule type="expression" dxfId="5719" priority="5908" stopIfTrue="1">
      <formula>$A78="Junction"</formula>
    </cfRule>
  </conditionalFormatting>
  <conditionalFormatting sqref="H78:K79 A78:B79 T78:V79 M78:P79">
    <cfRule type="expression" dxfId="5718" priority="5909" stopIfTrue="1">
      <formula>$A78="Mtrvlv"</formula>
    </cfRule>
  </conditionalFormatting>
  <conditionalFormatting sqref="H78:K79 B78:B79 T78:V79 M78:P79">
    <cfRule type="expression" dxfId="5717" priority="5910" stopIfTrue="1">
      <formula>$A78="Srvvlv"</formula>
    </cfRule>
  </conditionalFormatting>
  <conditionalFormatting sqref="H78:J79 A78:A79 N78:P79 T78:T79 V78:V79">
    <cfRule type="expression" dxfId="5716" priority="5911" stopIfTrue="1">
      <formula>$A78="Chkvlv"</formula>
    </cfRule>
  </conditionalFormatting>
  <conditionalFormatting sqref="H78:K79 A78:B79 T78:V79 M78:P79">
    <cfRule type="expression" dxfId="5715" priority="5912" stopIfTrue="1">
      <formula>$A78="Inrvlv"</formula>
    </cfRule>
  </conditionalFormatting>
  <conditionalFormatting sqref="H78:K79 B78:B79 T78:V79 M78:P79">
    <cfRule type="expression" dxfId="5714" priority="5913" stopIfTrue="1">
      <formula>$A78="Tmdpjun"</formula>
    </cfRule>
  </conditionalFormatting>
  <conditionalFormatting sqref="F78:K79 A78:C79 T78:V79 M78:P79">
    <cfRule type="expression" dxfId="5713" priority="5914" stopIfTrue="1">
      <formula>$A78="Pump"</formula>
    </cfRule>
  </conditionalFormatting>
  <conditionalFormatting sqref="A78:C79 F78:G79 J78:K79 Q78:Q79 U78:V79">
    <cfRule type="expression" dxfId="5712" priority="5915" stopIfTrue="1">
      <formula>$A78="Tmdpvol"</formula>
    </cfRule>
  </conditionalFormatting>
  <conditionalFormatting sqref="A78:A79 F78:G79 J78:J79 V78:V79">
    <cfRule type="expression" dxfId="5711" priority="5916" stopIfTrue="1">
      <formula>$A78="Snglvol"</formula>
    </cfRule>
  </conditionalFormatting>
  <conditionalFormatting sqref="H78:K79 A78:B79 U78:V79 M78:P79">
    <cfRule type="expression" dxfId="5710" priority="5917" stopIfTrue="1">
      <formula>$A78="Sngljun"</formula>
    </cfRule>
  </conditionalFormatting>
  <conditionalFormatting sqref="R78:T79 M78:P79">
    <cfRule type="expression" dxfId="5709" priority="5918" stopIfTrue="1">
      <formula>$A78="Pipe"</formula>
    </cfRule>
  </conditionalFormatting>
  <conditionalFormatting sqref="C78:C79">
    <cfRule type="expression" dxfId="5708" priority="5919" stopIfTrue="1">
      <formula>$A78="Junction"</formula>
    </cfRule>
    <cfRule type="expression" dxfId="5707" priority="5945" stopIfTrue="1">
      <formula>$A78="Snglvol"</formula>
    </cfRule>
    <cfRule type="expression" dxfId="5706" priority="5958" stopIfTrue="1">
      <formula>$A78="InitGas"</formula>
    </cfRule>
    <cfRule type="expression" dxfId="5705" priority="5970" stopIfTrue="1">
      <formula>$A78="Tripvar"</formula>
    </cfRule>
  </conditionalFormatting>
  <conditionalFormatting sqref="D78:D79 F78:G79 L78:L79 Q78:T79">
    <cfRule type="expression" dxfId="5704" priority="5920" stopIfTrue="1">
      <formula>$A78="Junction"</formula>
    </cfRule>
  </conditionalFormatting>
  <conditionalFormatting sqref="C78:D79 F78:G79 L78:L79 Q78:T79">
    <cfRule type="expression" dxfId="5703" priority="5921" stopIfTrue="1">
      <formula>$A78="Sngljun"</formula>
    </cfRule>
  </conditionalFormatting>
  <conditionalFormatting sqref="C78:D79 F78:G79 L78:L79 Q78:S79">
    <cfRule type="expression" dxfId="5702" priority="5922" stopIfTrue="1">
      <formula>$A78="Mtrvlv"</formula>
    </cfRule>
  </conditionalFormatting>
  <conditionalFormatting sqref="A78:A79">
    <cfRule type="expression" dxfId="5701" priority="5923" stopIfTrue="1">
      <formula>$A78="Srvvlv"</formula>
    </cfRule>
    <cfRule type="expression" dxfId="5700" priority="5934" stopIfTrue="1">
      <formula>$A78="Tmdpjun"</formula>
    </cfRule>
  </conditionalFormatting>
  <conditionalFormatting sqref="C78:D79 F78:G79 L78:L79 Q78:Q79 S78:S79">
    <cfRule type="expression" dxfId="5699" priority="5924" stopIfTrue="1">
      <formula>$A78="Srvvlv"</formula>
    </cfRule>
  </conditionalFormatting>
  <conditionalFormatting sqref="R78:R79">
    <cfRule type="expression" dxfId="5698" priority="5925" stopIfTrue="1">
      <formula>$A78="Srvvlv"</formula>
    </cfRule>
    <cfRule type="expression" dxfId="5697" priority="5936" stopIfTrue="1">
      <formula>$A78="Tmdpjun"</formula>
    </cfRule>
    <cfRule type="expression" dxfId="5696" priority="5939" stopIfTrue="1">
      <formula>$A78="Pump"</formula>
    </cfRule>
    <cfRule type="expression" dxfId="5695" priority="5942" stopIfTrue="1">
      <formula>$A78="Tmdpvol"</formula>
    </cfRule>
    <cfRule type="expression" dxfId="5694" priority="5949" stopIfTrue="1">
      <formula>$A78="Snglvol"</formula>
    </cfRule>
  </conditionalFormatting>
  <conditionalFormatting sqref="B78:B79">
    <cfRule type="expression" dxfId="5693" priority="5926" stopIfTrue="1">
      <formula>$A78="Chkvlv"</formula>
    </cfRule>
    <cfRule type="expression" dxfId="5692" priority="5952" stopIfTrue="1">
      <formula>$A78="Relapnr"</formula>
    </cfRule>
    <cfRule type="expression" dxfId="5691" priority="5957" stopIfTrue="1">
      <formula>$A78="InitGas"</formula>
    </cfRule>
    <cfRule type="expression" dxfId="5690" priority="5963" stopIfTrue="1">
      <formula>$A78="Replacements"</formula>
    </cfRule>
    <cfRule type="expression" dxfId="5689" priority="5967" stopIfTrue="1">
      <formula>$A78="Custom"</formula>
    </cfRule>
    <cfRule type="expression" dxfId="5688" priority="5972" stopIfTrue="1">
      <formula>$A78="Triplog"</formula>
    </cfRule>
  </conditionalFormatting>
  <conditionalFormatting sqref="F78:G79 L78:L79 Q78:S79 C78:C79">
    <cfRule type="expression" dxfId="5687" priority="5927" stopIfTrue="1">
      <formula>$A78="Chkvlv"</formula>
    </cfRule>
  </conditionalFormatting>
  <conditionalFormatting sqref="D78:D79">
    <cfRule type="expression" dxfId="5686" priority="5928" stopIfTrue="1">
      <formula>$A78="Chkvlv"</formula>
    </cfRule>
    <cfRule type="expression" dxfId="5685" priority="5974" stopIfTrue="1">
      <formula>$A78="Triplog"</formula>
    </cfRule>
  </conditionalFormatting>
  <conditionalFormatting sqref="K78:K79 U78:U79">
    <cfRule type="expression" dxfId="5684" priority="5929" stopIfTrue="1">
      <formula>$A78="Chkvlv"</formula>
    </cfRule>
    <cfRule type="expression" dxfId="5683" priority="5947" stopIfTrue="1">
      <formula>$A78="Snglvol"</formula>
    </cfRule>
  </conditionalFormatting>
  <conditionalFormatting sqref="M78:M79">
    <cfRule type="expression" dxfId="5682" priority="5930" stopIfTrue="1">
      <formula>$A78="Chkvlv"</formula>
    </cfRule>
    <cfRule type="expression" dxfId="5681" priority="5948" stopIfTrue="1">
      <formula>$A78="Snglvol"</formula>
    </cfRule>
  </conditionalFormatting>
  <conditionalFormatting sqref="C78:C79">
    <cfRule type="expression" dxfId="5680" priority="5931" stopIfTrue="1">
      <formula>$A78="Inrvlv"</formula>
    </cfRule>
    <cfRule type="expression" dxfId="5679" priority="5955" stopIfTrue="1">
      <formula>$A78="Init"</formula>
    </cfRule>
    <cfRule type="expression" dxfId="5678" priority="5961" stopIfTrue="1">
      <formula>$A78="Timestep"</formula>
    </cfRule>
    <cfRule type="expression" dxfId="5677" priority="5973" stopIfTrue="1">
      <formula>$A78="Triplog"</formula>
    </cfRule>
  </conditionalFormatting>
  <conditionalFormatting sqref="D78:D79 F78:G79 L78:L79 Q78:R79">
    <cfRule type="expression" dxfId="5676" priority="5932" stopIfTrue="1">
      <formula>$A78="Inrvlv"</formula>
    </cfRule>
  </conditionalFormatting>
  <conditionalFormatting sqref="S78:S79">
    <cfRule type="expression" dxfId="5675" priority="5933" stopIfTrue="1">
      <formula>$A78="Inrvlv"</formula>
    </cfRule>
    <cfRule type="expression" dxfId="5674" priority="5937" stopIfTrue="1">
      <formula>$A78="Tmdpjun"</formula>
    </cfRule>
    <cfRule type="expression" dxfId="5673" priority="5940" stopIfTrue="1">
      <formula>$A78="Pump"</formula>
    </cfRule>
    <cfRule type="expression" dxfId="5672" priority="5943" stopIfTrue="1">
      <formula>$A78="Tmdpvol"</formula>
    </cfRule>
    <cfRule type="expression" dxfId="5671" priority="5950" stopIfTrue="1">
      <formula>$A78="Snglvol"</formula>
    </cfRule>
  </conditionalFormatting>
  <conditionalFormatting sqref="C78:D79 F78:G79 L78:L79 Q78:Q79">
    <cfRule type="expression" dxfId="5670" priority="5935" stopIfTrue="1">
      <formula>$A78="Tmdpjun"</formula>
    </cfRule>
  </conditionalFormatting>
  <conditionalFormatting sqref="D78:D79 L78:L79 Q78:Q79">
    <cfRule type="expression" dxfId="5669" priority="5938" stopIfTrue="1">
      <formula>$A78="Pump"</formula>
    </cfRule>
  </conditionalFormatting>
  <conditionalFormatting sqref="D78:D79 H78:I79 T78:T79 L78:P79">
    <cfRule type="expression" dxfId="5668" priority="5941" stopIfTrue="1">
      <formula>$A78="Tmdpvol"</formula>
    </cfRule>
  </conditionalFormatting>
  <conditionalFormatting sqref="B78:B79">
    <cfRule type="expression" dxfId="5667" priority="5944" stopIfTrue="1">
      <formula>$A78="Snglvol"</formula>
    </cfRule>
    <cfRule type="expression" dxfId="5666" priority="5954" stopIfTrue="1">
      <formula>$A78="Init"</formula>
    </cfRule>
    <cfRule type="expression" dxfId="5665" priority="5960" stopIfTrue="1">
      <formula>$A78="Timestep"</formula>
    </cfRule>
    <cfRule type="expression" dxfId="5664" priority="5965" stopIfTrue="1">
      <formula>$A78="Triggerwords"</formula>
    </cfRule>
    <cfRule type="expression" dxfId="5663" priority="5969" stopIfTrue="1">
      <formula>$A78="Tripvar"</formula>
    </cfRule>
  </conditionalFormatting>
  <conditionalFormatting sqref="D78:D79 H78:I79 L78:L79 N78:Q79 T78:T79">
    <cfRule type="expression" dxfId="5662" priority="5946" stopIfTrue="1">
      <formula>$A78="Snglvol"</formula>
    </cfRule>
  </conditionalFormatting>
  <conditionalFormatting sqref="A78:A79">
    <cfRule type="expression" dxfId="5661" priority="5951" stopIfTrue="1">
      <formula>$A78="Relapnr"</formula>
    </cfRule>
  </conditionalFormatting>
  <conditionalFormatting sqref="A78:A79">
    <cfRule type="expression" dxfId="5660" priority="5953" stopIfTrue="1">
      <formula>$A78="Init"</formula>
    </cfRule>
  </conditionalFormatting>
  <conditionalFormatting sqref="A78:A79">
    <cfRule type="expression" dxfId="5659" priority="5956" stopIfTrue="1">
      <formula>$A78="InitGas"</formula>
    </cfRule>
  </conditionalFormatting>
  <conditionalFormatting sqref="D78:D79 A78:A79">
    <cfRule type="expression" dxfId="5658" priority="5959" stopIfTrue="1">
      <formula>$A78="Timestep"</formula>
    </cfRule>
  </conditionalFormatting>
  <conditionalFormatting sqref="A78:A79">
    <cfRule type="expression" dxfId="5657" priority="5962" stopIfTrue="1">
      <formula>$A78="Replacements"</formula>
    </cfRule>
  </conditionalFormatting>
  <conditionalFormatting sqref="A78:A79">
    <cfRule type="expression" dxfId="5656" priority="5964" stopIfTrue="1">
      <formula>$A78="Triggerwords"</formula>
    </cfRule>
  </conditionalFormatting>
  <conditionalFormatting sqref="A78:A79">
    <cfRule type="expression" dxfId="5655" priority="5966" stopIfTrue="1">
      <formula>$A78="Custom"</formula>
    </cfRule>
  </conditionalFormatting>
  <conditionalFormatting sqref="D78:D79 F78:I79 A78:A79">
    <cfRule type="expression" dxfId="5654" priority="5968" stopIfTrue="1">
      <formula>$A78="Tripvar"</formula>
    </cfRule>
  </conditionalFormatting>
  <conditionalFormatting sqref="F78:F79 A78:A79">
    <cfRule type="expression" dxfId="5653" priority="5971" stopIfTrue="1">
      <formula>$A78="Triplog"</formula>
    </cfRule>
  </conditionalFormatting>
  <conditionalFormatting sqref="E78:E79">
    <cfRule type="expression" dxfId="5652" priority="5893" stopIfTrue="1">
      <formula>$A78="Pipe"</formula>
    </cfRule>
  </conditionalFormatting>
  <conditionalFormatting sqref="E78:E79">
    <cfRule type="expression" dxfId="5651" priority="5894" stopIfTrue="1">
      <formula>$A78="Junction"</formula>
    </cfRule>
  </conditionalFormatting>
  <conditionalFormatting sqref="E78:E79">
    <cfRule type="expression" dxfId="5650" priority="5895" stopIfTrue="1">
      <formula>$A78="Sngljun"</formula>
    </cfRule>
  </conditionalFormatting>
  <conditionalFormatting sqref="E78:E79">
    <cfRule type="expression" dxfId="5649" priority="5896" stopIfTrue="1">
      <formula>$A78="Mtrvlv"</formula>
    </cfRule>
  </conditionalFormatting>
  <conditionalFormatting sqref="E78:E79">
    <cfRule type="expression" dxfId="5648" priority="5897" stopIfTrue="1">
      <formula>$A78="Srvvlv"</formula>
    </cfRule>
  </conditionalFormatting>
  <conditionalFormatting sqref="E78:E79">
    <cfRule type="expression" dxfId="5647" priority="5898" stopIfTrue="1">
      <formula>$A78="Chkvlv"</formula>
    </cfRule>
  </conditionalFormatting>
  <conditionalFormatting sqref="E78:E79">
    <cfRule type="expression" dxfId="5646" priority="5899" stopIfTrue="1">
      <formula>$A78="Inrvlv"</formula>
    </cfRule>
  </conditionalFormatting>
  <conditionalFormatting sqref="E78:E79">
    <cfRule type="expression" dxfId="5645" priority="5900" stopIfTrue="1">
      <formula>$A78="Tmdpjun"</formula>
    </cfRule>
  </conditionalFormatting>
  <conditionalFormatting sqref="E78:E79">
    <cfRule type="expression" dxfId="5644" priority="5901" stopIfTrue="1">
      <formula>$A78="Pump"</formula>
    </cfRule>
  </conditionalFormatting>
  <conditionalFormatting sqref="E78:E79">
    <cfRule type="expression" dxfId="5643" priority="5902" stopIfTrue="1">
      <formula>$A78="Tmdpvol"</formula>
    </cfRule>
  </conditionalFormatting>
  <conditionalFormatting sqref="E78:E79">
    <cfRule type="expression" dxfId="5642" priority="5903" stopIfTrue="1">
      <formula>$A78="Snglvol"</formula>
    </cfRule>
  </conditionalFormatting>
  <conditionalFormatting sqref="E78:E79">
    <cfRule type="expression" dxfId="5641" priority="5904" stopIfTrue="1">
      <formula>$A78="Timestep"</formula>
    </cfRule>
  </conditionalFormatting>
  <conditionalFormatting sqref="E78:E79">
    <cfRule type="expression" dxfId="5640" priority="5905" stopIfTrue="1">
      <formula>$A78="Tripvar"</formula>
    </cfRule>
  </conditionalFormatting>
  <conditionalFormatting sqref="E78:E79">
    <cfRule type="expression" dxfId="5639" priority="5906" stopIfTrue="1">
      <formula>$A78="Triplog"</formula>
    </cfRule>
  </conditionalFormatting>
  <conditionalFormatting sqref="L68">
    <cfRule type="expression" dxfId="5638" priority="5882" stopIfTrue="1">
      <formula>$A68="Pipe"</formula>
    </cfRule>
  </conditionalFormatting>
  <conditionalFormatting sqref="L68">
    <cfRule type="expression" dxfId="5637" priority="5883" stopIfTrue="1">
      <formula>$A68="Junction"</formula>
    </cfRule>
  </conditionalFormatting>
  <conditionalFormatting sqref="L68">
    <cfRule type="expression" dxfId="5636" priority="5884" stopIfTrue="1">
      <formula>$A68="Sngljun"</formula>
    </cfRule>
  </conditionalFormatting>
  <conditionalFormatting sqref="L68">
    <cfRule type="expression" dxfId="5635" priority="5885" stopIfTrue="1">
      <formula>$A68="Mtrvlv"</formula>
    </cfRule>
  </conditionalFormatting>
  <conditionalFormatting sqref="L68">
    <cfRule type="expression" dxfId="5634" priority="5886" stopIfTrue="1">
      <formula>$A68="Srvvlv"</formula>
    </cfRule>
  </conditionalFormatting>
  <conditionalFormatting sqref="L68">
    <cfRule type="expression" dxfId="5633" priority="5887" stopIfTrue="1">
      <formula>$A68="Chkvlv"</formula>
    </cfRule>
  </conditionalFormatting>
  <conditionalFormatting sqref="L68">
    <cfRule type="expression" dxfId="5632" priority="5888" stopIfTrue="1">
      <formula>$A68="Inrvlv"</formula>
    </cfRule>
  </conditionalFormatting>
  <conditionalFormatting sqref="L68">
    <cfRule type="expression" dxfId="5631" priority="5889" stopIfTrue="1">
      <formula>$A68="Tmdpjun"</formula>
    </cfRule>
  </conditionalFormatting>
  <conditionalFormatting sqref="L68">
    <cfRule type="expression" dxfId="5630" priority="5890" stopIfTrue="1">
      <formula>$A68="Pump"</formula>
    </cfRule>
  </conditionalFormatting>
  <conditionalFormatting sqref="L68">
    <cfRule type="expression" dxfId="5629" priority="5891" stopIfTrue="1">
      <formula>$A68="Tmdpvol"</formula>
    </cfRule>
  </conditionalFormatting>
  <conditionalFormatting sqref="L68">
    <cfRule type="expression" dxfId="5628" priority="5892" stopIfTrue="1">
      <formula>$A68="Snglvol"</formula>
    </cfRule>
  </conditionalFormatting>
  <conditionalFormatting sqref="L80">
    <cfRule type="expression" dxfId="5627" priority="5871" stopIfTrue="1">
      <formula>$A80="Pipe"</formula>
    </cfRule>
  </conditionalFormatting>
  <conditionalFormatting sqref="L80">
    <cfRule type="expression" dxfId="5626" priority="5872" stopIfTrue="1">
      <formula>$A80="Junction"</formula>
    </cfRule>
  </conditionalFormatting>
  <conditionalFormatting sqref="L80">
    <cfRule type="expression" dxfId="5625" priority="5873" stopIfTrue="1">
      <formula>$A80="Sngljun"</formula>
    </cfRule>
  </conditionalFormatting>
  <conditionalFormatting sqref="L80">
    <cfRule type="expression" dxfId="5624" priority="5874" stopIfTrue="1">
      <formula>$A80="Mtrvlv"</formula>
    </cfRule>
  </conditionalFormatting>
  <conditionalFormatting sqref="L80">
    <cfRule type="expression" dxfId="5623" priority="5875" stopIfTrue="1">
      <formula>$A80="Srvvlv"</formula>
    </cfRule>
  </conditionalFormatting>
  <conditionalFormatting sqref="L80">
    <cfRule type="expression" dxfId="5622" priority="5876" stopIfTrue="1">
      <formula>$A80="Chkvlv"</formula>
    </cfRule>
  </conditionalFormatting>
  <conditionalFormatting sqref="L80">
    <cfRule type="expression" dxfId="5621" priority="5877" stopIfTrue="1">
      <formula>$A80="Inrvlv"</formula>
    </cfRule>
  </conditionalFormatting>
  <conditionalFormatting sqref="L80">
    <cfRule type="expression" dxfId="5620" priority="5878" stopIfTrue="1">
      <formula>$A80="Tmdpjun"</formula>
    </cfRule>
  </conditionalFormatting>
  <conditionalFormatting sqref="L80">
    <cfRule type="expression" dxfId="5619" priority="5879" stopIfTrue="1">
      <formula>$A80="Pump"</formula>
    </cfRule>
  </conditionalFormatting>
  <conditionalFormatting sqref="L80">
    <cfRule type="expression" dxfId="5618" priority="5880" stopIfTrue="1">
      <formula>$A80="Tmdpvol"</formula>
    </cfRule>
  </conditionalFormatting>
  <conditionalFormatting sqref="L80">
    <cfRule type="expression" dxfId="5617" priority="5881" stopIfTrue="1">
      <formula>$A80="Snglvol"</formula>
    </cfRule>
  </conditionalFormatting>
  <conditionalFormatting sqref="F203:L206 A203:D206 Q203:Q206 U203:V206">
    <cfRule type="expression" dxfId="5616" priority="5789" stopIfTrue="1">
      <formula>$A203="Pipe"</formula>
    </cfRule>
  </conditionalFormatting>
  <conditionalFormatting sqref="H203:K206 A203:B206 U203:V206 M203:P206">
    <cfRule type="expression" dxfId="5615" priority="5790" stopIfTrue="1">
      <formula>$A203="Junction"</formula>
    </cfRule>
  </conditionalFormatting>
  <conditionalFormatting sqref="H203:K206 A203:B206 T203:V206 M203:P206">
    <cfRule type="expression" dxfId="5614" priority="5791" stopIfTrue="1">
      <formula>$A203="Mtrvlv"</formula>
    </cfRule>
  </conditionalFormatting>
  <conditionalFormatting sqref="H203:K206 B203:B206 T203:V206 M203:P206">
    <cfRule type="expression" dxfId="5613" priority="5792" stopIfTrue="1">
      <formula>$A203="Srvvlv"</formula>
    </cfRule>
  </conditionalFormatting>
  <conditionalFormatting sqref="H203:J206 A203:A206 N203:P206 T203:T206 V203:V206">
    <cfRule type="expression" dxfId="5612" priority="5793" stopIfTrue="1">
      <formula>$A203="Chkvlv"</formula>
    </cfRule>
  </conditionalFormatting>
  <conditionalFormatting sqref="H203:K206 A203:B206 T203:V206 M203:P206">
    <cfRule type="expression" dxfId="5611" priority="5794" stopIfTrue="1">
      <formula>$A203="Inrvlv"</formula>
    </cfRule>
  </conditionalFormatting>
  <conditionalFormatting sqref="H203:K206 B203:B206 T203:V206 M203:P206">
    <cfRule type="expression" dxfId="5610" priority="5795" stopIfTrue="1">
      <formula>$A203="Tmdpjun"</formula>
    </cfRule>
  </conditionalFormatting>
  <conditionalFormatting sqref="F203:K206 A203:C206 T203:V206 M203:P206">
    <cfRule type="expression" dxfId="5609" priority="5796" stopIfTrue="1">
      <formula>$A203="Pump"</formula>
    </cfRule>
  </conditionalFormatting>
  <conditionalFormatting sqref="A203:C206 F203:G206 J203:K206 Q203:Q206 U203:V206">
    <cfRule type="expression" dxfId="5608" priority="5797" stopIfTrue="1">
      <formula>$A203="Tmdpvol"</formula>
    </cfRule>
  </conditionalFormatting>
  <conditionalFormatting sqref="A203:A206 F203:G206 J203:J206 V203:V206">
    <cfRule type="expression" dxfId="5607" priority="5798" stopIfTrue="1">
      <formula>$A203="Snglvol"</formula>
    </cfRule>
  </conditionalFormatting>
  <conditionalFormatting sqref="H203:K206 A203:B206 U203:V206 M203:P206">
    <cfRule type="expression" dxfId="5606" priority="5799" stopIfTrue="1">
      <formula>$A203="Sngljun"</formula>
    </cfRule>
  </conditionalFormatting>
  <conditionalFormatting sqref="E203:E205">
    <cfRule type="expression" dxfId="5605" priority="5800" stopIfTrue="1">
      <formula>$A203="Pipe"</formula>
    </cfRule>
  </conditionalFormatting>
  <conditionalFormatting sqref="R203:T206 M203:P206">
    <cfRule type="expression" dxfId="5604" priority="5801" stopIfTrue="1">
      <formula>$A203="Pipe"</formula>
    </cfRule>
  </conditionalFormatting>
  <conditionalFormatting sqref="C203:C206">
    <cfRule type="expression" dxfId="5603" priority="5802" stopIfTrue="1">
      <formula>$A203="Junction"</formula>
    </cfRule>
    <cfRule type="expression" dxfId="5602" priority="5837" stopIfTrue="1">
      <formula>$A203="Snglvol"</formula>
    </cfRule>
    <cfRule type="expression" dxfId="5601" priority="5851" stopIfTrue="1">
      <formula>$A203="InitGas"</formula>
    </cfRule>
    <cfRule type="expression" dxfId="5600" priority="5864" stopIfTrue="1">
      <formula>$A203="Tripvar"</formula>
    </cfRule>
  </conditionalFormatting>
  <conditionalFormatting sqref="D203:D206 F203:G206 L203:L206 Q203:T206">
    <cfRule type="expression" dxfId="5599" priority="5803" stopIfTrue="1">
      <formula>$A203="Junction"</formula>
    </cfRule>
  </conditionalFormatting>
  <conditionalFormatting sqref="E203:E205">
    <cfRule type="expression" dxfId="5598" priority="5804" stopIfTrue="1">
      <formula>$A203="Junction"</formula>
    </cfRule>
  </conditionalFormatting>
  <conditionalFormatting sqref="C203:D206 F203:G206 L203:L206 Q203:T206">
    <cfRule type="expression" dxfId="5597" priority="5805" stopIfTrue="1">
      <formula>$A203="Sngljun"</formula>
    </cfRule>
  </conditionalFormatting>
  <conditionalFormatting sqref="E203:E205">
    <cfRule type="expression" dxfId="5596" priority="5806" stopIfTrue="1">
      <formula>$A203="Sngljun"</formula>
    </cfRule>
  </conditionalFormatting>
  <conditionalFormatting sqref="C203:D206 F203:G206 L203:L206 Q203:S206">
    <cfRule type="expression" dxfId="5595" priority="5807" stopIfTrue="1">
      <formula>$A203="Mtrvlv"</formula>
    </cfRule>
  </conditionalFormatting>
  <conditionalFormatting sqref="E203:E205">
    <cfRule type="expression" dxfId="5594" priority="5808" stopIfTrue="1">
      <formula>$A203="Mtrvlv"</formula>
    </cfRule>
  </conditionalFormatting>
  <conditionalFormatting sqref="A203:A206">
    <cfRule type="expression" dxfId="5593" priority="5809" stopIfTrue="1">
      <formula>$A203="Srvvlv"</formula>
    </cfRule>
    <cfRule type="expression" dxfId="5592" priority="5823" stopIfTrue="1">
      <formula>$A203="Tmdpjun"</formula>
    </cfRule>
  </conditionalFormatting>
  <conditionalFormatting sqref="C203:D206 F203:G206 L203:L206 Q203:Q206 S203:S206">
    <cfRule type="expression" dxfId="5591" priority="5810" stopIfTrue="1">
      <formula>$A203="Srvvlv"</formula>
    </cfRule>
  </conditionalFormatting>
  <conditionalFormatting sqref="E203:E205">
    <cfRule type="expression" dxfId="5590" priority="5811" stopIfTrue="1">
      <formula>$A203="Srvvlv"</formula>
    </cfRule>
  </conditionalFormatting>
  <conditionalFormatting sqref="R203:R206">
    <cfRule type="expression" dxfId="5589" priority="5812" stopIfTrue="1">
      <formula>$A203="Srvvlv"</formula>
    </cfRule>
    <cfRule type="expression" dxfId="5588" priority="5826" stopIfTrue="1">
      <formula>$A203="Tmdpjun"</formula>
    </cfRule>
    <cfRule type="expression" dxfId="5587" priority="5830" stopIfTrue="1">
      <formula>$A203="Pump"</formula>
    </cfRule>
    <cfRule type="expression" dxfId="5586" priority="5834" stopIfTrue="1">
      <formula>$A203="Tmdpvol"</formula>
    </cfRule>
    <cfRule type="expression" dxfId="5585" priority="5842" stopIfTrue="1">
      <formula>$A203="Snglvol"</formula>
    </cfRule>
  </conditionalFormatting>
  <conditionalFormatting sqref="B203:B206">
    <cfRule type="expression" dxfId="5584" priority="5813" stopIfTrue="1">
      <formula>$A203="Chkvlv"</formula>
    </cfRule>
    <cfRule type="expression" dxfId="5583" priority="5845" stopIfTrue="1">
      <formula>$A203="Relapnr"</formula>
    </cfRule>
    <cfRule type="expression" dxfId="5582" priority="5850" stopIfTrue="1">
      <formula>$A203="InitGas"</formula>
    </cfRule>
    <cfRule type="expression" dxfId="5581" priority="5857" stopIfTrue="1">
      <formula>$A203="Replacements"</formula>
    </cfRule>
    <cfRule type="expression" dxfId="5580" priority="5861" stopIfTrue="1">
      <formula>$A203="Custom"</formula>
    </cfRule>
    <cfRule type="expression" dxfId="5579" priority="5867" stopIfTrue="1">
      <formula>$A203="Triplog"</formula>
    </cfRule>
  </conditionalFormatting>
  <conditionalFormatting sqref="F203:G206 L203:L206 Q203:S206 C203:C206">
    <cfRule type="expression" dxfId="5578" priority="5814" stopIfTrue="1">
      <formula>$A203="Chkvlv"</formula>
    </cfRule>
  </conditionalFormatting>
  <conditionalFormatting sqref="D203:D206">
    <cfRule type="expression" dxfId="5577" priority="5815" stopIfTrue="1">
      <formula>$A203="Chkvlv"</formula>
    </cfRule>
    <cfRule type="expression" dxfId="5576" priority="5869" stopIfTrue="1">
      <formula>$A203="Triplog"</formula>
    </cfRule>
  </conditionalFormatting>
  <conditionalFormatting sqref="E203:E205">
    <cfRule type="expression" dxfId="5575" priority="5816" stopIfTrue="1">
      <formula>$A203="Chkvlv"</formula>
    </cfRule>
  </conditionalFormatting>
  <conditionalFormatting sqref="K203:K206 U203:U206">
    <cfRule type="expression" dxfId="5574" priority="5817" stopIfTrue="1">
      <formula>$A203="Chkvlv"</formula>
    </cfRule>
    <cfRule type="expression" dxfId="5573" priority="5840" stopIfTrue="1">
      <formula>$A203="Snglvol"</formula>
    </cfRule>
  </conditionalFormatting>
  <conditionalFormatting sqref="M203:M206">
    <cfRule type="expression" dxfId="5572" priority="5818" stopIfTrue="1">
      <formula>$A203="Chkvlv"</formula>
    </cfRule>
    <cfRule type="expression" dxfId="5571" priority="5841" stopIfTrue="1">
      <formula>$A203="Snglvol"</formula>
    </cfRule>
  </conditionalFormatting>
  <conditionalFormatting sqref="C203:C206">
    <cfRule type="expression" dxfId="5570" priority="5819" stopIfTrue="1">
      <formula>$A203="Inrvlv"</formula>
    </cfRule>
    <cfRule type="expression" dxfId="5569" priority="5848" stopIfTrue="1">
      <formula>$A203="Init"</formula>
    </cfRule>
    <cfRule type="expression" dxfId="5568" priority="5854" stopIfTrue="1">
      <formula>$A203="Timestep"</formula>
    </cfRule>
    <cfRule type="expression" dxfId="5567" priority="5868" stopIfTrue="1">
      <formula>$A203="Triplog"</formula>
    </cfRule>
  </conditionalFormatting>
  <conditionalFormatting sqref="D203:D206 F203:G206 L203:L206 Q203:R206">
    <cfRule type="expression" dxfId="5566" priority="5820" stopIfTrue="1">
      <formula>$A203="Inrvlv"</formula>
    </cfRule>
  </conditionalFormatting>
  <conditionalFormatting sqref="E203:E205">
    <cfRule type="expression" dxfId="5565" priority="5821" stopIfTrue="1">
      <formula>$A203="Inrvlv"</formula>
    </cfRule>
  </conditionalFormatting>
  <conditionalFormatting sqref="S203:S206">
    <cfRule type="expression" dxfId="5564" priority="5822" stopIfTrue="1">
      <formula>$A203="Inrvlv"</formula>
    </cfRule>
    <cfRule type="expression" dxfId="5563" priority="5827" stopIfTrue="1">
      <formula>$A203="Tmdpjun"</formula>
    </cfRule>
    <cfRule type="expression" dxfId="5562" priority="5831" stopIfTrue="1">
      <formula>$A203="Pump"</formula>
    </cfRule>
    <cfRule type="expression" dxfId="5561" priority="5835" stopIfTrue="1">
      <formula>$A203="Tmdpvol"</formula>
    </cfRule>
    <cfRule type="expression" dxfId="5560" priority="5843" stopIfTrue="1">
      <formula>$A203="Snglvol"</formula>
    </cfRule>
  </conditionalFormatting>
  <conditionalFormatting sqref="C203:D206 F203:G206 L203:L206 Q203:Q206">
    <cfRule type="expression" dxfId="5559" priority="5824" stopIfTrue="1">
      <formula>$A203="Tmdpjun"</formula>
    </cfRule>
  </conditionalFormatting>
  <conditionalFormatting sqref="E203:E205">
    <cfRule type="expression" dxfId="5558" priority="5825" stopIfTrue="1">
      <formula>$A203="Tmdpjun"</formula>
    </cfRule>
  </conditionalFormatting>
  <conditionalFormatting sqref="D203:D206 L203:L206 Q203:Q206">
    <cfRule type="expression" dxfId="5557" priority="5828" stopIfTrue="1">
      <formula>$A203="Pump"</formula>
    </cfRule>
  </conditionalFormatting>
  <conditionalFormatting sqref="E203:E205">
    <cfRule type="expression" dxfId="5556" priority="5829" stopIfTrue="1">
      <formula>$A203="Pump"</formula>
    </cfRule>
  </conditionalFormatting>
  <conditionalFormatting sqref="D203:D206 H203:I206 T203:T206 L203:P206">
    <cfRule type="expression" dxfId="5555" priority="5832" stopIfTrue="1">
      <formula>$A203="Tmdpvol"</formula>
    </cfRule>
  </conditionalFormatting>
  <conditionalFormatting sqref="E203:E205">
    <cfRule type="expression" dxfId="5554" priority="5833" stopIfTrue="1">
      <formula>$A203="Tmdpvol"</formula>
    </cfRule>
  </conditionalFormatting>
  <conditionalFormatting sqref="B203:B206">
    <cfRule type="expression" dxfId="5553" priority="5836" stopIfTrue="1">
      <formula>$A203="Snglvol"</formula>
    </cfRule>
    <cfRule type="expression" dxfId="5552" priority="5847" stopIfTrue="1">
      <formula>$A203="Init"</formula>
    </cfRule>
    <cfRule type="expression" dxfId="5551" priority="5853" stopIfTrue="1">
      <formula>$A203="Timestep"</formula>
    </cfRule>
    <cfRule type="expression" dxfId="5550" priority="5859" stopIfTrue="1">
      <formula>$A203="Triggerwords"</formula>
    </cfRule>
    <cfRule type="expression" dxfId="5549" priority="5863" stopIfTrue="1">
      <formula>$A203="Tripvar"</formula>
    </cfRule>
  </conditionalFormatting>
  <conditionalFormatting sqref="D203:D206 H203:I206 L203:L206 N203:Q206 T203:T206">
    <cfRule type="expression" dxfId="5548" priority="5838" stopIfTrue="1">
      <formula>$A203="Snglvol"</formula>
    </cfRule>
  </conditionalFormatting>
  <conditionalFormatting sqref="E203:E205">
    <cfRule type="expression" dxfId="5547" priority="5839" stopIfTrue="1">
      <formula>$A203="Snglvol"</formula>
    </cfRule>
  </conditionalFormatting>
  <conditionalFormatting sqref="A203:A206">
    <cfRule type="expression" dxfId="5546" priority="5844" stopIfTrue="1">
      <formula>$A203="Relapnr"</formula>
    </cfRule>
  </conditionalFormatting>
  <conditionalFormatting sqref="A203:A206">
    <cfRule type="expression" dxfId="5545" priority="5846" stopIfTrue="1">
      <formula>$A203="Init"</formula>
    </cfRule>
  </conditionalFormatting>
  <conditionalFormatting sqref="A203:A206">
    <cfRule type="expression" dxfId="5544" priority="5849" stopIfTrue="1">
      <formula>$A203="InitGas"</formula>
    </cfRule>
  </conditionalFormatting>
  <conditionalFormatting sqref="D203:D206 A203:A206">
    <cfRule type="expression" dxfId="5543" priority="5852" stopIfTrue="1">
      <formula>$A203="Timestep"</formula>
    </cfRule>
  </conditionalFormatting>
  <conditionalFormatting sqref="E203:E205">
    <cfRule type="expression" dxfId="5542" priority="5855" stopIfTrue="1">
      <formula>$A203="Timestep"</formula>
    </cfRule>
  </conditionalFormatting>
  <conditionalFormatting sqref="A203:A206">
    <cfRule type="expression" dxfId="5541" priority="5856" stopIfTrue="1">
      <formula>$A203="Replacements"</formula>
    </cfRule>
  </conditionalFormatting>
  <conditionalFormatting sqref="A203:A206">
    <cfRule type="expression" dxfId="5540" priority="5858" stopIfTrue="1">
      <formula>$A203="Triggerwords"</formula>
    </cfRule>
  </conditionalFormatting>
  <conditionalFormatting sqref="A203:A206">
    <cfRule type="expression" dxfId="5539" priority="5860" stopIfTrue="1">
      <formula>$A203="Custom"</formula>
    </cfRule>
  </conditionalFormatting>
  <conditionalFormatting sqref="D203:D206 F203:I206 A203:A206">
    <cfRule type="expression" dxfId="5538" priority="5862" stopIfTrue="1">
      <formula>$A203="Tripvar"</formula>
    </cfRule>
  </conditionalFormatting>
  <conditionalFormatting sqref="E203:E205">
    <cfRule type="expression" dxfId="5537" priority="5865" stopIfTrue="1">
      <formula>$A203="Tripvar"</formula>
    </cfRule>
  </conditionalFormatting>
  <conditionalFormatting sqref="F203:F206 A203:A206">
    <cfRule type="expression" dxfId="5536" priority="5866" stopIfTrue="1">
      <formula>$A203="Triplog"</formula>
    </cfRule>
  </conditionalFormatting>
  <conditionalFormatting sqref="E203:E205">
    <cfRule type="expression" dxfId="5535" priority="5870" stopIfTrue="1">
      <formula>$A203="Triplog"</formula>
    </cfRule>
  </conditionalFormatting>
  <conditionalFormatting sqref="F225:L228 A225:D226 Q225:Q228 U225:V228 A228:D228 A227 D227">
    <cfRule type="expression" dxfId="5534" priority="5707" stopIfTrue="1">
      <formula>$A225="Pipe"</formula>
    </cfRule>
  </conditionalFormatting>
  <conditionalFormatting sqref="H225:K228 A225:B226 U225:V228 M225:P228 A228:B228 A227">
    <cfRule type="expression" dxfId="5533" priority="5708" stopIfTrue="1">
      <formula>$A225="Junction"</formula>
    </cfRule>
  </conditionalFormatting>
  <conditionalFormatting sqref="H225:K228 A225:B226 T225:V228 M225:P228 A228:B228 A227">
    <cfRule type="expression" dxfId="5532" priority="5709" stopIfTrue="1">
      <formula>$A225="Mtrvlv"</formula>
    </cfRule>
  </conditionalFormatting>
  <conditionalFormatting sqref="H225:K228 B225:B226 T225:V228 M225:P228 B228">
    <cfRule type="expression" dxfId="5531" priority="5710" stopIfTrue="1">
      <formula>$A225="Srvvlv"</formula>
    </cfRule>
  </conditionalFormatting>
  <conditionalFormatting sqref="H225:J228 A225:A228 N225:P228 T225:T228 V225:V228">
    <cfRule type="expression" dxfId="5530" priority="5711" stopIfTrue="1">
      <formula>$A225="Chkvlv"</formula>
    </cfRule>
  </conditionalFormatting>
  <conditionalFormatting sqref="H225:K228 A225:B226 T225:V228 M225:P228 A228:B228 A227">
    <cfRule type="expression" dxfId="5529" priority="5712" stopIfTrue="1">
      <formula>$A225="Inrvlv"</formula>
    </cfRule>
  </conditionalFormatting>
  <conditionalFormatting sqref="H225:K228 B225:B226 T225:V228 M225:P228 B228">
    <cfRule type="expression" dxfId="5528" priority="5713" stopIfTrue="1">
      <formula>$A225="Tmdpjun"</formula>
    </cfRule>
  </conditionalFormatting>
  <conditionalFormatting sqref="F225:K228 A225:C226 T225:V228 M225:P228 A228:C228 A227">
    <cfRule type="expression" dxfId="5527" priority="5714" stopIfTrue="1">
      <formula>$A225="Pump"</formula>
    </cfRule>
  </conditionalFormatting>
  <conditionalFormatting sqref="A225:C226 F225:G228 J225:K228 Q225:Q228 U225:V228 A228:C228 A227">
    <cfRule type="expression" dxfId="5526" priority="5715" stopIfTrue="1">
      <formula>$A225="Tmdpvol"</formula>
    </cfRule>
  </conditionalFormatting>
  <conditionalFormatting sqref="A225:A228 F225:G228 J225:J228 V225:V228">
    <cfRule type="expression" dxfId="5525" priority="5716" stopIfTrue="1">
      <formula>$A225="Snglvol"</formula>
    </cfRule>
  </conditionalFormatting>
  <conditionalFormatting sqref="H225:K228 A225:B226 U225:V228 M225:P228 A228:B228 A227">
    <cfRule type="expression" dxfId="5524" priority="5717" stopIfTrue="1">
      <formula>$A225="Sngljun"</formula>
    </cfRule>
  </conditionalFormatting>
  <conditionalFormatting sqref="E225:E228">
    <cfRule type="expression" dxfId="5523" priority="5718" stopIfTrue="1">
      <formula>$A225="Pipe"</formula>
    </cfRule>
  </conditionalFormatting>
  <conditionalFormatting sqref="R225:T228 M225:P228">
    <cfRule type="expression" dxfId="5522" priority="5719" stopIfTrue="1">
      <formula>$A225="Pipe"</formula>
    </cfRule>
  </conditionalFormatting>
  <conditionalFormatting sqref="C225:C226 C228">
    <cfRule type="expression" dxfId="5521" priority="5720" stopIfTrue="1">
      <formula>$A225="Junction"</formula>
    </cfRule>
    <cfRule type="expression" dxfId="5520" priority="5755" stopIfTrue="1">
      <formula>$A225="Snglvol"</formula>
    </cfRule>
    <cfRule type="expression" dxfId="5519" priority="5769" stopIfTrue="1">
      <formula>$A225="InitGas"</formula>
    </cfRule>
    <cfRule type="expression" dxfId="5518" priority="5782" stopIfTrue="1">
      <formula>$A225="Tripvar"</formula>
    </cfRule>
  </conditionalFormatting>
  <conditionalFormatting sqref="D225:D228 F225:G228 L225:L228 Q225:T228">
    <cfRule type="expression" dxfId="5517" priority="5721" stopIfTrue="1">
      <formula>$A225="Junction"</formula>
    </cfRule>
  </conditionalFormatting>
  <conditionalFormatting sqref="E225:E228">
    <cfRule type="expression" dxfId="5516" priority="5722" stopIfTrue="1">
      <formula>$A225="Junction"</formula>
    </cfRule>
  </conditionalFormatting>
  <conditionalFormatting sqref="C225:D226 F225:G228 L225:L228 Q225:T228 C228:D228 D227">
    <cfRule type="expression" dxfId="5515" priority="5723" stopIfTrue="1">
      <formula>$A225="Sngljun"</formula>
    </cfRule>
  </conditionalFormatting>
  <conditionalFormatting sqref="E225:E228">
    <cfRule type="expression" dxfId="5514" priority="5724" stopIfTrue="1">
      <formula>$A225="Sngljun"</formula>
    </cfRule>
  </conditionalFormatting>
  <conditionalFormatting sqref="C225:D226 F225:G228 L225:L228 Q225:S228 C228:D228 D227">
    <cfRule type="expression" dxfId="5513" priority="5725" stopIfTrue="1">
      <formula>$A225="Mtrvlv"</formula>
    </cfRule>
  </conditionalFormatting>
  <conditionalFormatting sqref="E225:E228">
    <cfRule type="expression" dxfId="5512" priority="5726" stopIfTrue="1">
      <formula>$A225="Mtrvlv"</formula>
    </cfRule>
  </conditionalFormatting>
  <conditionalFormatting sqref="A225:A228">
    <cfRule type="expression" dxfId="5511" priority="5727" stopIfTrue="1">
      <formula>$A225="Srvvlv"</formula>
    </cfRule>
    <cfRule type="expression" dxfId="5510" priority="5741" stopIfTrue="1">
      <formula>$A225="Tmdpjun"</formula>
    </cfRule>
  </conditionalFormatting>
  <conditionalFormatting sqref="C225:D226 F225:G228 L225:L228 Q225:Q228 S225:S228 C228:D228 D227">
    <cfRule type="expression" dxfId="5509" priority="5728" stopIfTrue="1">
      <formula>$A225="Srvvlv"</formula>
    </cfRule>
  </conditionalFormatting>
  <conditionalFormatting sqref="E225:E228">
    <cfRule type="expression" dxfId="5508" priority="5729" stopIfTrue="1">
      <formula>$A225="Srvvlv"</formula>
    </cfRule>
  </conditionalFormatting>
  <conditionalFormatting sqref="R225:R228">
    <cfRule type="expression" dxfId="5507" priority="5730" stopIfTrue="1">
      <formula>$A225="Srvvlv"</formula>
    </cfRule>
    <cfRule type="expression" dxfId="5506" priority="5744" stopIfTrue="1">
      <formula>$A225="Tmdpjun"</formula>
    </cfRule>
    <cfRule type="expression" dxfId="5505" priority="5748" stopIfTrue="1">
      <formula>$A225="Pump"</formula>
    </cfRule>
    <cfRule type="expression" dxfId="5504" priority="5752" stopIfTrue="1">
      <formula>$A225="Tmdpvol"</formula>
    </cfRule>
    <cfRule type="expression" dxfId="5503" priority="5760" stopIfTrue="1">
      <formula>$A225="Snglvol"</formula>
    </cfRule>
  </conditionalFormatting>
  <conditionalFormatting sqref="B225:B226 B228">
    <cfRule type="expression" dxfId="5502" priority="5731" stopIfTrue="1">
      <formula>$A225="Chkvlv"</formula>
    </cfRule>
    <cfRule type="expression" dxfId="5501" priority="5763" stopIfTrue="1">
      <formula>$A225="Relapnr"</formula>
    </cfRule>
    <cfRule type="expression" dxfId="5500" priority="5768" stopIfTrue="1">
      <formula>$A225="InitGas"</formula>
    </cfRule>
    <cfRule type="expression" dxfId="5499" priority="5775" stopIfTrue="1">
      <formula>$A225="Replacements"</formula>
    </cfRule>
    <cfRule type="expression" dxfId="5498" priority="5779" stopIfTrue="1">
      <formula>$A225="Custom"</formula>
    </cfRule>
    <cfRule type="expression" dxfId="5497" priority="5785" stopIfTrue="1">
      <formula>$A225="Triplog"</formula>
    </cfRule>
  </conditionalFormatting>
  <conditionalFormatting sqref="F225:G228 L225:L228 Q225:S228 C225:C226 C228">
    <cfRule type="expression" dxfId="5496" priority="5732" stopIfTrue="1">
      <formula>$A225="Chkvlv"</formula>
    </cfRule>
  </conditionalFormatting>
  <conditionalFormatting sqref="D225:D228">
    <cfRule type="expression" dxfId="5495" priority="5733" stopIfTrue="1">
      <formula>$A225="Chkvlv"</formula>
    </cfRule>
    <cfRule type="expression" dxfId="5494" priority="5787" stopIfTrue="1">
      <formula>$A225="Triplog"</formula>
    </cfRule>
  </conditionalFormatting>
  <conditionalFormatting sqref="E225:E228">
    <cfRule type="expression" dxfId="5493" priority="5734" stopIfTrue="1">
      <formula>$A225="Chkvlv"</formula>
    </cfRule>
  </conditionalFormatting>
  <conditionalFormatting sqref="K225:K228 U225:U228">
    <cfRule type="expression" dxfId="5492" priority="5735" stopIfTrue="1">
      <formula>$A225="Chkvlv"</formula>
    </cfRule>
    <cfRule type="expression" dxfId="5491" priority="5758" stopIfTrue="1">
      <formula>$A225="Snglvol"</formula>
    </cfRule>
  </conditionalFormatting>
  <conditionalFormatting sqref="M225:M228">
    <cfRule type="expression" dxfId="5490" priority="5736" stopIfTrue="1">
      <formula>$A225="Chkvlv"</formula>
    </cfRule>
    <cfRule type="expression" dxfId="5489" priority="5759" stopIfTrue="1">
      <formula>$A225="Snglvol"</formula>
    </cfRule>
  </conditionalFormatting>
  <conditionalFormatting sqref="C225:C226 C228">
    <cfRule type="expression" dxfId="5488" priority="5737" stopIfTrue="1">
      <formula>$A225="Inrvlv"</formula>
    </cfRule>
    <cfRule type="expression" dxfId="5487" priority="5766" stopIfTrue="1">
      <formula>$A225="Init"</formula>
    </cfRule>
    <cfRule type="expression" dxfId="5486" priority="5772" stopIfTrue="1">
      <formula>$A225="Timestep"</formula>
    </cfRule>
    <cfRule type="expression" dxfId="5485" priority="5786" stopIfTrue="1">
      <formula>$A225="Triplog"</formula>
    </cfRule>
  </conditionalFormatting>
  <conditionalFormatting sqref="D225:D228 F225:G228 L225:L228 Q225:R228">
    <cfRule type="expression" dxfId="5484" priority="5738" stopIfTrue="1">
      <formula>$A225="Inrvlv"</formula>
    </cfRule>
  </conditionalFormatting>
  <conditionalFormatting sqref="E225:E228">
    <cfRule type="expression" dxfId="5483" priority="5739" stopIfTrue="1">
      <formula>$A225="Inrvlv"</formula>
    </cfRule>
  </conditionalFormatting>
  <conditionalFormatting sqref="S225:S228">
    <cfRule type="expression" dxfId="5482" priority="5740" stopIfTrue="1">
      <formula>$A225="Inrvlv"</formula>
    </cfRule>
    <cfRule type="expression" dxfId="5481" priority="5745" stopIfTrue="1">
      <formula>$A225="Tmdpjun"</formula>
    </cfRule>
    <cfRule type="expression" dxfId="5480" priority="5749" stopIfTrue="1">
      <formula>$A225="Pump"</formula>
    </cfRule>
    <cfRule type="expression" dxfId="5479" priority="5753" stopIfTrue="1">
      <formula>$A225="Tmdpvol"</formula>
    </cfRule>
    <cfRule type="expression" dxfId="5478" priority="5761" stopIfTrue="1">
      <formula>$A225="Snglvol"</formula>
    </cfRule>
  </conditionalFormatting>
  <conditionalFormatting sqref="C225:D226 F225:G228 L225:L228 Q225:Q228 C228:D228 D227">
    <cfRule type="expression" dxfId="5477" priority="5742" stopIfTrue="1">
      <formula>$A225="Tmdpjun"</formula>
    </cfRule>
  </conditionalFormatting>
  <conditionalFormatting sqref="E225:E228">
    <cfRule type="expression" dxfId="5476" priority="5743" stopIfTrue="1">
      <formula>$A225="Tmdpjun"</formula>
    </cfRule>
  </conditionalFormatting>
  <conditionalFormatting sqref="D225:D228 L225:L228 Q225:Q228">
    <cfRule type="expression" dxfId="5475" priority="5746" stopIfTrue="1">
      <formula>$A225="Pump"</formula>
    </cfRule>
  </conditionalFormatting>
  <conditionalFormatting sqref="E225:E228">
    <cfRule type="expression" dxfId="5474" priority="5747" stopIfTrue="1">
      <formula>$A225="Pump"</formula>
    </cfRule>
  </conditionalFormatting>
  <conditionalFormatting sqref="D225:D228 H225:I228 T225:T228 L225:P228">
    <cfRule type="expression" dxfId="5473" priority="5750" stopIfTrue="1">
      <formula>$A225="Tmdpvol"</formula>
    </cfRule>
  </conditionalFormatting>
  <conditionalFormatting sqref="E225:E228">
    <cfRule type="expression" dxfId="5472" priority="5751" stopIfTrue="1">
      <formula>$A225="Tmdpvol"</formula>
    </cfRule>
  </conditionalFormatting>
  <conditionalFormatting sqref="B225:B226 B228">
    <cfRule type="expression" dxfId="5471" priority="5754" stopIfTrue="1">
      <formula>$A225="Snglvol"</formula>
    </cfRule>
    <cfRule type="expression" dxfId="5470" priority="5765" stopIfTrue="1">
      <formula>$A225="Init"</formula>
    </cfRule>
    <cfRule type="expression" dxfId="5469" priority="5771" stopIfTrue="1">
      <formula>$A225="Timestep"</formula>
    </cfRule>
    <cfRule type="expression" dxfId="5468" priority="5777" stopIfTrue="1">
      <formula>$A225="Triggerwords"</formula>
    </cfRule>
    <cfRule type="expression" dxfId="5467" priority="5781" stopIfTrue="1">
      <formula>$A225="Tripvar"</formula>
    </cfRule>
  </conditionalFormatting>
  <conditionalFormatting sqref="D225:D228 H225:I228 L225:L228 N225:Q228 T225:T228">
    <cfRule type="expression" dxfId="5466" priority="5756" stopIfTrue="1">
      <formula>$A225="Snglvol"</formula>
    </cfRule>
  </conditionalFormatting>
  <conditionalFormatting sqref="E225:E228">
    <cfRule type="expression" dxfId="5465" priority="5757" stopIfTrue="1">
      <formula>$A225="Snglvol"</formula>
    </cfRule>
  </conditionalFormatting>
  <conditionalFormatting sqref="A225:A228">
    <cfRule type="expression" dxfId="5464" priority="5762" stopIfTrue="1">
      <formula>$A225="Relapnr"</formula>
    </cfRule>
  </conditionalFormatting>
  <conditionalFormatting sqref="A225:A228">
    <cfRule type="expression" dxfId="5463" priority="5764" stopIfTrue="1">
      <formula>$A225="Init"</formula>
    </cfRule>
  </conditionalFormatting>
  <conditionalFormatting sqref="A225:A228">
    <cfRule type="expression" dxfId="5462" priority="5767" stopIfTrue="1">
      <formula>$A225="InitGas"</formula>
    </cfRule>
  </conditionalFormatting>
  <conditionalFormatting sqref="D225:D228 A225:A228">
    <cfRule type="expression" dxfId="5461" priority="5770" stopIfTrue="1">
      <formula>$A225="Timestep"</formula>
    </cfRule>
  </conditionalFormatting>
  <conditionalFormatting sqref="E225:E228">
    <cfRule type="expression" dxfId="5460" priority="5773" stopIfTrue="1">
      <formula>$A225="Timestep"</formula>
    </cfRule>
  </conditionalFormatting>
  <conditionalFormatting sqref="A225:A228">
    <cfRule type="expression" dxfId="5459" priority="5774" stopIfTrue="1">
      <formula>$A225="Replacements"</formula>
    </cfRule>
  </conditionalFormatting>
  <conditionalFormatting sqref="A225:A228">
    <cfRule type="expression" dxfId="5458" priority="5776" stopIfTrue="1">
      <formula>$A225="Triggerwords"</formula>
    </cfRule>
  </conditionalFormatting>
  <conditionalFormatting sqref="A225:A228">
    <cfRule type="expression" dxfId="5457" priority="5778" stopIfTrue="1">
      <formula>$A225="Custom"</formula>
    </cfRule>
  </conditionalFormatting>
  <conditionalFormatting sqref="D225:D228 F225:I228 A225:A228">
    <cfRule type="expression" dxfId="5456" priority="5780" stopIfTrue="1">
      <formula>$A225="Tripvar"</formula>
    </cfRule>
  </conditionalFormatting>
  <conditionalFormatting sqref="E225:E228">
    <cfRule type="expression" dxfId="5455" priority="5783" stopIfTrue="1">
      <formula>$A225="Tripvar"</formula>
    </cfRule>
  </conditionalFormatting>
  <conditionalFormatting sqref="F225:F228 A225:A228">
    <cfRule type="expression" dxfId="5454" priority="5784" stopIfTrue="1">
      <formula>$A225="Triplog"</formula>
    </cfRule>
  </conditionalFormatting>
  <conditionalFormatting sqref="E225:E228">
    <cfRule type="expression" dxfId="5453" priority="5788" stopIfTrue="1">
      <formula>$A225="Triplog"</formula>
    </cfRule>
  </conditionalFormatting>
  <conditionalFormatting sqref="U236:V249 Q236:Q249 A236:D249 F236:L249">
    <cfRule type="expression" dxfId="5452" priority="5625" stopIfTrue="1">
      <formula>$A236="Pipe"</formula>
    </cfRule>
  </conditionalFormatting>
  <conditionalFormatting sqref="M236:P249 U236:V249 A236:B249 H236:K249">
    <cfRule type="expression" dxfId="5451" priority="5626" stopIfTrue="1">
      <formula>$A236="Junction"</formula>
    </cfRule>
  </conditionalFormatting>
  <conditionalFormatting sqref="M236:P249 T236:V249 A236:B249 H236:K249">
    <cfRule type="expression" dxfId="5450" priority="5627" stopIfTrue="1">
      <formula>$A236="Mtrvlv"</formula>
    </cfRule>
  </conditionalFormatting>
  <conditionalFormatting sqref="M236:P249 T236:V249 B236:B249 H236:K249">
    <cfRule type="expression" dxfId="5449" priority="5628" stopIfTrue="1">
      <formula>$A236="Srvvlv"</formula>
    </cfRule>
  </conditionalFormatting>
  <conditionalFormatting sqref="V236:V249 T236:T249 N236:P249 A236:A249 H236:J249">
    <cfRule type="expression" dxfId="5448" priority="5629" stopIfTrue="1">
      <formula>$A236="Chkvlv"</formula>
    </cfRule>
  </conditionalFormatting>
  <conditionalFormatting sqref="M236:P249 T236:V249 A236:B249 H236:K249">
    <cfRule type="expression" dxfId="5447" priority="5630" stopIfTrue="1">
      <formula>$A236="Inrvlv"</formula>
    </cfRule>
  </conditionalFormatting>
  <conditionalFormatting sqref="M236:P249 T236:V249 B236:B249 H236:K249">
    <cfRule type="expression" dxfId="5446" priority="5631" stopIfTrue="1">
      <formula>$A236="Tmdpjun"</formula>
    </cfRule>
  </conditionalFormatting>
  <conditionalFormatting sqref="M236:P249 T236:V249 A236:C249 F236:K249">
    <cfRule type="expression" dxfId="5445" priority="5632" stopIfTrue="1">
      <formula>$A236="Pump"</formula>
    </cfRule>
  </conditionalFormatting>
  <conditionalFormatting sqref="U236:V249 Q236:Q249 J236:K249 F236:G249 A236:C249">
    <cfRule type="expression" dxfId="5444" priority="5633" stopIfTrue="1">
      <formula>$A236="Tmdpvol"</formula>
    </cfRule>
  </conditionalFormatting>
  <conditionalFormatting sqref="V236:V249 J236:J249 F236:G249 A236:A249">
    <cfRule type="expression" dxfId="5443" priority="5634" stopIfTrue="1">
      <formula>$A236="Snglvol"</formula>
    </cfRule>
  </conditionalFormatting>
  <conditionalFormatting sqref="M236:P249 U236:V249 A236:B249 H236:K249">
    <cfRule type="expression" dxfId="5442" priority="5635" stopIfTrue="1">
      <formula>$A236="Sngljun"</formula>
    </cfRule>
  </conditionalFormatting>
  <conditionalFormatting sqref="E236:E249">
    <cfRule type="expression" dxfId="5441" priority="5636" stopIfTrue="1">
      <formula>$A236="Pipe"</formula>
    </cfRule>
  </conditionalFormatting>
  <conditionalFormatting sqref="M236:P249 R236:T249">
    <cfRule type="expression" dxfId="5440" priority="5637" stopIfTrue="1">
      <formula>$A236="Pipe"</formula>
    </cfRule>
  </conditionalFormatting>
  <conditionalFormatting sqref="C236:C249">
    <cfRule type="expression" dxfId="5439" priority="5638" stopIfTrue="1">
      <formula>$A236="Junction"</formula>
    </cfRule>
    <cfRule type="expression" dxfId="5438" priority="5673" stopIfTrue="1">
      <formula>$A236="Snglvol"</formula>
    </cfRule>
    <cfRule type="expression" dxfId="5437" priority="5687" stopIfTrue="1">
      <formula>$A236="InitGas"</formula>
    </cfRule>
    <cfRule type="expression" dxfId="5436" priority="5700" stopIfTrue="1">
      <formula>$A236="Tripvar"</formula>
    </cfRule>
  </conditionalFormatting>
  <conditionalFormatting sqref="Q236:T249 L236:L249 F236:G249 D236:D249">
    <cfRule type="expression" dxfId="5435" priority="5639" stopIfTrue="1">
      <formula>$A236="Junction"</formula>
    </cfRule>
  </conditionalFormatting>
  <conditionalFormatting sqref="E236:E249">
    <cfRule type="expression" dxfId="5434" priority="5640" stopIfTrue="1">
      <formula>$A236="Junction"</formula>
    </cfRule>
  </conditionalFormatting>
  <conditionalFormatting sqref="Q236:T249 L236:L249 F236:G249 C236:D249">
    <cfRule type="expression" dxfId="5433" priority="5641" stopIfTrue="1">
      <formula>$A236="Sngljun"</formula>
    </cfRule>
  </conditionalFormatting>
  <conditionalFormatting sqref="E236:E249">
    <cfRule type="expression" dxfId="5432" priority="5642" stopIfTrue="1">
      <formula>$A236="Sngljun"</formula>
    </cfRule>
  </conditionalFormatting>
  <conditionalFormatting sqref="Q236:S249 L236:L249 F236:G249 C236:D249">
    <cfRule type="expression" dxfId="5431" priority="5643" stopIfTrue="1">
      <formula>$A236="Mtrvlv"</formula>
    </cfRule>
  </conditionalFormatting>
  <conditionalFormatting sqref="E236:E249">
    <cfRule type="expression" dxfId="5430" priority="5644" stopIfTrue="1">
      <formula>$A236="Mtrvlv"</formula>
    </cfRule>
  </conditionalFormatting>
  <conditionalFormatting sqref="A236:A249">
    <cfRule type="expression" dxfId="5429" priority="5645" stopIfTrue="1">
      <formula>$A236="Srvvlv"</formula>
    </cfRule>
    <cfRule type="expression" dxfId="5428" priority="5659" stopIfTrue="1">
      <formula>$A236="Tmdpjun"</formula>
    </cfRule>
  </conditionalFormatting>
  <conditionalFormatting sqref="S236:S249 Q236:Q249 L236:L249 F236:G249 C236:D249">
    <cfRule type="expression" dxfId="5427" priority="5646" stopIfTrue="1">
      <formula>$A236="Srvvlv"</formula>
    </cfRule>
  </conditionalFormatting>
  <conditionalFormatting sqref="E236:E249">
    <cfRule type="expression" dxfId="5426" priority="5647" stopIfTrue="1">
      <formula>$A236="Srvvlv"</formula>
    </cfRule>
  </conditionalFormatting>
  <conditionalFormatting sqref="R236:R249">
    <cfRule type="expression" dxfId="5425" priority="5648" stopIfTrue="1">
      <formula>$A236="Srvvlv"</formula>
    </cfRule>
    <cfRule type="expression" dxfId="5424" priority="5662" stopIfTrue="1">
      <formula>$A236="Tmdpjun"</formula>
    </cfRule>
    <cfRule type="expression" dxfId="5423" priority="5666" stopIfTrue="1">
      <formula>$A236="Pump"</formula>
    </cfRule>
    <cfRule type="expression" dxfId="5422" priority="5670" stopIfTrue="1">
      <formula>$A236="Tmdpvol"</formula>
    </cfRule>
    <cfRule type="expression" dxfId="5421" priority="5678" stopIfTrue="1">
      <formula>$A236="Snglvol"</formula>
    </cfRule>
  </conditionalFormatting>
  <conditionalFormatting sqref="B236:B249">
    <cfRule type="expression" dxfId="5420" priority="5649" stopIfTrue="1">
      <formula>$A236="Chkvlv"</formula>
    </cfRule>
    <cfRule type="expression" dxfId="5419" priority="5681" stopIfTrue="1">
      <formula>$A236="Relapnr"</formula>
    </cfRule>
    <cfRule type="expression" dxfId="5418" priority="5686" stopIfTrue="1">
      <formula>$A236="InitGas"</formula>
    </cfRule>
    <cfRule type="expression" dxfId="5417" priority="5693" stopIfTrue="1">
      <formula>$A236="Replacements"</formula>
    </cfRule>
    <cfRule type="expression" dxfId="5416" priority="5697" stopIfTrue="1">
      <formula>$A236="Custom"</formula>
    </cfRule>
    <cfRule type="expression" dxfId="5415" priority="5703" stopIfTrue="1">
      <formula>$A236="Triplog"</formula>
    </cfRule>
  </conditionalFormatting>
  <conditionalFormatting sqref="C236:C249 Q236:S249 L236:L249 F236:G249">
    <cfRule type="expression" dxfId="5414" priority="5650" stopIfTrue="1">
      <formula>$A236="Chkvlv"</formula>
    </cfRule>
  </conditionalFormatting>
  <conditionalFormatting sqref="D236:D249">
    <cfRule type="expression" dxfId="5413" priority="5651" stopIfTrue="1">
      <formula>$A236="Chkvlv"</formula>
    </cfRule>
    <cfRule type="expression" dxfId="5412" priority="5705" stopIfTrue="1">
      <formula>$A236="Triplog"</formula>
    </cfRule>
  </conditionalFormatting>
  <conditionalFormatting sqref="E236:E249">
    <cfRule type="expression" dxfId="5411" priority="5652" stopIfTrue="1">
      <formula>$A236="Chkvlv"</formula>
    </cfRule>
  </conditionalFormatting>
  <conditionalFormatting sqref="U236:U249 K236:K249">
    <cfRule type="expression" dxfId="5410" priority="5653" stopIfTrue="1">
      <formula>$A236="Chkvlv"</formula>
    </cfRule>
    <cfRule type="expression" dxfId="5409" priority="5676" stopIfTrue="1">
      <formula>$A236="Snglvol"</formula>
    </cfRule>
  </conditionalFormatting>
  <conditionalFormatting sqref="M236:M249">
    <cfRule type="expression" dxfId="5408" priority="5654" stopIfTrue="1">
      <formula>$A236="Chkvlv"</formula>
    </cfRule>
    <cfRule type="expression" dxfId="5407" priority="5677" stopIfTrue="1">
      <formula>$A236="Snglvol"</formula>
    </cfRule>
  </conditionalFormatting>
  <conditionalFormatting sqref="C236:C249">
    <cfRule type="expression" dxfId="5406" priority="5655" stopIfTrue="1">
      <formula>$A236="Inrvlv"</formula>
    </cfRule>
    <cfRule type="expression" dxfId="5405" priority="5684" stopIfTrue="1">
      <formula>$A236="Init"</formula>
    </cfRule>
    <cfRule type="expression" dxfId="5404" priority="5690" stopIfTrue="1">
      <formula>$A236="Timestep"</formula>
    </cfRule>
    <cfRule type="expression" dxfId="5403" priority="5704" stopIfTrue="1">
      <formula>$A236="Triplog"</formula>
    </cfRule>
  </conditionalFormatting>
  <conditionalFormatting sqref="Q236:R249 L236:L249 F236:G249 D236:D249">
    <cfRule type="expression" dxfId="5402" priority="5656" stopIfTrue="1">
      <formula>$A236="Inrvlv"</formula>
    </cfRule>
  </conditionalFormatting>
  <conditionalFormatting sqref="E236:E249">
    <cfRule type="expression" dxfId="5401" priority="5657" stopIfTrue="1">
      <formula>$A236="Inrvlv"</formula>
    </cfRule>
  </conditionalFormatting>
  <conditionalFormatting sqref="S236:S249">
    <cfRule type="expression" dxfId="5400" priority="5658" stopIfTrue="1">
      <formula>$A236="Inrvlv"</formula>
    </cfRule>
    <cfRule type="expression" dxfId="5399" priority="5663" stopIfTrue="1">
      <formula>$A236="Tmdpjun"</formula>
    </cfRule>
    <cfRule type="expression" dxfId="5398" priority="5667" stopIfTrue="1">
      <formula>$A236="Pump"</formula>
    </cfRule>
    <cfRule type="expression" dxfId="5397" priority="5671" stopIfTrue="1">
      <formula>$A236="Tmdpvol"</formula>
    </cfRule>
    <cfRule type="expression" dxfId="5396" priority="5679" stopIfTrue="1">
      <formula>$A236="Snglvol"</formula>
    </cfRule>
  </conditionalFormatting>
  <conditionalFormatting sqref="Q236:Q249 L236:L249 F236:G249 C236:D249">
    <cfRule type="expression" dxfId="5395" priority="5660" stopIfTrue="1">
      <formula>$A236="Tmdpjun"</formula>
    </cfRule>
  </conditionalFormatting>
  <conditionalFormatting sqref="E236:E249">
    <cfRule type="expression" dxfId="5394" priority="5661" stopIfTrue="1">
      <formula>$A236="Tmdpjun"</formula>
    </cfRule>
  </conditionalFormatting>
  <conditionalFormatting sqref="Q236:Q249 L236:L249 D236:D249">
    <cfRule type="expression" dxfId="5393" priority="5664" stopIfTrue="1">
      <formula>$A236="Pump"</formula>
    </cfRule>
  </conditionalFormatting>
  <conditionalFormatting sqref="E236:E249">
    <cfRule type="expression" dxfId="5392" priority="5665" stopIfTrue="1">
      <formula>$A236="Pump"</formula>
    </cfRule>
  </conditionalFormatting>
  <conditionalFormatting sqref="L236:P249 T236:T249 D236:D249 H236:I249">
    <cfRule type="expression" dxfId="5391" priority="5668" stopIfTrue="1">
      <formula>$A236="Tmdpvol"</formula>
    </cfRule>
  </conditionalFormatting>
  <conditionalFormatting sqref="E236:E249">
    <cfRule type="expression" dxfId="5390" priority="5669" stopIfTrue="1">
      <formula>$A236="Tmdpvol"</formula>
    </cfRule>
  </conditionalFormatting>
  <conditionalFormatting sqref="B236:B249">
    <cfRule type="expression" dxfId="5389" priority="5672" stopIfTrue="1">
      <formula>$A236="Snglvol"</formula>
    </cfRule>
    <cfRule type="expression" dxfId="5388" priority="5683" stopIfTrue="1">
      <formula>$A236="Init"</formula>
    </cfRule>
    <cfRule type="expression" dxfId="5387" priority="5689" stopIfTrue="1">
      <formula>$A236="Timestep"</formula>
    </cfRule>
    <cfRule type="expression" dxfId="5386" priority="5695" stopIfTrue="1">
      <formula>$A236="Triggerwords"</formula>
    </cfRule>
    <cfRule type="expression" dxfId="5385" priority="5699" stopIfTrue="1">
      <formula>$A236="Tripvar"</formula>
    </cfRule>
  </conditionalFormatting>
  <conditionalFormatting sqref="T236:T249 N236:Q249 L236:L249 D236:D249 H236:I249">
    <cfRule type="expression" dxfId="5384" priority="5674" stopIfTrue="1">
      <formula>$A236="Snglvol"</formula>
    </cfRule>
  </conditionalFormatting>
  <conditionalFormatting sqref="E236:E249">
    <cfRule type="expression" dxfId="5383" priority="5675" stopIfTrue="1">
      <formula>$A236="Snglvol"</formula>
    </cfRule>
  </conditionalFormatting>
  <conditionalFormatting sqref="A236:A249">
    <cfRule type="expression" dxfId="5382" priority="5680" stopIfTrue="1">
      <formula>$A236="Relapnr"</formula>
    </cfRule>
  </conditionalFormatting>
  <conditionalFormatting sqref="A236:A249">
    <cfRule type="expression" dxfId="5381" priority="5682" stopIfTrue="1">
      <formula>$A236="Init"</formula>
    </cfRule>
  </conditionalFormatting>
  <conditionalFormatting sqref="A236:A249">
    <cfRule type="expression" dxfId="5380" priority="5685" stopIfTrue="1">
      <formula>$A236="InitGas"</formula>
    </cfRule>
  </conditionalFormatting>
  <conditionalFormatting sqref="A236:A249 D236:D249">
    <cfRule type="expression" dxfId="5379" priority="5688" stopIfTrue="1">
      <formula>$A236="Timestep"</formula>
    </cfRule>
  </conditionalFormatting>
  <conditionalFormatting sqref="E236:E249">
    <cfRule type="expression" dxfId="5378" priority="5691" stopIfTrue="1">
      <formula>$A236="Timestep"</formula>
    </cfRule>
  </conditionalFormatting>
  <conditionalFormatting sqref="A236:A249">
    <cfRule type="expression" dxfId="5377" priority="5692" stopIfTrue="1">
      <formula>$A236="Replacements"</formula>
    </cfRule>
  </conditionalFormatting>
  <conditionalFormatting sqref="A236:A249">
    <cfRule type="expression" dxfId="5376" priority="5694" stopIfTrue="1">
      <formula>$A236="Triggerwords"</formula>
    </cfRule>
  </conditionalFormatting>
  <conditionalFormatting sqref="A236:A249">
    <cfRule type="expression" dxfId="5375" priority="5696" stopIfTrue="1">
      <formula>$A236="Custom"</formula>
    </cfRule>
  </conditionalFormatting>
  <conditionalFormatting sqref="A236:A249 D236:D249 F236:I249">
    <cfRule type="expression" dxfId="5374" priority="5698" stopIfTrue="1">
      <formula>$A236="Tripvar"</formula>
    </cfRule>
  </conditionalFormatting>
  <conditionalFormatting sqref="E236:E249">
    <cfRule type="expression" dxfId="5373" priority="5701" stopIfTrue="1">
      <formula>$A236="Tripvar"</formula>
    </cfRule>
  </conditionalFormatting>
  <conditionalFormatting sqref="A236:A249 F236:F249">
    <cfRule type="expression" dxfId="5372" priority="5702" stopIfTrue="1">
      <formula>$A236="Triplog"</formula>
    </cfRule>
  </conditionalFormatting>
  <conditionalFormatting sqref="E236:E249">
    <cfRule type="expression" dxfId="5371" priority="5706" stopIfTrue="1">
      <formula>$A236="Triplog"</formula>
    </cfRule>
  </conditionalFormatting>
  <conditionalFormatting sqref="F232:L235 A232:D233 Q232:Q235 U232:V235 A235:D235 A234 D234">
    <cfRule type="expression" dxfId="5370" priority="5543" stopIfTrue="1">
      <formula>$A232="Pipe"</formula>
    </cfRule>
  </conditionalFormatting>
  <conditionalFormatting sqref="H232:K235 A232:B233 U232:V235 M232:P235 A235:B235 A234">
    <cfRule type="expression" dxfId="5369" priority="5544" stopIfTrue="1">
      <formula>$A232="Junction"</formula>
    </cfRule>
  </conditionalFormatting>
  <conditionalFormatting sqref="H232:K235 A232:B233 T232:V235 M232:P235 A235:B235 A234">
    <cfRule type="expression" dxfId="5368" priority="5545" stopIfTrue="1">
      <formula>$A232="Mtrvlv"</formula>
    </cfRule>
  </conditionalFormatting>
  <conditionalFormatting sqref="H232:K235 B232:B233 T232:V235 M232:P235 B235">
    <cfRule type="expression" dxfId="5367" priority="5546" stopIfTrue="1">
      <formula>$A232="Srvvlv"</formula>
    </cfRule>
  </conditionalFormatting>
  <conditionalFormatting sqref="H232:J235 A232:A235 N232:P235 T232:T235 V232:V235">
    <cfRule type="expression" dxfId="5366" priority="5547" stopIfTrue="1">
      <formula>$A232="Chkvlv"</formula>
    </cfRule>
  </conditionalFormatting>
  <conditionalFormatting sqref="H232:K235 A232:B233 T232:V235 M232:P235 A235:B235 A234">
    <cfRule type="expression" dxfId="5365" priority="5548" stopIfTrue="1">
      <formula>$A232="Inrvlv"</formula>
    </cfRule>
  </conditionalFormatting>
  <conditionalFormatting sqref="H232:K235 B232:B233 T232:V235 M232:P235 B235">
    <cfRule type="expression" dxfId="5364" priority="5549" stopIfTrue="1">
      <formula>$A232="Tmdpjun"</formula>
    </cfRule>
  </conditionalFormatting>
  <conditionalFormatting sqref="F232:K235 A232:C233 T232:V235 M232:P235 A235:C235 A234">
    <cfRule type="expression" dxfId="5363" priority="5550" stopIfTrue="1">
      <formula>$A232="Pump"</formula>
    </cfRule>
  </conditionalFormatting>
  <conditionalFormatting sqref="A232:C233 F232:G235 J232:K235 Q232:Q235 U232:V235 A235:C235 A234">
    <cfRule type="expression" dxfId="5362" priority="5551" stopIfTrue="1">
      <formula>$A232="Tmdpvol"</formula>
    </cfRule>
  </conditionalFormatting>
  <conditionalFormatting sqref="A232:A235 F232:G235 J232:J235 V232:V235">
    <cfRule type="expression" dxfId="5361" priority="5552" stopIfTrue="1">
      <formula>$A232="Snglvol"</formula>
    </cfRule>
  </conditionalFormatting>
  <conditionalFormatting sqref="H232:K235 A232:B233 U232:V235 M232:P235 A235:B235 A234">
    <cfRule type="expression" dxfId="5360" priority="5553" stopIfTrue="1">
      <formula>$A232="Sngljun"</formula>
    </cfRule>
  </conditionalFormatting>
  <conditionalFormatting sqref="E232:E234">
    <cfRule type="expression" dxfId="5359" priority="5554" stopIfTrue="1">
      <formula>$A232="Pipe"</formula>
    </cfRule>
  </conditionalFormatting>
  <conditionalFormatting sqref="R232:T235 M232:P235">
    <cfRule type="expression" dxfId="5358" priority="5555" stopIfTrue="1">
      <formula>$A232="Pipe"</formula>
    </cfRule>
  </conditionalFormatting>
  <conditionalFormatting sqref="C232:C233 C235">
    <cfRule type="expression" dxfId="5357" priority="5556" stopIfTrue="1">
      <formula>$A232="Junction"</formula>
    </cfRule>
    <cfRule type="expression" dxfId="5356" priority="5591" stopIfTrue="1">
      <formula>$A232="Snglvol"</formula>
    </cfRule>
    <cfRule type="expression" dxfId="5355" priority="5605" stopIfTrue="1">
      <formula>$A232="InitGas"</formula>
    </cfRule>
    <cfRule type="expression" dxfId="5354" priority="5618" stopIfTrue="1">
      <formula>$A232="Tripvar"</formula>
    </cfRule>
  </conditionalFormatting>
  <conditionalFormatting sqref="D232:D235 F232:G235 L232:L235 Q232:T235">
    <cfRule type="expression" dxfId="5353" priority="5557" stopIfTrue="1">
      <formula>$A232="Junction"</formula>
    </cfRule>
  </conditionalFormatting>
  <conditionalFormatting sqref="E232:E234">
    <cfRule type="expression" dxfId="5352" priority="5558" stopIfTrue="1">
      <formula>$A232="Junction"</formula>
    </cfRule>
  </conditionalFormatting>
  <conditionalFormatting sqref="C232:D233 F232:G235 L232:L235 Q232:T235 C235:D235 D234">
    <cfRule type="expression" dxfId="5351" priority="5559" stopIfTrue="1">
      <formula>$A232="Sngljun"</formula>
    </cfRule>
  </conditionalFormatting>
  <conditionalFormatting sqref="E232:E234">
    <cfRule type="expression" dxfId="5350" priority="5560" stopIfTrue="1">
      <formula>$A232="Sngljun"</formula>
    </cfRule>
  </conditionalFormatting>
  <conditionalFormatting sqref="C232:D233 F232:G235 L232:L235 Q232:S235 C235:D235 D234">
    <cfRule type="expression" dxfId="5349" priority="5561" stopIfTrue="1">
      <formula>$A232="Mtrvlv"</formula>
    </cfRule>
  </conditionalFormatting>
  <conditionalFormatting sqref="E232:E234">
    <cfRule type="expression" dxfId="5348" priority="5562" stopIfTrue="1">
      <formula>$A232="Mtrvlv"</formula>
    </cfRule>
  </conditionalFormatting>
  <conditionalFormatting sqref="A232:A235">
    <cfRule type="expression" dxfId="5347" priority="5563" stopIfTrue="1">
      <formula>$A232="Srvvlv"</formula>
    </cfRule>
    <cfRule type="expression" dxfId="5346" priority="5577" stopIfTrue="1">
      <formula>$A232="Tmdpjun"</formula>
    </cfRule>
  </conditionalFormatting>
  <conditionalFormatting sqref="C232:D233 F232:G235 L232:L235 Q232:Q235 S232:S235 C235:D235 D234">
    <cfRule type="expression" dxfId="5345" priority="5564" stopIfTrue="1">
      <formula>$A232="Srvvlv"</formula>
    </cfRule>
  </conditionalFormatting>
  <conditionalFormatting sqref="E232:E234">
    <cfRule type="expression" dxfId="5344" priority="5565" stopIfTrue="1">
      <formula>$A232="Srvvlv"</formula>
    </cfRule>
  </conditionalFormatting>
  <conditionalFormatting sqref="R232:R235">
    <cfRule type="expression" dxfId="5343" priority="5566" stopIfTrue="1">
      <formula>$A232="Srvvlv"</formula>
    </cfRule>
    <cfRule type="expression" dxfId="5342" priority="5580" stopIfTrue="1">
      <formula>$A232="Tmdpjun"</formula>
    </cfRule>
    <cfRule type="expression" dxfId="5341" priority="5584" stopIfTrue="1">
      <formula>$A232="Pump"</formula>
    </cfRule>
    <cfRule type="expression" dxfId="5340" priority="5588" stopIfTrue="1">
      <formula>$A232="Tmdpvol"</formula>
    </cfRule>
    <cfRule type="expression" dxfId="5339" priority="5596" stopIfTrue="1">
      <formula>$A232="Snglvol"</formula>
    </cfRule>
  </conditionalFormatting>
  <conditionalFormatting sqref="B232:B233 B235">
    <cfRule type="expression" dxfId="5338" priority="5567" stopIfTrue="1">
      <formula>$A232="Chkvlv"</formula>
    </cfRule>
    <cfRule type="expression" dxfId="5337" priority="5599" stopIfTrue="1">
      <formula>$A232="Relapnr"</formula>
    </cfRule>
    <cfRule type="expression" dxfId="5336" priority="5604" stopIfTrue="1">
      <formula>$A232="InitGas"</formula>
    </cfRule>
    <cfRule type="expression" dxfId="5335" priority="5611" stopIfTrue="1">
      <formula>$A232="Replacements"</formula>
    </cfRule>
    <cfRule type="expression" dxfId="5334" priority="5615" stopIfTrue="1">
      <formula>$A232="Custom"</formula>
    </cfRule>
    <cfRule type="expression" dxfId="5333" priority="5621" stopIfTrue="1">
      <formula>$A232="Triplog"</formula>
    </cfRule>
  </conditionalFormatting>
  <conditionalFormatting sqref="F232:G235 L232:L235 Q232:S235 C232:C233 C235">
    <cfRule type="expression" dxfId="5332" priority="5568" stopIfTrue="1">
      <formula>$A232="Chkvlv"</formula>
    </cfRule>
  </conditionalFormatting>
  <conditionalFormatting sqref="D232:D235">
    <cfRule type="expression" dxfId="5331" priority="5569" stopIfTrue="1">
      <formula>$A232="Chkvlv"</formula>
    </cfRule>
    <cfRule type="expression" dxfId="5330" priority="5623" stopIfTrue="1">
      <formula>$A232="Triplog"</formula>
    </cfRule>
  </conditionalFormatting>
  <conditionalFormatting sqref="E232:E234">
    <cfRule type="expression" dxfId="5329" priority="5570" stopIfTrue="1">
      <formula>$A232="Chkvlv"</formula>
    </cfRule>
  </conditionalFormatting>
  <conditionalFormatting sqref="K232:K235 U232:U235">
    <cfRule type="expression" dxfId="5328" priority="5571" stopIfTrue="1">
      <formula>$A232="Chkvlv"</formula>
    </cfRule>
    <cfRule type="expression" dxfId="5327" priority="5594" stopIfTrue="1">
      <formula>$A232="Snglvol"</formula>
    </cfRule>
  </conditionalFormatting>
  <conditionalFormatting sqref="M232:M235">
    <cfRule type="expression" dxfId="5326" priority="5572" stopIfTrue="1">
      <formula>$A232="Chkvlv"</formula>
    </cfRule>
    <cfRule type="expression" dxfId="5325" priority="5595" stopIfTrue="1">
      <formula>$A232="Snglvol"</formula>
    </cfRule>
  </conditionalFormatting>
  <conditionalFormatting sqref="C232:C233 C235">
    <cfRule type="expression" dxfId="5324" priority="5573" stopIfTrue="1">
      <formula>$A232="Inrvlv"</formula>
    </cfRule>
    <cfRule type="expression" dxfId="5323" priority="5602" stopIfTrue="1">
      <formula>$A232="Init"</formula>
    </cfRule>
    <cfRule type="expression" dxfId="5322" priority="5608" stopIfTrue="1">
      <formula>$A232="Timestep"</formula>
    </cfRule>
    <cfRule type="expression" dxfId="5321" priority="5622" stopIfTrue="1">
      <formula>$A232="Triplog"</formula>
    </cfRule>
  </conditionalFormatting>
  <conditionalFormatting sqref="D232:D235 F232:G235 L232:L235 Q232:R235">
    <cfRule type="expression" dxfId="5320" priority="5574" stopIfTrue="1">
      <formula>$A232="Inrvlv"</formula>
    </cfRule>
  </conditionalFormatting>
  <conditionalFormatting sqref="E232:E234">
    <cfRule type="expression" dxfId="5319" priority="5575" stopIfTrue="1">
      <formula>$A232="Inrvlv"</formula>
    </cfRule>
  </conditionalFormatting>
  <conditionalFormatting sqref="S232:S235">
    <cfRule type="expression" dxfId="5318" priority="5576" stopIfTrue="1">
      <formula>$A232="Inrvlv"</formula>
    </cfRule>
    <cfRule type="expression" dxfId="5317" priority="5581" stopIfTrue="1">
      <formula>$A232="Tmdpjun"</formula>
    </cfRule>
    <cfRule type="expression" dxfId="5316" priority="5585" stopIfTrue="1">
      <formula>$A232="Pump"</formula>
    </cfRule>
    <cfRule type="expression" dxfId="5315" priority="5589" stopIfTrue="1">
      <formula>$A232="Tmdpvol"</formula>
    </cfRule>
    <cfRule type="expression" dxfId="5314" priority="5597" stopIfTrue="1">
      <formula>$A232="Snglvol"</formula>
    </cfRule>
  </conditionalFormatting>
  <conditionalFormatting sqref="C232:D233 F232:G235 L232:L235 Q232:Q235 C235:D235 D234">
    <cfRule type="expression" dxfId="5313" priority="5578" stopIfTrue="1">
      <formula>$A232="Tmdpjun"</formula>
    </cfRule>
  </conditionalFormatting>
  <conditionalFormatting sqref="E232:E234">
    <cfRule type="expression" dxfId="5312" priority="5579" stopIfTrue="1">
      <formula>$A232="Tmdpjun"</formula>
    </cfRule>
  </conditionalFormatting>
  <conditionalFormatting sqref="D232:D235 L232:L235 Q232:Q235">
    <cfRule type="expression" dxfId="5311" priority="5582" stopIfTrue="1">
      <formula>$A232="Pump"</formula>
    </cfRule>
  </conditionalFormatting>
  <conditionalFormatting sqref="E232:E234">
    <cfRule type="expression" dxfId="5310" priority="5583" stopIfTrue="1">
      <formula>$A232="Pump"</formula>
    </cfRule>
  </conditionalFormatting>
  <conditionalFormatting sqref="D232:D235 H232:I235 T232:T235 L232:P235">
    <cfRule type="expression" dxfId="5309" priority="5586" stopIfTrue="1">
      <formula>$A232="Tmdpvol"</formula>
    </cfRule>
  </conditionalFormatting>
  <conditionalFormatting sqref="E232:E234">
    <cfRule type="expression" dxfId="5308" priority="5587" stopIfTrue="1">
      <formula>$A232="Tmdpvol"</formula>
    </cfRule>
  </conditionalFormatting>
  <conditionalFormatting sqref="B232:B233 B235">
    <cfRule type="expression" dxfId="5307" priority="5590" stopIfTrue="1">
      <formula>$A232="Snglvol"</formula>
    </cfRule>
    <cfRule type="expression" dxfId="5306" priority="5601" stopIfTrue="1">
      <formula>$A232="Init"</formula>
    </cfRule>
    <cfRule type="expression" dxfId="5305" priority="5607" stopIfTrue="1">
      <formula>$A232="Timestep"</formula>
    </cfRule>
    <cfRule type="expression" dxfId="5304" priority="5613" stopIfTrue="1">
      <formula>$A232="Triggerwords"</formula>
    </cfRule>
    <cfRule type="expression" dxfId="5303" priority="5617" stopIfTrue="1">
      <formula>$A232="Tripvar"</formula>
    </cfRule>
  </conditionalFormatting>
  <conditionalFormatting sqref="D232:D235 H232:I235 L232:L235 N232:Q235 T232:T235">
    <cfRule type="expression" dxfId="5302" priority="5592" stopIfTrue="1">
      <formula>$A232="Snglvol"</formula>
    </cfRule>
  </conditionalFormatting>
  <conditionalFormatting sqref="E232:E234">
    <cfRule type="expression" dxfId="5301" priority="5593" stopIfTrue="1">
      <formula>$A232="Snglvol"</formula>
    </cfRule>
  </conditionalFormatting>
  <conditionalFormatting sqref="A232:A235">
    <cfRule type="expression" dxfId="5300" priority="5598" stopIfTrue="1">
      <formula>$A232="Relapnr"</formula>
    </cfRule>
  </conditionalFormatting>
  <conditionalFormatting sqref="A232:A235">
    <cfRule type="expression" dxfId="5299" priority="5600" stopIfTrue="1">
      <formula>$A232="Init"</formula>
    </cfRule>
  </conditionalFormatting>
  <conditionalFormatting sqref="A232:A235">
    <cfRule type="expression" dxfId="5298" priority="5603" stopIfTrue="1">
      <formula>$A232="InitGas"</formula>
    </cfRule>
  </conditionalFormatting>
  <conditionalFormatting sqref="D232:D235 A232:A235">
    <cfRule type="expression" dxfId="5297" priority="5606" stopIfTrue="1">
      <formula>$A232="Timestep"</formula>
    </cfRule>
  </conditionalFormatting>
  <conditionalFormatting sqref="E232:E234">
    <cfRule type="expression" dxfId="5296" priority="5609" stopIfTrue="1">
      <formula>$A232="Timestep"</formula>
    </cfRule>
  </conditionalFormatting>
  <conditionalFormatting sqref="A232:A235">
    <cfRule type="expression" dxfId="5295" priority="5610" stopIfTrue="1">
      <formula>$A232="Replacements"</formula>
    </cfRule>
  </conditionalFormatting>
  <conditionalFormatting sqref="A232:A235">
    <cfRule type="expression" dxfId="5294" priority="5612" stopIfTrue="1">
      <formula>$A232="Triggerwords"</formula>
    </cfRule>
  </conditionalFormatting>
  <conditionalFormatting sqref="A232:A235">
    <cfRule type="expression" dxfId="5293" priority="5614" stopIfTrue="1">
      <formula>$A232="Custom"</formula>
    </cfRule>
  </conditionalFormatting>
  <conditionalFormatting sqref="D232:D235 F232:I235 A232:A235">
    <cfRule type="expression" dxfId="5292" priority="5616" stopIfTrue="1">
      <formula>$A232="Tripvar"</formula>
    </cfRule>
  </conditionalFormatting>
  <conditionalFormatting sqref="E232:E234">
    <cfRule type="expression" dxfId="5291" priority="5619" stopIfTrue="1">
      <formula>$A232="Tripvar"</formula>
    </cfRule>
  </conditionalFormatting>
  <conditionalFormatting sqref="F232:F235 A232:A235">
    <cfRule type="expression" dxfId="5290" priority="5620" stopIfTrue="1">
      <formula>$A232="Triplog"</formula>
    </cfRule>
  </conditionalFormatting>
  <conditionalFormatting sqref="E232:E234">
    <cfRule type="expression" dxfId="5289" priority="5624" stopIfTrue="1">
      <formula>$A232="Triplog"</formula>
    </cfRule>
  </conditionalFormatting>
  <conditionalFormatting sqref="U257:V270 Q257:Q270 A257:D270 F257:L260 F262:L264 F261:G261 J261:L261 F266:L270 F265:G265 J265:L265">
    <cfRule type="expression" dxfId="5288" priority="5461" stopIfTrue="1">
      <formula>$A257="Pipe"</formula>
    </cfRule>
  </conditionalFormatting>
  <conditionalFormatting sqref="M257:P270 U257:V270 A257:B270 H257:K260 H262:K264 J261:K261 H266:K270 J265:K265">
    <cfRule type="expression" dxfId="5287" priority="5462" stopIfTrue="1">
      <formula>$A257="Junction"</formula>
    </cfRule>
  </conditionalFormatting>
  <conditionalFormatting sqref="M257:P270 T257:V270 A257:B270 H257:K260 H262:K264 J261:K261 H266:K270 J265:K265">
    <cfRule type="expression" dxfId="5286" priority="5463" stopIfTrue="1">
      <formula>$A257="Mtrvlv"</formula>
    </cfRule>
  </conditionalFormatting>
  <conditionalFormatting sqref="M257:P270 T257:V270 B257:B270 H257:K260 H262:K264 J261:K261 H266:K270 J265:K265">
    <cfRule type="expression" dxfId="5285" priority="5464" stopIfTrue="1">
      <formula>$A257="Srvvlv"</formula>
    </cfRule>
  </conditionalFormatting>
  <conditionalFormatting sqref="V257:V270 T257:T270 N257:P270 A257:A270 H257:J260 H262:J264 J261 H266:J270 J265">
    <cfRule type="expression" dxfId="5284" priority="5465" stopIfTrue="1">
      <formula>$A257="Chkvlv"</formula>
    </cfRule>
  </conditionalFormatting>
  <conditionalFormatting sqref="M257:P270 T257:V270 A257:B270 H257:K260 H262:K264 J261:K261 H266:K270 J265:K265">
    <cfRule type="expression" dxfId="5283" priority="5466" stopIfTrue="1">
      <formula>$A257="Inrvlv"</formula>
    </cfRule>
  </conditionalFormatting>
  <conditionalFormatting sqref="M257:P270 T257:V270 B257:B270 H257:K260 H262:K264 J261:K261 H266:K270 J265:K265">
    <cfRule type="expression" dxfId="5282" priority="5467" stopIfTrue="1">
      <formula>$A257="Tmdpjun"</formula>
    </cfRule>
  </conditionalFormatting>
  <conditionalFormatting sqref="M257:P270 T257:V270 A257:C270 F257:K260 F262:K264 F261:G261 J261:K261 F266:K270 F265:G265 J265:K265">
    <cfRule type="expression" dxfId="5281" priority="5468" stopIfTrue="1">
      <formula>$A257="Pump"</formula>
    </cfRule>
  </conditionalFormatting>
  <conditionalFormatting sqref="U257:V270 Q257:Q270 J257:K270 F257:G270 A257:C270">
    <cfRule type="expression" dxfId="5280" priority="5469" stopIfTrue="1">
      <formula>$A257="Tmdpvol"</formula>
    </cfRule>
  </conditionalFormatting>
  <conditionalFormatting sqref="V257:V270 J257:J270 F257:G270 A257:A270">
    <cfRule type="expression" dxfId="5279" priority="5470" stopIfTrue="1">
      <formula>$A257="Snglvol"</formula>
    </cfRule>
  </conditionalFormatting>
  <conditionalFormatting sqref="M257:P270 U257:V270 A257:B270 H257:K260 H262:K264 J261:K261 H266:K270 J265:K265">
    <cfRule type="expression" dxfId="5278" priority="5471" stopIfTrue="1">
      <formula>$A257="Sngljun"</formula>
    </cfRule>
  </conditionalFormatting>
  <conditionalFormatting sqref="E257:E259 E267:E269">
    <cfRule type="expression" dxfId="5277" priority="5472" stopIfTrue="1">
      <formula>$A257="Pipe"</formula>
    </cfRule>
  </conditionalFormatting>
  <conditionalFormatting sqref="M257:P270 R257:T270">
    <cfRule type="expression" dxfId="5276" priority="5473" stopIfTrue="1">
      <formula>$A257="Pipe"</formula>
    </cfRule>
  </conditionalFormatting>
  <conditionalFormatting sqref="C257:C270">
    <cfRule type="expression" dxfId="5275" priority="5474" stopIfTrue="1">
      <formula>$A257="Junction"</formula>
    </cfRule>
    <cfRule type="expression" dxfId="5274" priority="5509" stopIfTrue="1">
      <formula>$A257="Snglvol"</formula>
    </cfRule>
    <cfRule type="expression" dxfId="5273" priority="5523" stopIfTrue="1">
      <formula>$A257="InitGas"</formula>
    </cfRule>
    <cfRule type="expression" dxfId="5272" priority="5536" stopIfTrue="1">
      <formula>$A257="Tripvar"</formula>
    </cfRule>
  </conditionalFormatting>
  <conditionalFormatting sqref="Q257:T270 L257:L270 F257:G270 D257:D270">
    <cfRule type="expression" dxfId="5271" priority="5475" stopIfTrue="1">
      <formula>$A257="Junction"</formula>
    </cfRule>
  </conditionalFormatting>
  <conditionalFormatting sqref="E257:E259 E267:E269">
    <cfRule type="expression" dxfId="5270" priority="5476" stopIfTrue="1">
      <formula>$A257="Junction"</formula>
    </cfRule>
  </conditionalFormatting>
  <conditionalFormatting sqref="Q257:T270 L257:L270 F257:G270 C257:D270">
    <cfRule type="expression" dxfId="5269" priority="5477" stopIfTrue="1">
      <formula>$A257="Sngljun"</formula>
    </cfRule>
  </conditionalFormatting>
  <conditionalFormatting sqref="E257:E259 E267:E269">
    <cfRule type="expression" dxfId="5268" priority="5478" stopIfTrue="1">
      <formula>$A257="Sngljun"</formula>
    </cfRule>
  </conditionalFormatting>
  <conditionalFormatting sqref="Q257:S270 L257:L270 F257:G270 C257:D270">
    <cfRule type="expression" dxfId="5267" priority="5479" stopIfTrue="1">
      <formula>$A257="Mtrvlv"</formula>
    </cfRule>
  </conditionalFormatting>
  <conditionalFormatting sqref="E257:E259 E267:E269">
    <cfRule type="expression" dxfId="5266" priority="5480" stopIfTrue="1">
      <formula>$A257="Mtrvlv"</formula>
    </cfRule>
  </conditionalFormatting>
  <conditionalFormatting sqref="A257:A270">
    <cfRule type="expression" dxfId="5265" priority="5481" stopIfTrue="1">
      <formula>$A257="Srvvlv"</formula>
    </cfRule>
    <cfRule type="expression" dxfId="5264" priority="5495" stopIfTrue="1">
      <formula>$A257="Tmdpjun"</formula>
    </cfRule>
  </conditionalFormatting>
  <conditionalFormatting sqref="S257:S270 Q257:Q270 L257:L270 F257:G270 C257:D270">
    <cfRule type="expression" dxfId="5263" priority="5482" stopIfTrue="1">
      <formula>$A257="Srvvlv"</formula>
    </cfRule>
  </conditionalFormatting>
  <conditionalFormatting sqref="E257:E259 E267:E269">
    <cfRule type="expression" dxfId="5262" priority="5483" stopIfTrue="1">
      <formula>$A257="Srvvlv"</formula>
    </cfRule>
  </conditionalFormatting>
  <conditionalFormatting sqref="R257:R270">
    <cfRule type="expression" dxfId="5261" priority="5484" stopIfTrue="1">
      <formula>$A257="Srvvlv"</formula>
    </cfRule>
    <cfRule type="expression" dxfId="5260" priority="5498" stopIfTrue="1">
      <formula>$A257="Tmdpjun"</formula>
    </cfRule>
    <cfRule type="expression" dxfId="5259" priority="5502" stopIfTrue="1">
      <formula>$A257="Pump"</formula>
    </cfRule>
    <cfRule type="expression" dxfId="5258" priority="5506" stopIfTrue="1">
      <formula>$A257="Tmdpvol"</formula>
    </cfRule>
    <cfRule type="expression" dxfId="5257" priority="5514" stopIfTrue="1">
      <formula>$A257="Snglvol"</formula>
    </cfRule>
  </conditionalFormatting>
  <conditionalFormatting sqref="B257:B270">
    <cfRule type="expression" dxfId="5256" priority="5485" stopIfTrue="1">
      <formula>$A257="Chkvlv"</formula>
    </cfRule>
    <cfRule type="expression" dxfId="5255" priority="5517" stopIfTrue="1">
      <formula>$A257="Relapnr"</formula>
    </cfRule>
    <cfRule type="expression" dxfId="5254" priority="5522" stopIfTrue="1">
      <formula>$A257="InitGas"</formula>
    </cfRule>
    <cfRule type="expression" dxfId="5253" priority="5529" stopIfTrue="1">
      <formula>$A257="Replacements"</formula>
    </cfRule>
    <cfRule type="expression" dxfId="5252" priority="5533" stopIfTrue="1">
      <formula>$A257="Custom"</formula>
    </cfRule>
    <cfRule type="expression" dxfId="5251" priority="5539" stopIfTrue="1">
      <formula>$A257="Triplog"</formula>
    </cfRule>
  </conditionalFormatting>
  <conditionalFormatting sqref="C257:C270 Q257:S270 L257:L270 F257:G270">
    <cfRule type="expression" dxfId="5250" priority="5486" stopIfTrue="1">
      <formula>$A257="Chkvlv"</formula>
    </cfRule>
  </conditionalFormatting>
  <conditionalFormatting sqref="D257:D270">
    <cfRule type="expression" dxfId="5249" priority="5487" stopIfTrue="1">
      <formula>$A257="Chkvlv"</formula>
    </cfRule>
    <cfRule type="expression" dxfId="5248" priority="5541" stopIfTrue="1">
      <formula>$A257="Triplog"</formula>
    </cfRule>
  </conditionalFormatting>
  <conditionalFormatting sqref="E257:E259 E267:E269">
    <cfRule type="expression" dxfId="5247" priority="5488" stopIfTrue="1">
      <formula>$A257="Chkvlv"</formula>
    </cfRule>
  </conditionalFormatting>
  <conditionalFormatting sqref="U257:U270 K257:K270">
    <cfRule type="expression" dxfId="5246" priority="5489" stopIfTrue="1">
      <formula>$A257="Chkvlv"</formula>
    </cfRule>
    <cfRule type="expression" dxfId="5245" priority="5512" stopIfTrue="1">
      <formula>$A257="Snglvol"</formula>
    </cfRule>
  </conditionalFormatting>
  <conditionalFormatting sqref="M257:M270">
    <cfRule type="expression" dxfId="5244" priority="5490" stopIfTrue="1">
      <formula>$A257="Chkvlv"</formula>
    </cfRule>
    <cfRule type="expression" dxfId="5243" priority="5513" stopIfTrue="1">
      <formula>$A257="Snglvol"</formula>
    </cfRule>
  </conditionalFormatting>
  <conditionalFormatting sqref="C257:C270">
    <cfRule type="expression" dxfId="5242" priority="5491" stopIfTrue="1">
      <formula>$A257="Inrvlv"</formula>
    </cfRule>
    <cfRule type="expression" dxfId="5241" priority="5520" stopIfTrue="1">
      <formula>$A257="Init"</formula>
    </cfRule>
    <cfRule type="expression" dxfId="5240" priority="5526" stopIfTrue="1">
      <formula>$A257="Timestep"</formula>
    </cfRule>
    <cfRule type="expression" dxfId="5239" priority="5540" stopIfTrue="1">
      <formula>$A257="Triplog"</formula>
    </cfRule>
  </conditionalFormatting>
  <conditionalFormatting sqref="Q257:R270 L257:L270 F257:G270 D257:D270">
    <cfRule type="expression" dxfId="5238" priority="5492" stopIfTrue="1">
      <formula>$A257="Inrvlv"</formula>
    </cfRule>
  </conditionalFormatting>
  <conditionalFormatting sqref="E257:E259 E267:E269">
    <cfRule type="expression" dxfId="5237" priority="5493" stopIfTrue="1">
      <formula>$A257="Inrvlv"</formula>
    </cfRule>
  </conditionalFormatting>
  <conditionalFormatting sqref="S257:S270">
    <cfRule type="expression" dxfId="5236" priority="5494" stopIfTrue="1">
      <formula>$A257="Inrvlv"</formula>
    </cfRule>
    <cfRule type="expression" dxfId="5235" priority="5499" stopIfTrue="1">
      <formula>$A257="Tmdpjun"</formula>
    </cfRule>
    <cfRule type="expression" dxfId="5234" priority="5503" stopIfTrue="1">
      <formula>$A257="Pump"</formula>
    </cfRule>
    <cfRule type="expression" dxfId="5233" priority="5507" stopIfTrue="1">
      <formula>$A257="Tmdpvol"</formula>
    </cfRule>
    <cfRule type="expression" dxfId="5232" priority="5515" stopIfTrue="1">
      <formula>$A257="Snglvol"</formula>
    </cfRule>
  </conditionalFormatting>
  <conditionalFormatting sqref="Q257:Q270 L257:L270 F257:G270 C257:D270">
    <cfRule type="expression" dxfId="5231" priority="5496" stopIfTrue="1">
      <formula>$A257="Tmdpjun"</formula>
    </cfRule>
  </conditionalFormatting>
  <conditionalFormatting sqref="E257:E259 E267:E269">
    <cfRule type="expression" dxfId="5230" priority="5497" stopIfTrue="1">
      <formula>$A257="Tmdpjun"</formula>
    </cfRule>
  </conditionalFormatting>
  <conditionalFormatting sqref="Q257:Q270 L257:L270 D257:D270">
    <cfRule type="expression" dxfId="5229" priority="5500" stopIfTrue="1">
      <formula>$A257="Pump"</formula>
    </cfRule>
  </conditionalFormatting>
  <conditionalFormatting sqref="E257:E259 E267:E269">
    <cfRule type="expression" dxfId="5228" priority="5501" stopIfTrue="1">
      <formula>$A257="Pump"</formula>
    </cfRule>
  </conditionalFormatting>
  <conditionalFormatting sqref="L257:P270 T257:T270 H257:I260 D257:D270 H262:I264 H266:I270">
    <cfRule type="expression" dxfId="5227" priority="5504" stopIfTrue="1">
      <formula>$A257="Tmdpvol"</formula>
    </cfRule>
  </conditionalFormatting>
  <conditionalFormatting sqref="E257:E259 E267:E269">
    <cfRule type="expression" dxfId="5226" priority="5505" stopIfTrue="1">
      <formula>$A257="Tmdpvol"</formula>
    </cfRule>
  </conditionalFormatting>
  <conditionalFormatting sqref="B257:B270">
    <cfRule type="expression" dxfId="5225" priority="5508" stopIfTrue="1">
      <formula>$A257="Snglvol"</formula>
    </cfRule>
    <cfRule type="expression" dxfId="5224" priority="5519" stopIfTrue="1">
      <formula>$A257="Init"</formula>
    </cfRule>
    <cfRule type="expression" dxfId="5223" priority="5525" stopIfTrue="1">
      <formula>$A257="Timestep"</formula>
    </cfRule>
    <cfRule type="expression" dxfId="5222" priority="5531" stopIfTrue="1">
      <formula>$A257="Triggerwords"</formula>
    </cfRule>
    <cfRule type="expression" dxfId="5221" priority="5535" stopIfTrue="1">
      <formula>$A257="Tripvar"</formula>
    </cfRule>
  </conditionalFormatting>
  <conditionalFormatting sqref="T257:T270 N257:Q270 L257:L270 H257:I260 D257:D270 H262:I264 H266:I270">
    <cfRule type="expression" dxfId="5220" priority="5510" stopIfTrue="1">
      <formula>$A257="Snglvol"</formula>
    </cfRule>
  </conditionalFormatting>
  <conditionalFormatting sqref="E257:E259 E267:E269">
    <cfRule type="expression" dxfId="5219" priority="5511" stopIfTrue="1">
      <formula>$A257="Snglvol"</formula>
    </cfRule>
  </conditionalFormatting>
  <conditionalFormatting sqref="A257:A270">
    <cfRule type="expression" dxfId="5218" priority="5516" stopIfTrue="1">
      <formula>$A257="Relapnr"</formula>
    </cfRule>
  </conditionalFormatting>
  <conditionalFormatting sqref="A257:A270">
    <cfRule type="expression" dxfId="5217" priority="5518" stopIfTrue="1">
      <formula>$A257="Init"</formula>
    </cfRule>
  </conditionalFormatting>
  <conditionalFormatting sqref="A257:A270">
    <cfRule type="expression" dxfId="5216" priority="5521" stopIfTrue="1">
      <formula>$A257="InitGas"</formula>
    </cfRule>
  </conditionalFormatting>
  <conditionalFormatting sqref="A257:A270 D257:D270">
    <cfRule type="expression" dxfId="5215" priority="5524" stopIfTrue="1">
      <formula>$A257="Timestep"</formula>
    </cfRule>
  </conditionalFormatting>
  <conditionalFormatting sqref="E257:E259 E267:E269">
    <cfRule type="expression" dxfId="5214" priority="5527" stopIfTrue="1">
      <formula>$A257="Timestep"</formula>
    </cfRule>
  </conditionalFormatting>
  <conditionalFormatting sqref="A257:A270">
    <cfRule type="expression" dxfId="5213" priority="5528" stopIfTrue="1">
      <formula>$A257="Replacements"</formula>
    </cfRule>
  </conditionalFormatting>
  <conditionalFormatting sqref="A257:A270">
    <cfRule type="expression" dxfId="5212" priority="5530" stopIfTrue="1">
      <formula>$A257="Triggerwords"</formula>
    </cfRule>
  </conditionalFormatting>
  <conditionalFormatting sqref="A257:A270">
    <cfRule type="expression" dxfId="5211" priority="5532" stopIfTrue="1">
      <formula>$A257="Custom"</formula>
    </cfRule>
  </conditionalFormatting>
  <conditionalFormatting sqref="A257:A270 F257:I260 D257:D270 F262:I264 F261:G261 F266:I270 F265:G265">
    <cfRule type="expression" dxfId="5210" priority="5534" stopIfTrue="1">
      <formula>$A257="Tripvar"</formula>
    </cfRule>
  </conditionalFormatting>
  <conditionalFormatting sqref="E257:E259 E267:E269">
    <cfRule type="expression" dxfId="5209" priority="5537" stopIfTrue="1">
      <formula>$A257="Tripvar"</formula>
    </cfRule>
  </conditionalFormatting>
  <conditionalFormatting sqref="A257:A270 F257:F270">
    <cfRule type="expression" dxfId="5208" priority="5538" stopIfTrue="1">
      <formula>$A257="Triplog"</formula>
    </cfRule>
  </conditionalFormatting>
  <conditionalFormatting sqref="E257:E259 E267:E269">
    <cfRule type="expression" dxfId="5207" priority="5542" stopIfTrue="1">
      <formula>$A257="Triplog"</formula>
    </cfRule>
  </conditionalFormatting>
  <conditionalFormatting sqref="F253:L256 A253:D254 Q253:Q256 U253:V256 A256:D256 A255 D255">
    <cfRule type="expression" dxfId="5206" priority="5379" stopIfTrue="1">
      <formula>$A253="Pipe"</formula>
    </cfRule>
  </conditionalFormatting>
  <conditionalFormatting sqref="H253:K256 A253:B254 U253:V256 M253:P256 A256:B256 A255">
    <cfRule type="expression" dxfId="5205" priority="5380" stopIfTrue="1">
      <formula>$A253="Junction"</formula>
    </cfRule>
  </conditionalFormatting>
  <conditionalFormatting sqref="H253:K256 A253:B254 T253:V256 M253:P256 A256:B256 A255">
    <cfRule type="expression" dxfId="5204" priority="5381" stopIfTrue="1">
      <formula>$A253="Mtrvlv"</formula>
    </cfRule>
  </conditionalFormatting>
  <conditionalFormatting sqref="H253:K256 B253:B254 T253:V256 M253:P256 B256">
    <cfRule type="expression" dxfId="5203" priority="5382" stopIfTrue="1">
      <formula>$A253="Srvvlv"</formula>
    </cfRule>
  </conditionalFormatting>
  <conditionalFormatting sqref="H253:J256 A253:A256 N253:P256 T253:T256 V253:V256">
    <cfRule type="expression" dxfId="5202" priority="5383" stopIfTrue="1">
      <formula>$A253="Chkvlv"</formula>
    </cfRule>
  </conditionalFormatting>
  <conditionalFormatting sqref="H253:K256 A253:B254 T253:V256 M253:P256 A256:B256 A255">
    <cfRule type="expression" dxfId="5201" priority="5384" stopIfTrue="1">
      <formula>$A253="Inrvlv"</formula>
    </cfRule>
  </conditionalFormatting>
  <conditionalFormatting sqref="H253:K256 B253:B254 T253:V256 M253:P256 B256">
    <cfRule type="expression" dxfId="5200" priority="5385" stopIfTrue="1">
      <formula>$A253="Tmdpjun"</formula>
    </cfRule>
  </conditionalFormatting>
  <conditionalFormatting sqref="F253:K256 A253:C254 T253:V256 M253:P256 A256:C256 A255">
    <cfRule type="expression" dxfId="5199" priority="5386" stopIfTrue="1">
      <formula>$A253="Pump"</formula>
    </cfRule>
  </conditionalFormatting>
  <conditionalFormatting sqref="A253:C254 F253:G256 J253:K256 Q253:Q256 U253:V256 A256:C256 A255">
    <cfRule type="expression" dxfId="5198" priority="5387" stopIfTrue="1">
      <formula>$A253="Tmdpvol"</formula>
    </cfRule>
  </conditionalFormatting>
  <conditionalFormatting sqref="A253:A256 F253:G256 J253:J256 V253:V256">
    <cfRule type="expression" dxfId="5197" priority="5388" stopIfTrue="1">
      <formula>$A253="Snglvol"</formula>
    </cfRule>
  </conditionalFormatting>
  <conditionalFormatting sqref="H253:K256 A253:B254 U253:V256 M253:P256 A256:B256 A255">
    <cfRule type="expression" dxfId="5196" priority="5389" stopIfTrue="1">
      <formula>$A253="Sngljun"</formula>
    </cfRule>
  </conditionalFormatting>
  <conditionalFormatting sqref="E253:E255">
    <cfRule type="expression" dxfId="5195" priority="5390" stopIfTrue="1">
      <formula>$A253="Pipe"</formula>
    </cfRule>
  </conditionalFormatting>
  <conditionalFormatting sqref="R253:T256 M253:P256">
    <cfRule type="expression" dxfId="5194" priority="5391" stopIfTrue="1">
      <formula>$A253="Pipe"</formula>
    </cfRule>
  </conditionalFormatting>
  <conditionalFormatting sqref="C253:C254 C256">
    <cfRule type="expression" dxfId="5193" priority="5392" stopIfTrue="1">
      <formula>$A253="Junction"</formula>
    </cfRule>
    <cfRule type="expression" dxfId="5192" priority="5427" stopIfTrue="1">
      <formula>$A253="Snglvol"</formula>
    </cfRule>
    <cfRule type="expression" dxfId="5191" priority="5441" stopIfTrue="1">
      <formula>$A253="InitGas"</formula>
    </cfRule>
    <cfRule type="expression" dxfId="5190" priority="5454" stopIfTrue="1">
      <formula>$A253="Tripvar"</formula>
    </cfRule>
  </conditionalFormatting>
  <conditionalFormatting sqref="D253:D256 F253:G256 L253:L256 Q253:T256">
    <cfRule type="expression" dxfId="5189" priority="5393" stopIfTrue="1">
      <formula>$A253="Junction"</formula>
    </cfRule>
  </conditionalFormatting>
  <conditionalFormatting sqref="E253:E255">
    <cfRule type="expression" dxfId="5188" priority="5394" stopIfTrue="1">
      <formula>$A253="Junction"</formula>
    </cfRule>
  </conditionalFormatting>
  <conditionalFormatting sqref="C253:D254 F253:G256 L253:L256 Q253:T256 C256:D256 D255">
    <cfRule type="expression" dxfId="5187" priority="5395" stopIfTrue="1">
      <formula>$A253="Sngljun"</formula>
    </cfRule>
  </conditionalFormatting>
  <conditionalFormatting sqref="E253:E255">
    <cfRule type="expression" dxfId="5186" priority="5396" stopIfTrue="1">
      <formula>$A253="Sngljun"</formula>
    </cfRule>
  </conditionalFormatting>
  <conditionalFormatting sqref="C253:D254 F253:G256 L253:L256 Q253:S256 C256:D256 D255">
    <cfRule type="expression" dxfId="5185" priority="5397" stopIfTrue="1">
      <formula>$A253="Mtrvlv"</formula>
    </cfRule>
  </conditionalFormatting>
  <conditionalFormatting sqref="E253:E255">
    <cfRule type="expression" dxfId="5184" priority="5398" stopIfTrue="1">
      <formula>$A253="Mtrvlv"</formula>
    </cfRule>
  </conditionalFormatting>
  <conditionalFormatting sqref="A253:A256">
    <cfRule type="expression" dxfId="5183" priority="5399" stopIfTrue="1">
      <formula>$A253="Srvvlv"</formula>
    </cfRule>
    <cfRule type="expression" dxfId="5182" priority="5413" stopIfTrue="1">
      <formula>$A253="Tmdpjun"</formula>
    </cfRule>
  </conditionalFormatting>
  <conditionalFormatting sqref="C253:D254 F253:G256 L253:L256 Q253:Q256 S253:S256 C256:D256 D255">
    <cfRule type="expression" dxfId="5181" priority="5400" stopIfTrue="1">
      <formula>$A253="Srvvlv"</formula>
    </cfRule>
  </conditionalFormatting>
  <conditionalFormatting sqref="E253:E255">
    <cfRule type="expression" dxfId="5180" priority="5401" stopIfTrue="1">
      <formula>$A253="Srvvlv"</formula>
    </cfRule>
  </conditionalFormatting>
  <conditionalFormatting sqref="R253:R256">
    <cfRule type="expression" dxfId="5179" priority="5402" stopIfTrue="1">
      <formula>$A253="Srvvlv"</formula>
    </cfRule>
    <cfRule type="expression" dxfId="5178" priority="5416" stopIfTrue="1">
      <formula>$A253="Tmdpjun"</formula>
    </cfRule>
    <cfRule type="expression" dxfId="5177" priority="5420" stopIfTrue="1">
      <formula>$A253="Pump"</formula>
    </cfRule>
    <cfRule type="expression" dxfId="5176" priority="5424" stopIfTrue="1">
      <formula>$A253="Tmdpvol"</formula>
    </cfRule>
    <cfRule type="expression" dxfId="5175" priority="5432" stopIfTrue="1">
      <formula>$A253="Snglvol"</formula>
    </cfRule>
  </conditionalFormatting>
  <conditionalFormatting sqref="B253:B254 B256">
    <cfRule type="expression" dxfId="5174" priority="5403" stopIfTrue="1">
      <formula>$A253="Chkvlv"</formula>
    </cfRule>
    <cfRule type="expression" dxfId="5173" priority="5435" stopIfTrue="1">
      <formula>$A253="Relapnr"</formula>
    </cfRule>
    <cfRule type="expression" dxfId="5172" priority="5440" stopIfTrue="1">
      <formula>$A253="InitGas"</formula>
    </cfRule>
    <cfRule type="expression" dxfId="5171" priority="5447" stopIfTrue="1">
      <formula>$A253="Replacements"</formula>
    </cfRule>
    <cfRule type="expression" dxfId="5170" priority="5451" stopIfTrue="1">
      <formula>$A253="Custom"</formula>
    </cfRule>
    <cfRule type="expression" dxfId="5169" priority="5457" stopIfTrue="1">
      <formula>$A253="Triplog"</formula>
    </cfRule>
  </conditionalFormatting>
  <conditionalFormatting sqref="F253:G256 L253:L256 Q253:S256 C253:C254 C256">
    <cfRule type="expression" dxfId="5168" priority="5404" stopIfTrue="1">
      <formula>$A253="Chkvlv"</formula>
    </cfRule>
  </conditionalFormatting>
  <conditionalFormatting sqref="D253:D256">
    <cfRule type="expression" dxfId="5167" priority="5405" stopIfTrue="1">
      <formula>$A253="Chkvlv"</formula>
    </cfRule>
    <cfRule type="expression" dxfId="5166" priority="5459" stopIfTrue="1">
      <formula>$A253="Triplog"</formula>
    </cfRule>
  </conditionalFormatting>
  <conditionalFormatting sqref="E253:E255">
    <cfRule type="expression" dxfId="5165" priority="5406" stopIfTrue="1">
      <formula>$A253="Chkvlv"</formula>
    </cfRule>
  </conditionalFormatting>
  <conditionalFormatting sqref="K253:K256 U253:U256">
    <cfRule type="expression" dxfId="5164" priority="5407" stopIfTrue="1">
      <formula>$A253="Chkvlv"</formula>
    </cfRule>
    <cfRule type="expression" dxfId="5163" priority="5430" stopIfTrue="1">
      <formula>$A253="Snglvol"</formula>
    </cfRule>
  </conditionalFormatting>
  <conditionalFormatting sqref="M253:M256">
    <cfRule type="expression" dxfId="5162" priority="5408" stopIfTrue="1">
      <formula>$A253="Chkvlv"</formula>
    </cfRule>
    <cfRule type="expression" dxfId="5161" priority="5431" stopIfTrue="1">
      <formula>$A253="Snglvol"</formula>
    </cfRule>
  </conditionalFormatting>
  <conditionalFormatting sqref="C253:C254 C256">
    <cfRule type="expression" dxfId="5160" priority="5409" stopIfTrue="1">
      <formula>$A253="Inrvlv"</formula>
    </cfRule>
    <cfRule type="expression" dxfId="5159" priority="5438" stopIfTrue="1">
      <formula>$A253="Init"</formula>
    </cfRule>
    <cfRule type="expression" dxfId="5158" priority="5444" stopIfTrue="1">
      <formula>$A253="Timestep"</formula>
    </cfRule>
    <cfRule type="expression" dxfId="5157" priority="5458" stopIfTrue="1">
      <formula>$A253="Triplog"</formula>
    </cfRule>
  </conditionalFormatting>
  <conditionalFormatting sqref="D253:D256 F253:G256 L253:L256 Q253:R256">
    <cfRule type="expression" dxfId="5156" priority="5410" stopIfTrue="1">
      <formula>$A253="Inrvlv"</formula>
    </cfRule>
  </conditionalFormatting>
  <conditionalFormatting sqref="E253:E255">
    <cfRule type="expression" dxfId="5155" priority="5411" stopIfTrue="1">
      <formula>$A253="Inrvlv"</formula>
    </cfRule>
  </conditionalFormatting>
  <conditionalFormatting sqref="S253:S256">
    <cfRule type="expression" dxfId="5154" priority="5412" stopIfTrue="1">
      <formula>$A253="Inrvlv"</formula>
    </cfRule>
    <cfRule type="expression" dxfId="5153" priority="5417" stopIfTrue="1">
      <formula>$A253="Tmdpjun"</formula>
    </cfRule>
    <cfRule type="expression" dxfId="5152" priority="5421" stopIfTrue="1">
      <formula>$A253="Pump"</formula>
    </cfRule>
    <cfRule type="expression" dxfId="5151" priority="5425" stopIfTrue="1">
      <formula>$A253="Tmdpvol"</formula>
    </cfRule>
    <cfRule type="expression" dxfId="5150" priority="5433" stopIfTrue="1">
      <formula>$A253="Snglvol"</formula>
    </cfRule>
  </conditionalFormatting>
  <conditionalFormatting sqref="C253:D254 F253:G256 L253:L256 Q253:Q256 C256:D256 D255">
    <cfRule type="expression" dxfId="5149" priority="5414" stopIfTrue="1">
      <formula>$A253="Tmdpjun"</formula>
    </cfRule>
  </conditionalFormatting>
  <conditionalFormatting sqref="E253:E255">
    <cfRule type="expression" dxfId="5148" priority="5415" stopIfTrue="1">
      <formula>$A253="Tmdpjun"</formula>
    </cfRule>
  </conditionalFormatting>
  <conditionalFormatting sqref="D253:D256 L253:L256 Q253:Q256">
    <cfRule type="expression" dxfId="5147" priority="5418" stopIfTrue="1">
      <formula>$A253="Pump"</formula>
    </cfRule>
  </conditionalFormatting>
  <conditionalFormatting sqref="E253:E255">
    <cfRule type="expression" dxfId="5146" priority="5419" stopIfTrue="1">
      <formula>$A253="Pump"</formula>
    </cfRule>
  </conditionalFormatting>
  <conditionalFormatting sqref="D253:D256 H253:I256 T253:T256 L253:P256">
    <cfRule type="expression" dxfId="5145" priority="5422" stopIfTrue="1">
      <formula>$A253="Tmdpvol"</formula>
    </cfRule>
  </conditionalFormatting>
  <conditionalFormatting sqref="E253:E255">
    <cfRule type="expression" dxfId="5144" priority="5423" stopIfTrue="1">
      <formula>$A253="Tmdpvol"</formula>
    </cfRule>
  </conditionalFormatting>
  <conditionalFormatting sqref="B253:B254 B256">
    <cfRule type="expression" dxfId="5143" priority="5426" stopIfTrue="1">
      <formula>$A253="Snglvol"</formula>
    </cfRule>
    <cfRule type="expression" dxfId="5142" priority="5437" stopIfTrue="1">
      <formula>$A253="Init"</formula>
    </cfRule>
    <cfRule type="expression" dxfId="5141" priority="5443" stopIfTrue="1">
      <formula>$A253="Timestep"</formula>
    </cfRule>
    <cfRule type="expression" dxfId="5140" priority="5449" stopIfTrue="1">
      <formula>$A253="Triggerwords"</formula>
    </cfRule>
    <cfRule type="expression" dxfId="5139" priority="5453" stopIfTrue="1">
      <formula>$A253="Tripvar"</formula>
    </cfRule>
  </conditionalFormatting>
  <conditionalFormatting sqref="D253:D256 H253:I256 L253:L256 N253:Q256 T253:T256">
    <cfRule type="expression" dxfId="5138" priority="5428" stopIfTrue="1">
      <formula>$A253="Snglvol"</formula>
    </cfRule>
  </conditionalFormatting>
  <conditionalFormatting sqref="E253:E255">
    <cfRule type="expression" dxfId="5137" priority="5429" stopIfTrue="1">
      <formula>$A253="Snglvol"</formula>
    </cfRule>
  </conditionalFormatting>
  <conditionalFormatting sqref="A253:A256">
    <cfRule type="expression" dxfId="5136" priority="5434" stopIfTrue="1">
      <formula>$A253="Relapnr"</formula>
    </cfRule>
  </conditionalFormatting>
  <conditionalFormatting sqref="A253:A256">
    <cfRule type="expression" dxfId="5135" priority="5436" stopIfTrue="1">
      <formula>$A253="Init"</formula>
    </cfRule>
  </conditionalFormatting>
  <conditionalFormatting sqref="A253:A256">
    <cfRule type="expression" dxfId="5134" priority="5439" stopIfTrue="1">
      <formula>$A253="InitGas"</formula>
    </cfRule>
  </conditionalFormatting>
  <conditionalFormatting sqref="D253:D256 A253:A256">
    <cfRule type="expression" dxfId="5133" priority="5442" stopIfTrue="1">
      <formula>$A253="Timestep"</formula>
    </cfRule>
  </conditionalFormatting>
  <conditionalFormatting sqref="E253:E255">
    <cfRule type="expression" dxfId="5132" priority="5445" stopIfTrue="1">
      <formula>$A253="Timestep"</formula>
    </cfRule>
  </conditionalFormatting>
  <conditionalFormatting sqref="A253:A256">
    <cfRule type="expression" dxfId="5131" priority="5446" stopIfTrue="1">
      <formula>$A253="Replacements"</formula>
    </cfRule>
  </conditionalFormatting>
  <conditionalFormatting sqref="A253:A256">
    <cfRule type="expression" dxfId="5130" priority="5448" stopIfTrue="1">
      <formula>$A253="Triggerwords"</formula>
    </cfRule>
  </conditionalFormatting>
  <conditionalFormatting sqref="A253:A256">
    <cfRule type="expression" dxfId="5129" priority="5450" stopIfTrue="1">
      <formula>$A253="Custom"</formula>
    </cfRule>
  </conditionalFormatting>
  <conditionalFormatting sqref="D253:D256 F253:I256 A253:A256">
    <cfRule type="expression" dxfId="5128" priority="5452" stopIfTrue="1">
      <formula>$A253="Tripvar"</formula>
    </cfRule>
  </conditionalFormatting>
  <conditionalFormatting sqref="E253:E255">
    <cfRule type="expression" dxfId="5127" priority="5455" stopIfTrue="1">
      <formula>$A253="Tripvar"</formula>
    </cfRule>
  </conditionalFormatting>
  <conditionalFormatting sqref="F253:F256 A253:A256">
    <cfRule type="expression" dxfId="5126" priority="5456" stopIfTrue="1">
      <formula>$A253="Triplog"</formula>
    </cfRule>
  </conditionalFormatting>
  <conditionalFormatting sqref="E253:E255">
    <cfRule type="expression" dxfId="5125" priority="5460" stopIfTrue="1">
      <formula>$A253="Triplog"</formula>
    </cfRule>
  </conditionalFormatting>
  <conditionalFormatting sqref="E260:E266">
    <cfRule type="expression" dxfId="5124" priority="5365" stopIfTrue="1">
      <formula>$A260="Pipe"</formula>
    </cfRule>
  </conditionalFormatting>
  <conditionalFormatting sqref="E260:E266">
    <cfRule type="expression" dxfId="5123" priority="5366" stopIfTrue="1">
      <formula>$A260="Junction"</formula>
    </cfRule>
  </conditionalFormatting>
  <conditionalFormatting sqref="E260:E266">
    <cfRule type="expression" dxfId="5122" priority="5367" stopIfTrue="1">
      <formula>$A260="Sngljun"</formula>
    </cfRule>
  </conditionalFormatting>
  <conditionalFormatting sqref="E260:E266">
    <cfRule type="expression" dxfId="5121" priority="5368" stopIfTrue="1">
      <formula>$A260="Mtrvlv"</formula>
    </cfRule>
  </conditionalFormatting>
  <conditionalFormatting sqref="E260:E266">
    <cfRule type="expression" dxfId="5120" priority="5369" stopIfTrue="1">
      <formula>$A260="Srvvlv"</formula>
    </cfRule>
  </conditionalFormatting>
  <conditionalFormatting sqref="E260:E266">
    <cfRule type="expression" dxfId="5119" priority="5370" stopIfTrue="1">
      <formula>$A260="Chkvlv"</formula>
    </cfRule>
  </conditionalFormatting>
  <conditionalFormatting sqref="E260:E266">
    <cfRule type="expression" dxfId="5118" priority="5371" stopIfTrue="1">
      <formula>$A260="Inrvlv"</formula>
    </cfRule>
  </conditionalFormatting>
  <conditionalFormatting sqref="E260:E266">
    <cfRule type="expression" dxfId="5117" priority="5372" stopIfTrue="1">
      <formula>$A260="Tmdpjun"</formula>
    </cfRule>
  </conditionalFormatting>
  <conditionalFormatting sqref="E260:E266">
    <cfRule type="expression" dxfId="5116" priority="5373" stopIfTrue="1">
      <formula>$A260="Pump"</formula>
    </cfRule>
  </conditionalFormatting>
  <conditionalFormatting sqref="E260:E266">
    <cfRule type="expression" dxfId="5115" priority="5374" stopIfTrue="1">
      <formula>$A260="Tmdpvol"</formula>
    </cfRule>
  </conditionalFormatting>
  <conditionalFormatting sqref="E260:E266">
    <cfRule type="expression" dxfId="5114" priority="5375" stopIfTrue="1">
      <formula>$A260="Snglvol"</formula>
    </cfRule>
  </conditionalFormatting>
  <conditionalFormatting sqref="E260:E266">
    <cfRule type="expression" dxfId="5113" priority="5376" stopIfTrue="1">
      <formula>$A260="Timestep"</formula>
    </cfRule>
  </conditionalFormatting>
  <conditionalFormatting sqref="E260:E266">
    <cfRule type="expression" dxfId="5112" priority="5377" stopIfTrue="1">
      <formula>$A260="Tripvar"</formula>
    </cfRule>
  </conditionalFormatting>
  <conditionalFormatting sqref="E260:E266">
    <cfRule type="expression" dxfId="5111" priority="5378" stopIfTrue="1">
      <formula>$A260="Triplog"</formula>
    </cfRule>
  </conditionalFormatting>
  <conditionalFormatting sqref="U73:V73 Q73 A73:D73 F73:K73">
    <cfRule type="expression" dxfId="5110" priority="5297" stopIfTrue="1">
      <formula>$A73="Pipe"</formula>
    </cfRule>
  </conditionalFormatting>
  <conditionalFormatting sqref="M73:P73 U73:V73 A73:B73 H73:K73">
    <cfRule type="expression" dxfId="5109" priority="5298" stopIfTrue="1">
      <formula>$A73="Junction"</formula>
    </cfRule>
  </conditionalFormatting>
  <conditionalFormatting sqref="M73:P73 T73:V73 A73:B73 H73:K73">
    <cfRule type="expression" dxfId="5108" priority="5299" stopIfTrue="1">
      <formula>$A73="Mtrvlv"</formula>
    </cfRule>
  </conditionalFormatting>
  <conditionalFormatting sqref="M73:P73 T73:V73 B73 H73:K73">
    <cfRule type="expression" dxfId="5107" priority="5300" stopIfTrue="1">
      <formula>$A73="Srvvlv"</formula>
    </cfRule>
  </conditionalFormatting>
  <conditionalFormatting sqref="V73 T73 N73:P73 A73 H73:J73">
    <cfRule type="expression" dxfId="5106" priority="5301" stopIfTrue="1">
      <formula>$A73="Chkvlv"</formula>
    </cfRule>
  </conditionalFormatting>
  <conditionalFormatting sqref="M73:P73 T73:V73 A73:B73 H73:K73">
    <cfRule type="expression" dxfId="5105" priority="5302" stopIfTrue="1">
      <formula>$A73="Inrvlv"</formula>
    </cfRule>
  </conditionalFormatting>
  <conditionalFormatting sqref="M73:P73 T73:V73 B73 H73:K73">
    <cfRule type="expression" dxfId="5104" priority="5303" stopIfTrue="1">
      <formula>$A73="Tmdpjun"</formula>
    </cfRule>
  </conditionalFormatting>
  <conditionalFormatting sqref="M73:P73 T73:V73 A73:C73 F73:K73">
    <cfRule type="expression" dxfId="5103" priority="5304" stopIfTrue="1">
      <formula>$A73="Pump"</formula>
    </cfRule>
  </conditionalFormatting>
  <conditionalFormatting sqref="U73:V73 Q73 J73:K73 F73:G73 A73:C73">
    <cfRule type="expression" dxfId="5102" priority="5305" stopIfTrue="1">
      <formula>$A73="Tmdpvol"</formula>
    </cfRule>
  </conditionalFormatting>
  <conditionalFormatting sqref="V73 J73 F73:G73 A73">
    <cfRule type="expression" dxfId="5101" priority="5306" stopIfTrue="1">
      <formula>$A73="Snglvol"</formula>
    </cfRule>
  </conditionalFormatting>
  <conditionalFormatting sqref="M73:P73 U73:V73 A73:B73 H73:K73">
    <cfRule type="expression" dxfId="5100" priority="5307" stopIfTrue="1">
      <formula>$A73="Sngljun"</formula>
    </cfRule>
  </conditionalFormatting>
  <conditionalFormatting sqref="M73:P73 R73:T73">
    <cfRule type="expression" dxfId="5099" priority="5308" stopIfTrue="1">
      <formula>$A73="Pipe"</formula>
    </cfRule>
  </conditionalFormatting>
  <conditionalFormatting sqref="C73">
    <cfRule type="expression" dxfId="5098" priority="5309" stopIfTrue="1">
      <formula>$A73="Junction"</formula>
    </cfRule>
    <cfRule type="expression" dxfId="5097" priority="5335" stopIfTrue="1">
      <formula>$A73="Snglvol"</formula>
    </cfRule>
    <cfRule type="expression" dxfId="5096" priority="5348" stopIfTrue="1">
      <formula>$A73="InitGas"</formula>
    </cfRule>
    <cfRule type="expression" dxfId="5095" priority="5360" stopIfTrue="1">
      <formula>$A73="Tripvar"</formula>
    </cfRule>
  </conditionalFormatting>
  <conditionalFormatting sqref="Q73:T73 F73:G73 D73">
    <cfRule type="expression" dxfId="5094" priority="5310" stopIfTrue="1">
      <formula>$A73="Junction"</formula>
    </cfRule>
  </conditionalFormatting>
  <conditionalFormatting sqref="Q73:T73 F73:G73 C73:D73">
    <cfRule type="expression" dxfId="5093" priority="5311" stopIfTrue="1">
      <formula>$A73="Sngljun"</formula>
    </cfRule>
  </conditionalFormatting>
  <conditionalFormatting sqref="Q73:S73 F73:G73 C73:D73">
    <cfRule type="expression" dxfId="5092" priority="5312" stopIfTrue="1">
      <formula>$A73="Mtrvlv"</formula>
    </cfRule>
  </conditionalFormatting>
  <conditionalFormatting sqref="A73">
    <cfRule type="expression" dxfId="5091" priority="5313" stopIfTrue="1">
      <formula>$A73="Srvvlv"</formula>
    </cfRule>
    <cfRule type="expression" dxfId="5090" priority="5324" stopIfTrue="1">
      <formula>$A73="Tmdpjun"</formula>
    </cfRule>
  </conditionalFormatting>
  <conditionalFormatting sqref="S73 Q73 F73:G73 C73:D73">
    <cfRule type="expression" dxfId="5089" priority="5314" stopIfTrue="1">
      <formula>$A73="Srvvlv"</formula>
    </cfRule>
  </conditionalFormatting>
  <conditionalFormatting sqref="R73">
    <cfRule type="expression" dxfId="5088" priority="5315" stopIfTrue="1">
      <formula>$A73="Srvvlv"</formula>
    </cfRule>
    <cfRule type="expression" dxfId="5087" priority="5326" stopIfTrue="1">
      <formula>$A73="Tmdpjun"</formula>
    </cfRule>
    <cfRule type="expression" dxfId="5086" priority="5329" stopIfTrue="1">
      <formula>$A73="Pump"</formula>
    </cfRule>
    <cfRule type="expression" dxfId="5085" priority="5332" stopIfTrue="1">
      <formula>$A73="Tmdpvol"</formula>
    </cfRule>
    <cfRule type="expression" dxfId="5084" priority="5339" stopIfTrue="1">
      <formula>$A73="Snglvol"</formula>
    </cfRule>
  </conditionalFormatting>
  <conditionalFormatting sqref="B73">
    <cfRule type="expression" dxfId="5083" priority="5316" stopIfTrue="1">
      <formula>$A73="Chkvlv"</formula>
    </cfRule>
    <cfRule type="expression" dxfId="5082" priority="5342" stopIfTrue="1">
      <formula>$A73="Relapnr"</formula>
    </cfRule>
    <cfRule type="expression" dxfId="5081" priority="5347" stopIfTrue="1">
      <formula>$A73="InitGas"</formula>
    </cfRule>
    <cfRule type="expression" dxfId="5080" priority="5353" stopIfTrue="1">
      <formula>$A73="Replacements"</formula>
    </cfRule>
    <cfRule type="expression" dxfId="5079" priority="5357" stopIfTrue="1">
      <formula>$A73="Custom"</formula>
    </cfRule>
    <cfRule type="expression" dxfId="5078" priority="5362" stopIfTrue="1">
      <formula>$A73="Triplog"</formula>
    </cfRule>
  </conditionalFormatting>
  <conditionalFormatting sqref="C73 Q73:S73 F73:G73">
    <cfRule type="expression" dxfId="5077" priority="5317" stopIfTrue="1">
      <formula>$A73="Chkvlv"</formula>
    </cfRule>
  </conditionalFormatting>
  <conditionalFormatting sqref="D73">
    <cfRule type="expression" dxfId="5076" priority="5318" stopIfTrue="1">
      <formula>$A73="Chkvlv"</formula>
    </cfRule>
    <cfRule type="expression" dxfId="5075" priority="5364" stopIfTrue="1">
      <formula>$A73="Triplog"</formula>
    </cfRule>
  </conditionalFormatting>
  <conditionalFormatting sqref="U73 K73">
    <cfRule type="expression" dxfId="5074" priority="5319" stopIfTrue="1">
      <formula>$A73="Chkvlv"</formula>
    </cfRule>
    <cfRule type="expression" dxfId="5073" priority="5337" stopIfTrue="1">
      <formula>$A73="Snglvol"</formula>
    </cfRule>
  </conditionalFormatting>
  <conditionalFormatting sqref="M73">
    <cfRule type="expression" dxfId="5072" priority="5320" stopIfTrue="1">
      <formula>$A73="Chkvlv"</formula>
    </cfRule>
    <cfRule type="expression" dxfId="5071" priority="5338" stopIfTrue="1">
      <formula>$A73="Snglvol"</formula>
    </cfRule>
  </conditionalFormatting>
  <conditionalFormatting sqref="C73">
    <cfRule type="expression" dxfId="5070" priority="5321" stopIfTrue="1">
      <formula>$A73="Inrvlv"</formula>
    </cfRule>
    <cfRule type="expression" dxfId="5069" priority="5345" stopIfTrue="1">
      <formula>$A73="Init"</formula>
    </cfRule>
    <cfRule type="expression" dxfId="5068" priority="5351" stopIfTrue="1">
      <formula>$A73="Timestep"</formula>
    </cfRule>
    <cfRule type="expression" dxfId="5067" priority="5363" stopIfTrue="1">
      <formula>$A73="Triplog"</formula>
    </cfRule>
  </conditionalFormatting>
  <conditionalFormatting sqref="Q73:R73 F73:G73 D73">
    <cfRule type="expression" dxfId="5066" priority="5322" stopIfTrue="1">
      <formula>$A73="Inrvlv"</formula>
    </cfRule>
  </conditionalFormatting>
  <conditionalFormatting sqref="S73">
    <cfRule type="expression" dxfId="5065" priority="5323" stopIfTrue="1">
      <formula>$A73="Inrvlv"</formula>
    </cfRule>
    <cfRule type="expression" dxfId="5064" priority="5327" stopIfTrue="1">
      <formula>$A73="Tmdpjun"</formula>
    </cfRule>
    <cfRule type="expression" dxfId="5063" priority="5330" stopIfTrue="1">
      <formula>$A73="Pump"</formula>
    </cfRule>
    <cfRule type="expression" dxfId="5062" priority="5333" stopIfTrue="1">
      <formula>$A73="Tmdpvol"</formula>
    </cfRule>
    <cfRule type="expression" dxfId="5061" priority="5340" stopIfTrue="1">
      <formula>$A73="Snglvol"</formula>
    </cfRule>
  </conditionalFormatting>
  <conditionalFormatting sqref="Q73 F73:G73 C73:D73">
    <cfRule type="expression" dxfId="5060" priority="5325" stopIfTrue="1">
      <formula>$A73="Tmdpjun"</formula>
    </cfRule>
  </conditionalFormatting>
  <conditionalFormatting sqref="Q73 D73">
    <cfRule type="expression" dxfId="5059" priority="5328" stopIfTrue="1">
      <formula>$A73="Pump"</formula>
    </cfRule>
  </conditionalFormatting>
  <conditionalFormatting sqref="T73 H73:I73 D73 M73:P73">
    <cfRule type="expression" dxfId="5058" priority="5331" stopIfTrue="1">
      <formula>$A73="Tmdpvol"</formula>
    </cfRule>
  </conditionalFormatting>
  <conditionalFormatting sqref="B73">
    <cfRule type="expression" dxfId="5057" priority="5334" stopIfTrue="1">
      <formula>$A73="Snglvol"</formula>
    </cfRule>
    <cfRule type="expression" dxfId="5056" priority="5344" stopIfTrue="1">
      <formula>$A73="Init"</formula>
    </cfRule>
    <cfRule type="expression" dxfId="5055" priority="5350" stopIfTrue="1">
      <formula>$A73="Timestep"</formula>
    </cfRule>
    <cfRule type="expression" dxfId="5054" priority="5355" stopIfTrue="1">
      <formula>$A73="Triggerwords"</formula>
    </cfRule>
    <cfRule type="expression" dxfId="5053" priority="5359" stopIfTrue="1">
      <formula>$A73="Tripvar"</formula>
    </cfRule>
  </conditionalFormatting>
  <conditionalFormatting sqref="T73 N73:Q73 H73:I73 D73">
    <cfRule type="expression" dxfId="5052" priority="5336" stopIfTrue="1">
      <formula>$A73="Snglvol"</formula>
    </cfRule>
  </conditionalFormatting>
  <conditionalFormatting sqref="A73">
    <cfRule type="expression" dxfId="5051" priority="5341" stopIfTrue="1">
      <formula>$A73="Relapnr"</formula>
    </cfRule>
  </conditionalFormatting>
  <conditionalFormatting sqref="A73">
    <cfRule type="expression" dxfId="5050" priority="5343" stopIfTrue="1">
      <formula>$A73="Init"</formula>
    </cfRule>
  </conditionalFormatting>
  <conditionalFormatting sqref="A73">
    <cfRule type="expression" dxfId="5049" priority="5346" stopIfTrue="1">
      <formula>$A73="InitGas"</formula>
    </cfRule>
  </conditionalFormatting>
  <conditionalFormatting sqref="A73 D73">
    <cfRule type="expression" dxfId="5048" priority="5349" stopIfTrue="1">
      <formula>$A73="Timestep"</formula>
    </cfRule>
  </conditionalFormatting>
  <conditionalFormatting sqref="A73">
    <cfRule type="expression" dxfId="5047" priority="5352" stopIfTrue="1">
      <formula>$A73="Replacements"</formula>
    </cfRule>
  </conditionalFormatting>
  <conditionalFormatting sqref="A73">
    <cfRule type="expression" dxfId="5046" priority="5354" stopIfTrue="1">
      <formula>$A73="Triggerwords"</formula>
    </cfRule>
  </conditionalFormatting>
  <conditionalFormatting sqref="A73">
    <cfRule type="expression" dxfId="5045" priority="5356" stopIfTrue="1">
      <formula>$A73="Custom"</formula>
    </cfRule>
  </conditionalFormatting>
  <conditionalFormatting sqref="A73 F73:I73 D73">
    <cfRule type="expression" dxfId="5044" priority="5358" stopIfTrue="1">
      <formula>$A73="Tripvar"</formula>
    </cfRule>
  </conditionalFormatting>
  <conditionalFormatting sqref="A73 F73">
    <cfRule type="expression" dxfId="5043" priority="5361" stopIfTrue="1">
      <formula>$A73="Triplog"</formula>
    </cfRule>
  </conditionalFormatting>
  <conditionalFormatting sqref="L73">
    <cfRule type="expression" dxfId="5042" priority="5272" stopIfTrue="1">
      <formula>$A73="Pipe"</formula>
    </cfRule>
  </conditionalFormatting>
  <conditionalFormatting sqref="L73">
    <cfRule type="expression" dxfId="5041" priority="5273" stopIfTrue="1">
      <formula>$A73="Junction"</formula>
    </cfRule>
  </conditionalFormatting>
  <conditionalFormatting sqref="L73">
    <cfRule type="expression" dxfId="5040" priority="5274" stopIfTrue="1">
      <formula>$A73="Sngljun"</formula>
    </cfRule>
  </conditionalFormatting>
  <conditionalFormatting sqref="L73">
    <cfRule type="expression" dxfId="5039" priority="5275" stopIfTrue="1">
      <formula>$A73="Mtrvlv"</formula>
    </cfRule>
  </conditionalFormatting>
  <conditionalFormatting sqref="L73">
    <cfRule type="expression" dxfId="5038" priority="5276" stopIfTrue="1">
      <formula>$A73="Srvvlv"</formula>
    </cfRule>
  </conditionalFormatting>
  <conditionalFormatting sqref="L73">
    <cfRule type="expression" dxfId="5037" priority="5277" stopIfTrue="1">
      <formula>$A73="Chkvlv"</formula>
    </cfRule>
  </conditionalFormatting>
  <conditionalFormatting sqref="L73">
    <cfRule type="expression" dxfId="5036" priority="5278" stopIfTrue="1">
      <formula>$A73="Inrvlv"</formula>
    </cfRule>
  </conditionalFormatting>
  <conditionalFormatting sqref="L73">
    <cfRule type="expression" dxfId="5035" priority="5279" stopIfTrue="1">
      <formula>$A73="Tmdpjun"</formula>
    </cfRule>
  </conditionalFormatting>
  <conditionalFormatting sqref="L73">
    <cfRule type="expression" dxfId="5034" priority="5280" stopIfTrue="1">
      <formula>$A73="Pump"</formula>
    </cfRule>
  </conditionalFormatting>
  <conditionalFormatting sqref="L73">
    <cfRule type="expression" dxfId="5033" priority="5281" stopIfTrue="1">
      <formula>$A73="Tmdpvol"</formula>
    </cfRule>
  </conditionalFormatting>
  <conditionalFormatting sqref="L73">
    <cfRule type="expression" dxfId="5032" priority="5282" stopIfTrue="1">
      <formula>$A73="Snglvol"</formula>
    </cfRule>
  </conditionalFormatting>
  <conditionalFormatting sqref="U81:V81 Q81 A81:D81 F81:K81">
    <cfRule type="expression" dxfId="5031" priority="5204" stopIfTrue="1">
      <formula>$A81="Pipe"</formula>
    </cfRule>
  </conditionalFormatting>
  <conditionalFormatting sqref="M81:P81 U81:V81 A81:B81 H81:K81">
    <cfRule type="expression" dxfId="5030" priority="5205" stopIfTrue="1">
      <formula>$A81="Junction"</formula>
    </cfRule>
  </conditionalFormatting>
  <conditionalFormatting sqref="M81:P81 T81:V81 A81:B81 H81:K81">
    <cfRule type="expression" dxfId="5029" priority="5206" stopIfTrue="1">
      <formula>$A81="Mtrvlv"</formula>
    </cfRule>
  </conditionalFormatting>
  <conditionalFormatting sqref="M81:P81 T81:V81 B81 H81:K81">
    <cfRule type="expression" dxfId="5028" priority="5207" stopIfTrue="1">
      <formula>$A81="Srvvlv"</formula>
    </cfRule>
  </conditionalFormatting>
  <conditionalFormatting sqref="V81 T81 N81:P81 A81 H81:J81">
    <cfRule type="expression" dxfId="5027" priority="5208" stopIfTrue="1">
      <formula>$A81="Chkvlv"</formula>
    </cfRule>
  </conditionalFormatting>
  <conditionalFormatting sqref="M81:P81 T81:V81 A81:B81 H81:K81">
    <cfRule type="expression" dxfId="5026" priority="5209" stopIfTrue="1">
      <formula>$A81="Inrvlv"</formula>
    </cfRule>
  </conditionalFormatting>
  <conditionalFormatting sqref="M81:P81 T81:V81 B81 H81:K81">
    <cfRule type="expression" dxfId="5025" priority="5210" stopIfTrue="1">
      <formula>$A81="Tmdpjun"</formula>
    </cfRule>
  </conditionalFormatting>
  <conditionalFormatting sqref="M81:P81 T81:V81 A81:C81 F81:K81">
    <cfRule type="expression" dxfId="5024" priority="5211" stopIfTrue="1">
      <formula>$A81="Pump"</formula>
    </cfRule>
  </conditionalFormatting>
  <conditionalFormatting sqref="U81:V81 Q81 J81:K81 F81:G81 A81:C81">
    <cfRule type="expression" dxfId="5023" priority="5212" stopIfTrue="1">
      <formula>$A81="Tmdpvol"</formula>
    </cfRule>
  </conditionalFormatting>
  <conditionalFormatting sqref="V81 J81 F81:G81 A81">
    <cfRule type="expression" dxfId="5022" priority="5213" stopIfTrue="1">
      <formula>$A81="Snglvol"</formula>
    </cfRule>
  </conditionalFormatting>
  <conditionalFormatting sqref="M81:P81 U81:V81 A81:B81 H81:K81">
    <cfRule type="expression" dxfId="5021" priority="5214" stopIfTrue="1">
      <formula>$A81="Sngljun"</formula>
    </cfRule>
  </conditionalFormatting>
  <conditionalFormatting sqref="M81:P81 R81:T81">
    <cfRule type="expression" dxfId="5020" priority="5215" stopIfTrue="1">
      <formula>$A81="Pipe"</formula>
    </cfRule>
  </conditionalFormatting>
  <conditionalFormatting sqref="C81">
    <cfRule type="expression" dxfId="5019" priority="5216" stopIfTrue="1">
      <formula>$A81="Junction"</formula>
    </cfRule>
    <cfRule type="expression" dxfId="5018" priority="5242" stopIfTrue="1">
      <formula>$A81="Snglvol"</formula>
    </cfRule>
    <cfRule type="expression" dxfId="5017" priority="5255" stopIfTrue="1">
      <formula>$A81="InitGas"</formula>
    </cfRule>
    <cfRule type="expression" dxfId="5016" priority="5267" stopIfTrue="1">
      <formula>$A81="Tripvar"</formula>
    </cfRule>
  </conditionalFormatting>
  <conditionalFormatting sqref="Q81:T81 F81:G81 D81">
    <cfRule type="expression" dxfId="5015" priority="5217" stopIfTrue="1">
      <formula>$A81="Junction"</formula>
    </cfRule>
  </conditionalFormatting>
  <conditionalFormatting sqref="Q81:T81 F81:G81 C81:D81">
    <cfRule type="expression" dxfId="5014" priority="5218" stopIfTrue="1">
      <formula>$A81="Sngljun"</formula>
    </cfRule>
  </conditionalFormatting>
  <conditionalFormatting sqref="Q81:S81 F81:G81 C81:D81">
    <cfRule type="expression" dxfId="5013" priority="5219" stopIfTrue="1">
      <formula>$A81="Mtrvlv"</formula>
    </cfRule>
  </conditionalFormatting>
  <conditionalFormatting sqref="A81">
    <cfRule type="expression" dxfId="5012" priority="5220" stopIfTrue="1">
      <formula>$A81="Srvvlv"</formula>
    </cfRule>
    <cfRule type="expression" dxfId="5011" priority="5231" stopIfTrue="1">
      <formula>$A81="Tmdpjun"</formula>
    </cfRule>
  </conditionalFormatting>
  <conditionalFormatting sqref="S81 Q81 F81:G81 C81:D81">
    <cfRule type="expression" dxfId="5010" priority="5221" stopIfTrue="1">
      <formula>$A81="Srvvlv"</formula>
    </cfRule>
  </conditionalFormatting>
  <conditionalFormatting sqref="R81">
    <cfRule type="expression" dxfId="5009" priority="5222" stopIfTrue="1">
      <formula>$A81="Srvvlv"</formula>
    </cfRule>
    <cfRule type="expression" dxfId="5008" priority="5233" stopIfTrue="1">
      <formula>$A81="Tmdpjun"</formula>
    </cfRule>
    <cfRule type="expression" dxfId="5007" priority="5236" stopIfTrue="1">
      <formula>$A81="Pump"</formula>
    </cfRule>
    <cfRule type="expression" dxfId="5006" priority="5239" stopIfTrue="1">
      <formula>$A81="Tmdpvol"</formula>
    </cfRule>
    <cfRule type="expression" dxfId="5005" priority="5246" stopIfTrue="1">
      <formula>$A81="Snglvol"</formula>
    </cfRule>
  </conditionalFormatting>
  <conditionalFormatting sqref="B81">
    <cfRule type="expression" dxfId="5004" priority="5223" stopIfTrue="1">
      <formula>$A81="Chkvlv"</formula>
    </cfRule>
    <cfRule type="expression" dxfId="5003" priority="5249" stopIfTrue="1">
      <formula>$A81="Relapnr"</formula>
    </cfRule>
    <cfRule type="expression" dxfId="5002" priority="5254" stopIfTrue="1">
      <formula>$A81="InitGas"</formula>
    </cfRule>
    <cfRule type="expression" dxfId="5001" priority="5260" stopIfTrue="1">
      <formula>$A81="Replacements"</formula>
    </cfRule>
    <cfRule type="expression" dxfId="5000" priority="5264" stopIfTrue="1">
      <formula>$A81="Custom"</formula>
    </cfRule>
    <cfRule type="expression" dxfId="4999" priority="5269" stopIfTrue="1">
      <formula>$A81="Triplog"</formula>
    </cfRule>
  </conditionalFormatting>
  <conditionalFormatting sqref="C81 Q81:S81 F81:G81">
    <cfRule type="expression" dxfId="4998" priority="5224" stopIfTrue="1">
      <formula>$A81="Chkvlv"</formula>
    </cfRule>
  </conditionalFormatting>
  <conditionalFormatting sqref="D81">
    <cfRule type="expression" dxfId="4997" priority="5225" stopIfTrue="1">
      <formula>$A81="Chkvlv"</formula>
    </cfRule>
    <cfRule type="expression" dxfId="4996" priority="5271" stopIfTrue="1">
      <formula>$A81="Triplog"</formula>
    </cfRule>
  </conditionalFormatting>
  <conditionalFormatting sqref="U81 K81">
    <cfRule type="expression" dxfId="4995" priority="5226" stopIfTrue="1">
      <formula>$A81="Chkvlv"</formula>
    </cfRule>
    <cfRule type="expression" dxfId="4994" priority="5244" stopIfTrue="1">
      <formula>$A81="Snglvol"</formula>
    </cfRule>
  </conditionalFormatting>
  <conditionalFormatting sqref="M81">
    <cfRule type="expression" dxfId="4993" priority="5227" stopIfTrue="1">
      <formula>$A81="Chkvlv"</formula>
    </cfRule>
    <cfRule type="expression" dxfId="4992" priority="5245" stopIfTrue="1">
      <formula>$A81="Snglvol"</formula>
    </cfRule>
  </conditionalFormatting>
  <conditionalFormatting sqref="C81">
    <cfRule type="expression" dxfId="4991" priority="5228" stopIfTrue="1">
      <formula>$A81="Inrvlv"</formula>
    </cfRule>
    <cfRule type="expression" dxfId="4990" priority="5252" stopIfTrue="1">
      <formula>$A81="Init"</formula>
    </cfRule>
    <cfRule type="expression" dxfId="4989" priority="5258" stopIfTrue="1">
      <formula>$A81="Timestep"</formula>
    </cfRule>
    <cfRule type="expression" dxfId="4988" priority="5270" stopIfTrue="1">
      <formula>$A81="Triplog"</formula>
    </cfRule>
  </conditionalFormatting>
  <conditionalFormatting sqref="Q81:R81 F81:G81 D81">
    <cfRule type="expression" dxfId="4987" priority="5229" stopIfTrue="1">
      <formula>$A81="Inrvlv"</formula>
    </cfRule>
  </conditionalFormatting>
  <conditionalFormatting sqref="S81">
    <cfRule type="expression" dxfId="4986" priority="5230" stopIfTrue="1">
      <formula>$A81="Inrvlv"</formula>
    </cfRule>
    <cfRule type="expression" dxfId="4985" priority="5234" stopIfTrue="1">
      <formula>$A81="Tmdpjun"</formula>
    </cfRule>
    <cfRule type="expression" dxfId="4984" priority="5237" stopIfTrue="1">
      <formula>$A81="Pump"</formula>
    </cfRule>
    <cfRule type="expression" dxfId="4983" priority="5240" stopIfTrue="1">
      <formula>$A81="Tmdpvol"</formula>
    </cfRule>
    <cfRule type="expression" dxfId="4982" priority="5247" stopIfTrue="1">
      <formula>$A81="Snglvol"</formula>
    </cfRule>
  </conditionalFormatting>
  <conditionalFormatting sqref="Q81 F81:G81 C81:D81">
    <cfRule type="expression" dxfId="4981" priority="5232" stopIfTrue="1">
      <formula>$A81="Tmdpjun"</formula>
    </cfRule>
  </conditionalFormatting>
  <conditionalFormatting sqref="Q81 D81">
    <cfRule type="expression" dxfId="4980" priority="5235" stopIfTrue="1">
      <formula>$A81="Pump"</formula>
    </cfRule>
  </conditionalFormatting>
  <conditionalFormatting sqref="T81 H81:I81 D81 M81:P81">
    <cfRule type="expression" dxfId="4979" priority="5238" stopIfTrue="1">
      <formula>$A81="Tmdpvol"</formula>
    </cfRule>
  </conditionalFormatting>
  <conditionalFormatting sqref="B81">
    <cfRule type="expression" dxfId="4978" priority="5241" stopIfTrue="1">
      <formula>$A81="Snglvol"</formula>
    </cfRule>
    <cfRule type="expression" dxfId="4977" priority="5251" stopIfTrue="1">
      <formula>$A81="Init"</formula>
    </cfRule>
    <cfRule type="expression" dxfId="4976" priority="5257" stopIfTrue="1">
      <formula>$A81="Timestep"</formula>
    </cfRule>
    <cfRule type="expression" dxfId="4975" priority="5262" stopIfTrue="1">
      <formula>$A81="Triggerwords"</formula>
    </cfRule>
    <cfRule type="expression" dxfId="4974" priority="5266" stopIfTrue="1">
      <formula>$A81="Tripvar"</formula>
    </cfRule>
  </conditionalFormatting>
  <conditionalFormatting sqref="T81 N81:Q81 H81:I81 D81">
    <cfRule type="expression" dxfId="4973" priority="5243" stopIfTrue="1">
      <formula>$A81="Snglvol"</formula>
    </cfRule>
  </conditionalFormatting>
  <conditionalFormatting sqref="A81">
    <cfRule type="expression" dxfId="4972" priority="5248" stopIfTrue="1">
      <formula>$A81="Relapnr"</formula>
    </cfRule>
  </conditionalFormatting>
  <conditionalFormatting sqref="A81">
    <cfRule type="expression" dxfId="4971" priority="5250" stopIfTrue="1">
      <formula>$A81="Init"</formula>
    </cfRule>
  </conditionalFormatting>
  <conditionalFormatting sqref="A81">
    <cfRule type="expression" dxfId="4970" priority="5253" stopIfTrue="1">
      <formula>$A81="InitGas"</formula>
    </cfRule>
  </conditionalFormatting>
  <conditionalFormatting sqref="A81 D81">
    <cfRule type="expression" dxfId="4969" priority="5256" stopIfTrue="1">
      <formula>$A81="Timestep"</formula>
    </cfRule>
  </conditionalFormatting>
  <conditionalFormatting sqref="A81">
    <cfRule type="expression" dxfId="4968" priority="5259" stopIfTrue="1">
      <formula>$A81="Replacements"</formula>
    </cfRule>
  </conditionalFormatting>
  <conditionalFormatting sqref="A81">
    <cfRule type="expression" dxfId="4967" priority="5261" stopIfTrue="1">
      <formula>$A81="Triggerwords"</formula>
    </cfRule>
  </conditionalFormatting>
  <conditionalFormatting sqref="A81">
    <cfRule type="expression" dxfId="4966" priority="5263" stopIfTrue="1">
      <formula>$A81="Custom"</formula>
    </cfRule>
  </conditionalFormatting>
  <conditionalFormatting sqref="A81 F81:I81 D81">
    <cfRule type="expression" dxfId="4965" priority="5265" stopIfTrue="1">
      <formula>$A81="Tripvar"</formula>
    </cfRule>
  </conditionalFormatting>
  <conditionalFormatting sqref="A81 F81">
    <cfRule type="expression" dxfId="4964" priority="5268" stopIfTrue="1">
      <formula>$A81="Triplog"</formula>
    </cfRule>
  </conditionalFormatting>
  <conditionalFormatting sqref="L81">
    <cfRule type="expression" dxfId="4963" priority="5179" stopIfTrue="1">
      <formula>$A81="Pipe"</formula>
    </cfRule>
  </conditionalFormatting>
  <conditionalFormatting sqref="L81">
    <cfRule type="expression" dxfId="4962" priority="5180" stopIfTrue="1">
      <formula>$A81="Junction"</formula>
    </cfRule>
  </conditionalFormatting>
  <conditionalFormatting sqref="L81">
    <cfRule type="expression" dxfId="4961" priority="5181" stopIfTrue="1">
      <formula>$A81="Sngljun"</formula>
    </cfRule>
  </conditionalFormatting>
  <conditionalFormatting sqref="L81">
    <cfRule type="expression" dxfId="4960" priority="5182" stopIfTrue="1">
      <formula>$A81="Mtrvlv"</formula>
    </cfRule>
  </conditionalFormatting>
  <conditionalFormatting sqref="L81">
    <cfRule type="expression" dxfId="4959" priority="5183" stopIfTrue="1">
      <formula>$A81="Srvvlv"</formula>
    </cfRule>
  </conditionalFormatting>
  <conditionalFormatting sqref="L81">
    <cfRule type="expression" dxfId="4958" priority="5184" stopIfTrue="1">
      <formula>$A81="Chkvlv"</formula>
    </cfRule>
  </conditionalFormatting>
  <conditionalFormatting sqref="L81">
    <cfRule type="expression" dxfId="4957" priority="5185" stopIfTrue="1">
      <formula>$A81="Inrvlv"</formula>
    </cfRule>
  </conditionalFormatting>
  <conditionalFormatting sqref="L81">
    <cfRule type="expression" dxfId="4956" priority="5186" stopIfTrue="1">
      <formula>$A81="Tmdpjun"</formula>
    </cfRule>
  </conditionalFormatting>
  <conditionalFormatting sqref="L81">
    <cfRule type="expression" dxfId="4955" priority="5187" stopIfTrue="1">
      <formula>$A81="Pump"</formula>
    </cfRule>
  </conditionalFormatting>
  <conditionalFormatting sqref="L81">
    <cfRule type="expression" dxfId="4954" priority="5188" stopIfTrue="1">
      <formula>$A81="Tmdpvol"</formula>
    </cfRule>
  </conditionalFormatting>
  <conditionalFormatting sqref="L81">
    <cfRule type="expression" dxfId="4953" priority="5189" stopIfTrue="1">
      <formula>$A81="Snglvol"</formula>
    </cfRule>
  </conditionalFormatting>
  <conditionalFormatting sqref="U83:V83 Q83 A83:D83 F83:K83">
    <cfRule type="expression" dxfId="4952" priority="5111" stopIfTrue="1">
      <formula>$A83="Pipe"</formula>
    </cfRule>
  </conditionalFormatting>
  <conditionalFormatting sqref="M83:P83 U83:V83 A83:B83 H83:K83">
    <cfRule type="expression" dxfId="4951" priority="5112" stopIfTrue="1">
      <formula>$A83="Junction"</formula>
    </cfRule>
  </conditionalFormatting>
  <conditionalFormatting sqref="M83:P83 T83:V83 A83:B83 H83:K83">
    <cfRule type="expression" dxfId="4950" priority="5113" stopIfTrue="1">
      <formula>$A83="Mtrvlv"</formula>
    </cfRule>
  </conditionalFormatting>
  <conditionalFormatting sqref="M83:P83 T83:V83 B83 H83:K83">
    <cfRule type="expression" dxfId="4949" priority="5114" stopIfTrue="1">
      <formula>$A83="Srvvlv"</formula>
    </cfRule>
  </conditionalFormatting>
  <conditionalFormatting sqref="V83 T83 N83:P83 A83 H83:J83">
    <cfRule type="expression" dxfId="4948" priority="5115" stopIfTrue="1">
      <formula>$A83="Chkvlv"</formula>
    </cfRule>
  </conditionalFormatting>
  <conditionalFormatting sqref="M83:P83 T83:V83 A83:B83 H83:K83">
    <cfRule type="expression" dxfId="4947" priority="5116" stopIfTrue="1">
      <formula>$A83="Inrvlv"</formula>
    </cfRule>
  </conditionalFormatting>
  <conditionalFormatting sqref="M83:P83 T83:V83 B83 H83:K83">
    <cfRule type="expression" dxfId="4946" priority="5117" stopIfTrue="1">
      <formula>$A83="Tmdpjun"</formula>
    </cfRule>
  </conditionalFormatting>
  <conditionalFormatting sqref="M83:P83 T83:V83 A83:C83 F83:K83">
    <cfRule type="expression" dxfId="4945" priority="5118" stopIfTrue="1">
      <formula>$A83="Pump"</formula>
    </cfRule>
  </conditionalFormatting>
  <conditionalFormatting sqref="U83:V83 Q83 J83:K83 F83:G83 A83:C83">
    <cfRule type="expression" dxfId="4944" priority="5119" stopIfTrue="1">
      <formula>$A83="Tmdpvol"</formula>
    </cfRule>
  </conditionalFormatting>
  <conditionalFormatting sqref="V83 J83 F83:G83 A83">
    <cfRule type="expression" dxfId="4943" priority="5120" stopIfTrue="1">
      <formula>$A83="Snglvol"</formula>
    </cfRule>
  </conditionalFormatting>
  <conditionalFormatting sqref="M83:P83 U83:V83 A83:B83 H83:K83">
    <cfRule type="expression" dxfId="4942" priority="5121" stopIfTrue="1">
      <formula>$A83="Sngljun"</formula>
    </cfRule>
  </conditionalFormatting>
  <conditionalFormatting sqref="M83:P83 R83:T83">
    <cfRule type="expression" dxfId="4941" priority="5122" stopIfTrue="1">
      <formula>$A83="Pipe"</formula>
    </cfRule>
  </conditionalFormatting>
  <conditionalFormatting sqref="C83">
    <cfRule type="expression" dxfId="4940" priority="5123" stopIfTrue="1">
      <formula>$A83="Junction"</formula>
    </cfRule>
    <cfRule type="expression" dxfId="4939" priority="5149" stopIfTrue="1">
      <formula>$A83="Snglvol"</formula>
    </cfRule>
    <cfRule type="expression" dxfId="4938" priority="5162" stopIfTrue="1">
      <formula>$A83="InitGas"</formula>
    </cfRule>
    <cfRule type="expression" dxfId="4937" priority="5174" stopIfTrue="1">
      <formula>$A83="Tripvar"</formula>
    </cfRule>
  </conditionalFormatting>
  <conditionalFormatting sqref="Q83:T83 F83:G83 D83">
    <cfRule type="expression" dxfId="4936" priority="5124" stopIfTrue="1">
      <formula>$A83="Junction"</formula>
    </cfRule>
  </conditionalFormatting>
  <conditionalFormatting sqref="Q83:T83 F83:G83 C83:D83">
    <cfRule type="expression" dxfId="4935" priority="5125" stopIfTrue="1">
      <formula>$A83="Sngljun"</formula>
    </cfRule>
  </conditionalFormatting>
  <conditionalFormatting sqref="Q83:S83 F83:G83 C83:D83">
    <cfRule type="expression" dxfId="4934" priority="5126" stopIfTrue="1">
      <formula>$A83="Mtrvlv"</formula>
    </cfRule>
  </conditionalFormatting>
  <conditionalFormatting sqref="A83">
    <cfRule type="expression" dxfId="4933" priority="5127" stopIfTrue="1">
      <formula>$A83="Srvvlv"</formula>
    </cfRule>
    <cfRule type="expression" dxfId="4932" priority="5138" stopIfTrue="1">
      <formula>$A83="Tmdpjun"</formula>
    </cfRule>
  </conditionalFormatting>
  <conditionalFormatting sqref="S83 Q83 F83:G83 C83:D83">
    <cfRule type="expression" dxfId="4931" priority="5128" stopIfTrue="1">
      <formula>$A83="Srvvlv"</formula>
    </cfRule>
  </conditionalFormatting>
  <conditionalFormatting sqref="R83">
    <cfRule type="expression" dxfId="4930" priority="5129" stopIfTrue="1">
      <formula>$A83="Srvvlv"</formula>
    </cfRule>
    <cfRule type="expression" dxfId="4929" priority="5140" stopIfTrue="1">
      <formula>$A83="Tmdpjun"</formula>
    </cfRule>
    <cfRule type="expression" dxfId="4928" priority="5143" stopIfTrue="1">
      <formula>$A83="Pump"</formula>
    </cfRule>
    <cfRule type="expression" dxfId="4927" priority="5146" stopIfTrue="1">
      <formula>$A83="Tmdpvol"</formula>
    </cfRule>
    <cfRule type="expression" dxfId="4926" priority="5153" stopIfTrue="1">
      <formula>$A83="Snglvol"</formula>
    </cfRule>
  </conditionalFormatting>
  <conditionalFormatting sqref="B83">
    <cfRule type="expression" dxfId="4925" priority="5130" stopIfTrue="1">
      <formula>$A83="Chkvlv"</formula>
    </cfRule>
    <cfRule type="expression" dxfId="4924" priority="5156" stopIfTrue="1">
      <formula>$A83="Relapnr"</formula>
    </cfRule>
    <cfRule type="expression" dxfId="4923" priority="5161" stopIfTrue="1">
      <formula>$A83="InitGas"</formula>
    </cfRule>
    <cfRule type="expression" dxfId="4922" priority="5167" stopIfTrue="1">
      <formula>$A83="Replacements"</formula>
    </cfRule>
    <cfRule type="expression" dxfId="4921" priority="5171" stopIfTrue="1">
      <formula>$A83="Custom"</formula>
    </cfRule>
    <cfRule type="expression" dxfId="4920" priority="5176" stopIfTrue="1">
      <formula>$A83="Triplog"</formula>
    </cfRule>
  </conditionalFormatting>
  <conditionalFormatting sqref="C83 Q83:S83 F83:G83">
    <cfRule type="expression" dxfId="4919" priority="5131" stopIfTrue="1">
      <formula>$A83="Chkvlv"</formula>
    </cfRule>
  </conditionalFormatting>
  <conditionalFormatting sqref="D83">
    <cfRule type="expression" dxfId="4918" priority="5132" stopIfTrue="1">
      <formula>$A83="Chkvlv"</formula>
    </cfRule>
    <cfRule type="expression" dxfId="4917" priority="5178" stopIfTrue="1">
      <formula>$A83="Triplog"</formula>
    </cfRule>
  </conditionalFormatting>
  <conditionalFormatting sqref="U83 K83">
    <cfRule type="expression" dxfId="4916" priority="5133" stopIfTrue="1">
      <formula>$A83="Chkvlv"</formula>
    </cfRule>
    <cfRule type="expression" dxfId="4915" priority="5151" stopIfTrue="1">
      <formula>$A83="Snglvol"</formula>
    </cfRule>
  </conditionalFormatting>
  <conditionalFormatting sqref="M83">
    <cfRule type="expression" dxfId="4914" priority="5134" stopIfTrue="1">
      <formula>$A83="Chkvlv"</formula>
    </cfRule>
    <cfRule type="expression" dxfId="4913" priority="5152" stopIfTrue="1">
      <formula>$A83="Snglvol"</formula>
    </cfRule>
  </conditionalFormatting>
  <conditionalFormatting sqref="C83">
    <cfRule type="expression" dxfId="4912" priority="5135" stopIfTrue="1">
      <formula>$A83="Inrvlv"</formula>
    </cfRule>
    <cfRule type="expression" dxfId="4911" priority="5159" stopIfTrue="1">
      <formula>$A83="Init"</formula>
    </cfRule>
    <cfRule type="expression" dxfId="4910" priority="5165" stopIfTrue="1">
      <formula>$A83="Timestep"</formula>
    </cfRule>
    <cfRule type="expression" dxfId="4909" priority="5177" stopIfTrue="1">
      <formula>$A83="Triplog"</formula>
    </cfRule>
  </conditionalFormatting>
  <conditionalFormatting sqref="Q83:R83 F83:G83 D83">
    <cfRule type="expression" dxfId="4908" priority="5136" stopIfTrue="1">
      <formula>$A83="Inrvlv"</formula>
    </cfRule>
  </conditionalFormatting>
  <conditionalFormatting sqref="S83">
    <cfRule type="expression" dxfId="4907" priority="5137" stopIfTrue="1">
      <formula>$A83="Inrvlv"</formula>
    </cfRule>
    <cfRule type="expression" dxfId="4906" priority="5141" stopIfTrue="1">
      <formula>$A83="Tmdpjun"</formula>
    </cfRule>
    <cfRule type="expression" dxfId="4905" priority="5144" stopIfTrue="1">
      <formula>$A83="Pump"</formula>
    </cfRule>
    <cfRule type="expression" dxfId="4904" priority="5147" stopIfTrue="1">
      <formula>$A83="Tmdpvol"</formula>
    </cfRule>
    <cfRule type="expression" dxfId="4903" priority="5154" stopIfTrue="1">
      <formula>$A83="Snglvol"</formula>
    </cfRule>
  </conditionalFormatting>
  <conditionalFormatting sqref="Q83 F83:G83 C83:D83">
    <cfRule type="expression" dxfId="4902" priority="5139" stopIfTrue="1">
      <formula>$A83="Tmdpjun"</formula>
    </cfRule>
  </conditionalFormatting>
  <conditionalFormatting sqref="Q83 D83">
    <cfRule type="expression" dxfId="4901" priority="5142" stopIfTrue="1">
      <formula>$A83="Pump"</formula>
    </cfRule>
  </conditionalFormatting>
  <conditionalFormatting sqref="T83 H83:I83 D83 M83:P83">
    <cfRule type="expression" dxfId="4900" priority="5145" stopIfTrue="1">
      <formula>$A83="Tmdpvol"</formula>
    </cfRule>
  </conditionalFormatting>
  <conditionalFormatting sqref="B83">
    <cfRule type="expression" dxfId="4899" priority="5148" stopIfTrue="1">
      <formula>$A83="Snglvol"</formula>
    </cfRule>
    <cfRule type="expression" dxfId="4898" priority="5158" stopIfTrue="1">
      <formula>$A83="Init"</formula>
    </cfRule>
    <cfRule type="expression" dxfId="4897" priority="5164" stopIfTrue="1">
      <formula>$A83="Timestep"</formula>
    </cfRule>
    <cfRule type="expression" dxfId="4896" priority="5169" stopIfTrue="1">
      <formula>$A83="Triggerwords"</formula>
    </cfRule>
    <cfRule type="expression" dxfId="4895" priority="5173" stopIfTrue="1">
      <formula>$A83="Tripvar"</formula>
    </cfRule>
  </conditionalFormatting>
  <conditionalFormatting sqref="T83 N83:Q83 H83:I83 D83">
    <cfRule type="expression" dxfId="4894" priority="5150" stopIfTrue="1">
      <formula>$A83="Snglvol"</formula>
    </cfRule>
  </conditionalFormatting>
  <conditionalFormatting sqref="A83">
    <cfRule type="expression" dxfId="4893" priority="5155" stopIfTrue="1">
      <formula>$A83="Relapnr"</formula>
    </cfRule>
  </conditionalFormatting>
  <conditionalFormatting sqref="A83">
    <cfRule type="expression" dxfId="4892" priority="5157" stopIfTrue="1">
      <formula>$A83="Init"</formula>
    </cfRule>
  </conditionalFormatting>
  <conditionalFormatting sqref="A83">
    <cfRule type="expression" dxfId="4891" priority="5160" stopIfTrue="1">
      <formula>$A83="InitGas"</formula>
    </cfRule>
  </conditionalFormatting>
  <conditionalFormatting sqref="A83 D83">
    <cfRule type="expression" dxfId="4890" priority="5163" stopIfTrue="1">
      <formula>$A83="Timestep"</formula>
    </cfRule>
  </conditionalFormatting>
  <conditionalFormatting sqref="A83">
    <cfRule type="expression" dxfId="4889" priority="5166" stopIfTrue="1">
      <formula>$A83="Replacements"</formula>
    </cfRule>
  </conditionalFormatting>
  <conditionalFormatting sqref="A83">
    <cfRule type="expression" dxfId="4888" priority="5168" stopIfTrue="1">
      <formula>$A83="Triggerwords"</formula>
    </cfRule>
  </conditionalFormatting>
  <conditionalFormatting sqref="A83">
    <cfRule type="expression" dxfId="4887" priority="5170" stopIfTrue="1">
      <formula>$A83="Custom"</formula>
    </cfRule>
  </conditionalFormatting>
  <conditionalFormatting sqref="A83 F83:I83 D83">
    <cfRule type="expression" dxfId="4886" priority="5172" stopIfTrue="1">
      <formula>$A83="Tripvar"</formula>
    </cfRule>
  </conditionalFormatting>
  <conditionalFormatting sqref="A83 F83">
    <cfRule type="expression" dxfId="4885" priority="5175" stopIfTrue="1">
      <formula>$A83="Triplog"</formula>
    </cfRule>
  </conditionalFormatting>
  <conditionalFormatting sqref="L83">
    <cfRule type="expression" dxfId="4884" priority="5086" stopIfTrue="1">
      <formula>$A83="Pipe"</formula>
    </cfRule>
  </conditionalFormatting>
  <conditionalFormatting sqref="L83">
    <cfRule type="expression" dxfId="4883" priority="5087" stopIfTrue="1">
      <formula>$A83="Junction"</formula>
    </cfRule>
  </conditionalFormatting>
  <conditionalFormatting sqref="L83">
    <cfRule type="expression" dxfId="4882" priority="5088" stopIfTrue="1">
      <formula>$A83="Sngljun"</formula>
    </cfRule>
  </conditionalFormatting>
  <conditionalFormatting sqref="L83">
    <cfRule type="expression" dxfId="4881" priority="5089" stopIfTrue="1">
      <formula>$A83="Mtrvlv"</formula>
    </cfRule>
  </conditionalFormatting>
  <conditionalFormatting sqref="L83">
    <cfRule type="expression" dxfId="4880" priority="5090" stopIfTrue="1">
      <formula>$A83="Srvvlv"</formula>
    </cfRule>
  </conditionalFormatting>
  <conditionalFormatting sqref="L83">
    <cfRule type="expression" dxfId="4879" priority="5091" stopIfTrue="1">
      <formula>$A83="Chkvlv"</formula>
    </cfRule>
  </conditionalFormatting>
  <conditionalFormatting sqref="L83">
    <cfRule type="expression" dxfId="4878" priority="5092" stopIfTrue="1">
      <formula>$A83="Inrvlv"</formula>
    </cfRule>
  </conditionalFormatting>
  <conditionalFormatting sqref="L83">
    <cfRule type="expression" dxfId="4877" priority="5093" stopIfTrue="1">
      <formula>$A83="Tmdpjun"</formula>
    </cfRule>
  </conditionalFormatting>
  <conditionalFormatting sqref="L83">
    <cfRule type="expression" dxfId="4876" priority="5094" stopIfTrue="1">
      <formula>$A83="Pump"</formula>
    </cfRule>
  </conditionalFormatting>
  <conditionalFormatting sqref="L83">
    <cfRule type="expression" dxfId="4875" priority="5095" stopIfTrue="1">
      <formula>$A83="Tmdpvol"</formula>
    </cfRule>
  </conditionalFormatting>
  <conditionalFormatting sqref="L83">
    <cfRule type="expression" dxfId="4874" priority="5096" stopIfTrue="1">
      <formula>$A83="Snglvol"</formula>
    </cfRule>
  </conditionalFormatting>
  <conditionalFormatting sqref="U91:V91 Q91 A91:D91 F91:K91">
    <cfRule type="expression" dxfId="4873" priority="5018" stopIfTrue="1">
      <formula>$A91="Pipe"</formula>
    </cfRule>
  </conditionalFormatting>
  <conditionalFormatting sqref="M91:P91 U91:V91 A91:B91 H91:K91">
    <cfRule type="expression" dxfId="4872" priority="5019" stopIfTrue="1">
      <formula>$A91="Junction"</formula>
    </cfRule>
  </conditionalFormatting>
  <conditionalFormatting sqref="M91:P91 T91:V91 A91:B91 H91:K91">
    <cfRule type="expression" dxfId="4871" priority="5020" stopIfTrue="1">
      <formula>$A91="Mtrvlv"</formula>
    </cfRule>
  </conditionalFormatting>
  <conditionalFormatting sqref="M91:P91 T91:V91 B91 H91:K91">
    <cfRule type="expression" dxfId="4870" priority="5021" stopIfTrue="1">
      <formula>$A91="Srvvlv"</formula>
    </cfRule>
  </conditionalFormatting>
  <conditionalFormatting sqref="V91 T91 N91:P91 A91 H91:J91">
    <cfRule type="expression" dxfId="4869" priority="5022" stopIfTrue="1">
      <formula>$A91="Chkvlv"</formula>
    </cfRule>
  </conditionalFormatting>
  <conditionalFormatting sqref="M91:P91 T91:V91 A91:B91 H91:K91">
    <cfRule type="expression" dxfId="4868" priority="5023" stopIfTrue="1">
      <formula>$A91="Inrvlv"</formula>
    </cfRule>
  </conditionalFormatting>
  <conditionalFormatting sqref="M91:P91 T91:V91 B91 H91:K91">
    <cfRule type="expression" dxfId="4867" priority="5024" stopIfTrue="1">
      <formula>$A91="Tmdpjun"</formula>
    </cfRule>
  </conditionalFormatting>
  <conditionalFormatting sqref="M91:P91 T91:V91 A91:C91 F91:K91">
    <cfRule type="expression" dxfId="4866" priority="5025" stopIfTrue="1">
      <formula>$A91="Pump"</formula>
    </cfRule>
  </conditionalFormatting>
  <conditionalFormatting sqref="U91:V91 Q91 J91:K91 F91:G91 A91:C91">
    <cfRule type="expression" dxfId="4865" priority="5026" stopIfTrue="1">
      <formula>$A91="Tmdpvol"</formula>
    </cfRule>
  </conditionalFormatting>
  <conditionalFormatting sqref="V91 J91 F91:G91 A91">
    <cfRule type="expression" dxfId="4864" priority="5027" stopIfTrue="1">
      <formula>$A91="Snglvol"</formula>
    </cfRule>
  </conditionalFormatting>
  <conditionalFormatting sqref="M91:P91 U91:V91 A91:B91 H91:K91">
    <cfRule type="expression" dxfId="4863" priority="5028" stopIfTrue="1">
      <formula>$A91="Sngljun"</formula>
    </cfRule>
  </conditionalFormatting>
  <conditionalFormatting sqref="M91:P91 R91:T91">
    <cfRule type="expression" dxfId="4862" priority="5029" stopIfTrue="1">
      <formula>$A91="Pipe"</formula>
    </cfRule>
  </conditionalFormatting>
  <conditionalFormatting sqref="C91">
    <cfRule type="expression" dxfId="4861" priority="5030" stopIfTrue="1">
      <formula>$A91="Junction"</formula>
    </cfRule>
    <cfRule type="expression" dxfId="4860" priority="5056" stopIfTrue="1">
      <formula>$A91="Snglvol"</formula>
    </cfRule>
    <cfRule type="expression" dxfId="4859" priority="5069" stopIfTrue="1">
      <formula>$A91="InitGas"</formula>
    </cfRule>
    <cfRule type="expression" dxfId="4858" priority="5081" stopIfTrue="1">
      <formula>$A91="Tripvar"</formula>
    </cfRule>
  </conditionalFormatting>
  <conditionalFormatting sqref="Q91:T91 F91:G91 D91">
    <cfRule type="expression" dxfId="4857" priority="5031" stopIfTrue="1">
      <formula>$A91="Junction"</formula>
    </cfRule>
  </conditionalFormatting>
  <conditionalFormatting sqref="Q91:T91 F91:G91 C91:D91">
    <cfRule type="expression" dxfId="4856" priority="5032" stopIfTrue="1">
      <formula>$A91="Sngljun"</formula>
    </cfRule>
  </conditionalFormatting>
  <conditionalFormatting sqref="Q91:S91 F91:G91 C91:D91">
    <cfRule type="expression" dxfId="4855" priority="5033" stopIfTrue="1">
      <formula>$A91="Mtrvlv"</formula>
    </cfRule>
  </conditionalFormatting>
  <conditionalFormatting sqref="A91">
    <cfRule type="expression" dxfId="4854" priority="5034" stopIfTrue="1">
      <formula>$A91="Srvvlv"</formula>
    </cfRule>
    <cfRule type="expression" dxfId="4853" priority="5045" stopIfTrue="1">
      <formula>$A91="Tmdpjun"</formula>
    </cfRule>
  </conditionalFormatting>
  <conditionalFormatting sqref="S91 Q91 F91:G91 C91:D91">
    <cfRule type="expression" dxfId="4852" priority="5035" stopIfTrue="1">
      <formula>$A91="Srvvlv"</formula>
    </cfRule>
  </conditionalFormatting>
  <conditionalFormatting sqref="R91">
    <cfRule type="expression" dxfId="4851" priority="5036" stopIfTrue="1">
      <formula>$A91="Srvvlv"</formula>
    </cfRule>
    <cfRule type="expression" dxfId="4850" priority="5047" stopIfTrue="1">
      <formula>$A91="Tmdpjun"</formula>
    </cfRule>
    <cfRule type="expression" dxfId="4849" priority="5050" stopIfTrue="1">
      <formula>$A91="Pump"</formula>
    </cfRule>
    <cfRule type="expression" dxfId="4848" priority="5053" stopIfTrue="1">
      <formula>$A91="Tmdpvol"</formula>
    </cfRule>
    <cfRule type="expression" dxfId="4847" priority="5060" stopIfTrue="1">
      <formula>$A91="Snglvol"</formula>
    </cfRule>
  </conditionalFormatting>
  <conditionalFormatting sqref="B91">
    <cfRule type="expression" dxfId="4846" priority="5037" stopIfTrue="1">
      <formula>$A91="Chkvlv"</formula>
    </cfRule>
    <cfRule type="expression" dxfId="4845" priority="5063" stopIfTrue="1">
      <formula>$A91="Relapnr"</formula>
    </cfRule>
    <cfRule type="expression" dxfId="4844" priority="5068" stopIfTrue="1">
      <formula>$A91="InitGas"</formula>
    </cfRule>
    <cfRule type="expression" dxfId="4843" priority="5074" stopIfTrue="1">
      <formula>$A91="Replacements"</formula>
    </cfRule>
    <cfRule type="expression" dxfId="4842" priority="5078" stopIfTrue="1">
      <formula>$A91="Custom"</formula>
    </cfRule>
    <cfRule type="expression" dxfId="4841" priority="5083" stopIfTrue="1">
      <formula>$A91="Triplog"</formula>
    </cfRule>
  </conditionalFormatting>
  <conditionalFormatting sqref="C91 Q91:S91 F91:G91">
    <cfRule type="expression" dxfId="4840" priority="5038" stopIfTrue="1">
      <formula>$A91="Chkvlv"</formula>
    </cfRule>
  </conditionalFormatting>
  <conditionalFormatting sqref="D91">
    <cfRule type="expression" dxfId="4839" priority="5039" stopIfTrue="1">
      <formula>$A91="Chkvlv"</formula>
    </cfRule>
    <cfRule type="expression" dxfId="4838" priority="5085" stopIfTrue="1">
      <formula>$A91="Triplog"</formula>
    </cfRule>
  </conditionalFormatting>
  <conditionalFormatting sqref="U91 K91">
    <cfRule type="expression" dxfId="4837" priority="5040" stopIfTrue="1">
      <formula>$A91="Chkvlv"</formula>
    </cfRule>
    <cfRule type="expression" dxfId="4836" priority="5058" stopIfTrue="1">
      <formula>$A91="Snglvol"</formula>
    </cfRule>
  </conditionalFormatting>
  <conditionalFormatting sqref="M91">
    <cfRule type="expression" dxfId="4835" priority="5041" stopIfTrue="1">
      <formula>$A91="Chkvlv"</formula>
    </cfRule>
    <cfRule type="expression" dxfId="4834" priority="5059" stopIfTrue="1">
      <formula>$A91="Snglvol"</formula>
    </cfRule>
  </conditionalFormatting>
  <conditionalFormatting sqref="C91">
    <cfRule type="expression" dxfId="4833" priority="5042" stopIfTrue="1">
      <formula>$A91="Inrvlv"</formula>
    </cfRule>
    <cfRule type="expression" dxfId="4832" priority="5066" stopIfTrue="1">
      <formula>$A91="Init"</formula>
    </cfRule>
    <cfRule type="expression" dxfId="4831" priority="5072" stopIfTrue="1">
      <formula>$A91="Timestep"</formula>
    </cfRule>
    <cfRule type="expression" dxfId="4830" priority="5084" stopIfTrue="1">
      <formula>$A91="Triplog"</formula>
    </cfRule>
  </conditionalFormatting>
  <conditionalFormatting sqref="Q91:R91 F91:G91 D91">
    <cfRule type="expression" dxfId="4829" priority="5043" stopIfTrue="1">
      <formula>$A91="Inrvlv"</formula>
    </cfRule>
  </conditionalFormatting>
  <conditionalFormatting sqref="S91">
    <cfRule type="expression" dxfId="4828" priority="5044" stopIfTrue="1">
      <formula>$A91="Inrvlv"</formula>
    </cfRule>
    <cfRule type="expression" dxfId="4827" priority="5048" stopIfTrue="1">
      <formula>$A91="Tmdpjun"</formula>
    </cfRule>
    <cfRule type="expression" dxfId="4826" priority="5051" stopIfTrue="1">
      <formula>$A91="Pump"</formula>
    </cfRule>
    <cfRule type="expression" dxfId="4825" priority="5054" stopIfTrue="1">
      <formula>$A91="Tmdpvol"</formula>
    </cfRule>
    <cfRule type="expression" dxfId="4824" priority="5061" stopIfTrue="1">
      <formula>$A91="Snglvol"</formula>
    </cfRule>
  </conditionalFormatting>
  <conditionalFormatting sqref="Q91 F91:G91 C91:D91">
    <cfRule type="expression" dxfId="4823" priority="5046" stopIfTrue="1">
      <formula>$A91="Tmdpjun"</formula>
    </cfRule>
  </conditionalFormatting>
  <conditionalFormatting sqref="Q91 D91">
    <cfRule type="expression" dxfId="4822" priority="5049" stopIfTrue="1">
      <formula>$A91="Pump"</formula>
    </cfRule>
  </conditionalFormatting>
  <conditionalFormatting sqref="T91 H91:I91 D91 M91:P91">
    <cfRule type="expression" dxfId="4821" priority="5052" stopIfTrue="1">
      <formula>$A91="Tmdpvol"</formula>
    </cfRule>
  </conditionalFormatting>
  <conditionalFormatting sqref="B91">
    <cfRule type="expression" dxfId="4820" priority="5055" stopIfTrue="1">
      <formula>$A91="Snglvol"</formula>
    </cfRule>
    <cfRule type="expression" dxfId="4819" priority="5065" stopIfTrue="1">
      <formula>$A91="Init"</formula>
    </cfRule>
    <cfRule type="expression" dxfId="4818" priority="5071" stopIfTrue="1">
      <formula>$A91="Timestep"</formula>
    </cfRule>
    <cfRule type="expression" dxfId="4817" priority="5076" stopIfTrue="1">
      <formula>$A91="Triggerwords"</formula>
    </cfRule>
    <cfRule type="expression" dxfId="4816" priority="5080" stopIfTrue="1">
      <formula>$A91="Tripvar"</formula>
    </cfRule>
  </conditionalFormatting>
  <conditionalFormatting sqref="T91 N91:Q91 H91:I91 D91">
    <cfRule type="expression" dxfId="4815" priority="5057" stopIfTrue="1">
      <formula>$A91="Snglvol"</formula>
    </cfRule>
  </conditionalFormatting>
  <conditionalFormatting sqref="A91">
    <cfRule type="expression" dxfId="4814" priority="5062" stopIfTrue="1">
      <formula>$A91="Relapnr"</formula>
    </cfRule>
  </conditionalFormatting>
  <conditionalFormatting sqref="A91">
    <cfRule type="expression" dxfId="4813" priority="5064" stopIfTrue="1">
      <formula>$A91="Init"</formula>
    </cfRule>
  </conditionalFormatting>
  <conditionalFormatting sqref="A91">
    <cfRule type="expression" dxfId="4812" priority="5067" stopIfTrue="1">
      <formula>$A91="InitGas"</formula>
    </cfRule>
  </conditionalFormatting>
  <conditionalFormatting sqref="A91 D91">
    <cfRule type="expression" dxfId="4811" priority="5070" stopIfTrue="1">
      <formula>$A91="Timestep"</formula>
    </cfRule>
  </conditionalFormatting>
  <conditionalFormatting sqref="A91">
    <cfRule type="expression" dxfId="4810" priority="5073" stopIfTrue="1">
      <formula>$A91="Replacements"</formula>
    </cfRule>
  </conditionalFormatting>
  <conditionalFormatting sqref="A91">
    <cfRule type="expression" dxfId="4809" priority="5075" stopIfTrue="1">
      <formula>$A91="Triggerwords"</formula>
    </cfRule>
  </conditionalFormatting>
  <conditionalFormatting sqref="A91">
    <cfRule type="expression" dxfId="4808" priority="5077" stopIfTrue="1">
      <formula>$A91="Custom"</formula>
    </cfRule>
  </conditionalFormatting>
  <conditionalFormatting sqref="A91 F91:I91 D91">
    <cfRule type="expression" dxfId="4807" priority="5079" stopIfTrue="1">
      <formula>$A91="Tripvar"</formula>
    </cfRule>
  </conditionalFormatting>
  <conditionalFormatting sqref="A91 F91">
    <cfRule type="expression" dxfId="4806" priority="5082" stopIfTrue="1">
      <formula>$A91="Triplog"</formula>
    </cfRule>
  </conditionalFormatting>
  <conditionalFormatting sqref="L91">
    <cfRule type="expression" dxfId="4805" priority="4993" stopIfTrue="1">
      <formula>$A91="Pipe"</formula>
    </cfRule>
  </conditionalFormatting>
  <conditionalFormatting sqref="L91">
    <cfRule type="expression" dxfId="4804" priority="4994" stopIfTrue="1">
      <formula>$A91="Junction"</formula>
    </cfRule>
  </conditionalFormatting>
  <conditionalFormatting sqref="L91">
    <cfRule type="expression" dxfId="4803" priority="4995" stopIfTrue="1">
      <formula>$A91="Sngljun"</formula>
    </cfRule>
  </conditionalFormatting>
  <conditionalFormatting sqref="L91">
    <cfRule type="expression" dxfId="4802" priority="4996" stopIfTrue="1">
      <formula>$A91="Mtrvlv"</formula>
    </cfRule>
  </conditionalFormatting>
  <conditionalFormatting sqref="L91">
    <cfRule type="expression" dxfId="4801" priority="4997" stopIfTrue="1">
      <formula>$A91="Srvvlv"</formula>
    </cfRule>
  </conditionalFormatting>
  <conditionalFormatting sqref="L91">
    <cfRule type="expression" dxfId="4800" priority="4998" stopIfTrue="1">
      <formula>$A91="Chkvlv"</formula>
    </cfRule>
  </conditionalFormatting>
  <conditionalFormatting sqref="L91">
    <cfRule type="expression" dxfId="4799" priority="4999" stopIfTrue="1">
      <formula>$A91="Inrvlv"</formula>
    </cfRule>
  </conditionalFormatting>
  <conditionalFormatting sqref="L91">
    <cfRule type="expression" dxfId="4798" priority="5000" stopIfTrue="1">
      <formula>$A91="Tmdpjun"</formula>
    </cfRule>
  </conditionalFormatting>
  <conditionalFormatting sqref="L91">
    <cfRule type="expression" dxfId="4797" priority="5001" stopIfTrue="1">
      <formula>$A91="Pump"</formula>
    </cfRule>
  </conditionalFormatting>
  <conditionalFormatting sqref="L91">
    <cfRule type="expression" dxfId="4796" priority="5002" stopIfTrue="1">
      <formula>$A91="Tmdpvol"</formula>
    </cfRule>
  </conditionalFormatting>
  <conditionalFormatting sqref="L91">
    <cfRule type="expression" dxfId="4795" priority="5003" stopIfTrue="1">
      <formula>$A91="Snglvol"</formula>
    </cfRule>
  </conditionalFormatting>
  <conditionalFormatting sqref="U93:V93 Q93 A93:D93 F93:K93">
    <cfRule type="expression" dxfId="4794" priority="4925" stopIfTrue="1">
      <formula>$A93="Pipe"</formula>
    </cfRule>
  </conditionalFormatting>
  <conditionalFormatting sqref="M93:P93 U93:V93 A93:B93 H93:K93">
    <cfRule type="expression" dxfId="4793" priority="4926" stopIfTrue="1">
      <formula>$A93="Junction"</formula>
    </cfRule>
  </conditionalFormatting>
  <conditionalFormatting sqref="M93:P93 T93:V93 A93:B93 H93:K93">
    <cfRule type="expression" dxfId="4792" priority="4927" stopIfTrue="1">
      <formula>$A93="Mtrvlv"</formula>
    </cfRule>
  </conditionalFormatting>
  <conditionalFormatting sqref="M93:P93 T93:V93 B93 H93:K93">
    <cfRule type="expression" dxfId="4791" priority="4928" stopIfTrue="1">
      <formula>$A93="Srvvlv"</formula>
    </cfRule>
  </conditionalFormatting>
  <conditionalFormatting sqref="V93 T93 N93:P93 A93 H93:J93">
    <cfRule type="expression" dxfId="4790" priority="4929" stopIfTrue="1">
      <formula>$A93="Chkvlv"</formula>
    </cfRule>
  </conditionalFormatting>
  <conditionalFormatting sqref="M93:P93 T93:V93 A93:B93 H93:K93">
    <cfRule type="expression" dxfId="4789" priority="4930" stopIfTrue="1">
      <formula>$A93="Inrvlv"</formula>
    </cfRule>
  </conditionalFormatting>
  <conditionalFormatting sqref="M93:P93 T93:V93 B93 H93:K93">
    <cfRule type="expression" dxfId="4788" priority="4931" stopIfTrue="1">
      <formula>$A93="Tmdpjun"</formula>
    </cfRule>
  </conditionalFormatting>
  <conditionalFormatting sqref="M93:P93 T93:V93 A93:C93 F93:K93">
    <cfRule type="expression" dxfId="4787" priority="4932" stopIfTrue="1">
      <formula>$A93="Pump"</formula>
    </cfRule>
  </conditionalFormatting>
  <conditionalFormatting sqref="U93:V93 Q93 J93:K93 F93:G93 A93:C93">
    <cfRule type="expression" dxfId="4786" priority="4933" stopIfTrue="1">
      <formula>$A93="Tmdpvol"</formula>
    </cfRule>
  </conditionalFormatting>
  <conditionalFormatting sqref="V93 J93 F93:G93 A93">
    <cfRule type="expression" dxfId="4785" priority="4934" stopIfTrue="1">
      <formula>$A93="Snglvol"</formula>
    </cfRule>
  </conditionalFormatting>
  <conditionalFormatting sqref="M93:P93 U93:V93 A93:B93 H93:K93">
    <cfRule type="expression" dxfId="4784" priority="4935" stopIfTrue="1">
      <formula>$A93="Sngljun"</formula>
    </cfRule>
  </conditionalFormatting>
  <conditionalFormatting sqref="M93:P93 R93:T93">
    <cfRule type="expression" dxfId="4783" priority="4936" stopIfTrue="1">
      <formula>$A93="Pipe"</formula>
    </cfRule>
  </conditionalFormatting>
  <conditionalFormatting sqref="C93">
    <cfRule type="expression" dxfId="4782" priority="4937" stopIfTrue="1">
      <formula>$A93="Junction"</formula>
    </cfRule>
    <cfRule type="expression" dxfId="4781" priority="4963" stopIfTrue="1">
      <formula>$A93="Snglvol"</formula>
    </cfRule>
    <cfRule type="expression" dxfId="4780" priority="4976" stopIfTrue="1">
      <formula>$A93="InitGas"</formula>
    </cfRule>
    <cfRule type="expression" dxfId="4779" priority="4988" stopIfTrue="1">
      <formula>$A93="Tripvar"</formula>
    </cfRule>
  </conditionalFormatting>
  <conditionalFormatting sqref="Q93:T93 F93:G93 D93">
    <cfRule type="expression" dxfId="4778" priority="4938" stopIfTrue="1">
      <formula>$A93="Junction"</formula>
    </cfRule>
  </conditionalFormatting>
  <conditionalFormatting sqref="Q93:T93 F93:G93 C93:D93">
    <cfRule type="expression" dxfId="4777" priority="4939" stopIfTrue="1">
      <formula>$A93="Sngljun"</formula>
    </cfRule>
  </conditionalFormatting>
  <conditionalFormatting sqref="Q93:S93 F93:G93 C93:D93">
    <cfRule type="expression" dxfId="4776" priority="4940" stopIfTrue="1">
      <formula>$A93="Mtrvlv"</formula>
    </cfRule>
  </conditionalFormatting>
  <conditionalFormatting sqref="A93">
    <cfRule type="expression" dxfId="4775" priority="4941" stopIfTrue="1">
      <formula>$A93="Srvvlv"</formula>
    </cfRule>
    <cfRule type="expression" dxfId="4774" priority="4952" stopIfTrue="1">
      <formula>$A93="Tmdpjun"</formula>
    </cfRule>
  </conditionalFormatting>
  <conditionalFormatting sqref="S93 Q93 F93:G93 C93:D93">
    <cfRule type="expression" dxfId="4773" priority="4942" stopIfTrue="1">
      <formula>$A93="Srvvlv"</formula>
    </cfRule>
  </conditionalFormatting>
  <conditionalFormatting sqref="R93">
    <cfRule type="expression" dxfId="4772" priority="4943" stopIfTrue="1">
      <formula>$A93="Srvvlv"</formula>
    </cfRule>
    <cfRule type="expression" dxfId="4771" priority="4954" stopIfTrue="1">
      <formula>$A93="Tmdpjun"</formula>
    </cfRule>
    <cfRule type="expression" dxfId="4770" priority="4957" stopIfTrue="1">
      <formula>$A93="Pump"</formula>
    </cfRule>
    <cfRule type="expression" dxfId="4769" priority="4960" stopIfTrue="1">
      <formula>$A93="Tmdpvol"</formula>
    </cfRule>
    <cfRule type="expression" dxfId="4768" priority="4967" stopIfTrue="1">
      <formula>$A93="Snglvol"</formula>
    </cfRule>
  </conditionalFormatting>
  <conditionalFormatting sqref="B93">
    <cfRule type="expression" dxfId="4767" priority="4944" stopIfTrue="1">
      <formula>$A93="Chkvlv"</formula>
    </cfRule>
    <cfRule type="expression" dxfId="4766" priority="4970" stopIfTrue="1">
      <formula>$A93="Relapnr"</formula>
    </cfRule>
    <cfRule type="expression" dxfId="4765" priority="4975" stopIfTrue="1">
      <formula>$A93="InitGas"</formula>
    </cfRule>
    <cfRule type="expression" dxfId="4764" priority="4981" stopIfTrue="1">
      <formula>$A93="Replacements"</formula>
    </cfRule>
    <cfRule type="expression" dxfId="4763" priority="4985" stopIfTrue="1">
      <formula>$A93="Custom"</formula>
    </cfRule>
    <cfRule type="expression" dxfId="4762" priority="4990" stopIfTrue="1">
      <formula>$A93="Triplog"</formula>
    </cfRule>
  </conditionalFormatting>
  <conditionalFormatting sqref="C93 Q93:S93 F93:G93">
    <cfRule type="expression" dxfId="4761" priority="4945" stopIfTrue="1">
      <formula>$A93="Chkvlv"</formula>
    </cfRule>
  </conditionalFormatting>
  <conditionalFormatting sqref="D93">
    <cfRule type="expression" dxfId="4760" priority="4946" stopIfTrue="1">
      <formula>$A93="Chkvlv"</formula>
    </cfRule>
    <cfRule type="expression" dxfId="4759" priority="4992" stopIfTrue="1">
      <formula>$A93="Triplog"</formula>
    </cfRule>
  </conditionalFormatting>
  <conditionalFormatting sqref="U93 K93">
    <cfRule type="expression" dxfId="4758" priority="4947" stopIfTrue="1">
      <formula>$A93="Chkvlv"</formula>
    </cfRule>
    <cfRule type="expression" dxfId="4757" priority="4965" stopIfTrue="1">
      <formula>$A93="Snglvol"</formula>
    </cfRule>
  </conditionalFormatting>
  <conditionalFormatting sqref="M93">
    <cfRule type="expression" dxfId="4756" priority="4948" stopIfTrue="1">
      <formula>$A93="Chkvlv"</formula>
    </cfRule>
    <cfRule type="expression" dxfId="4755" priority="4966" stopIfTrue="1">
      <formula>$A93="Snglvol"</formula>
    </cfRule>
  </conditionalFormatting>
  <conditionalFormatting sqref="C93">
    <cfRule type="expression" dxfId="4754" priority="4949" stopIfTrue="1">
      <formula>$A93="Inrvlv"</formula>
    </cfRule>
    <cfRule type="expression" dxfId="4753" priority="4973" stopIfTrue="1">
      <formula>$A93="Init"</formula>
    </cfRule>
    <cfRule type="expression" dxfId="4752" priority="4979" stopIfTrue="1">
      <formula>$A93="Timestep"</formula>
    </cfRule>
    <cfRule type="expression" dxfId="4751" priority="4991" stopIfTrue="1">
      <formula>$A93="Triplog"</formula>
    </cfRule>
  </conditionalFormatting>
  <conditionalFormatting sqref="Q93:R93 F93:G93 D93">
    <cfRule type="expression" dxfId="4750" priority="4950" stopIfTrue="1">
      <formula>$A93="Inrvlv"</formula>
    </cfRule>
  </conditionalFormatting>
  <conditionalFormatting sqref="S93">
    <cfRule type="expression" dxfId="4749" priority="4951" stopIfTrue="1">
      <formula>$A93="Inrvlv"</formula>
    </cfRule>
    <cfRule type="expression" dxfId="4748" priority="4955" stopIfTrue="1">
      <formula>$A93="Tmdpjun"</formula>
    </cfRule>
    <cfRule type="expression" dxfId="4747" priority="4958" stopIfTrue="1">
      <formula>$A93="Pump"</formula>
    </cfRule>
    <cfRule type="expression" dxfId="4746" priority="4961" stopIfTrue="1">
      <formula>$A93="Tmdpvol"</formula>
    </cfRule>
    <cfRule type="expression" dxfId="4745" priority="4968" stopIfTrue="1">
      <formula>$A93="Snglvol"</formula>
    </cfRule>
  </conditionalFormatting>
  <conditionalFormatting sqref="Q93 F93:G93 C93:D93">
    <cfRule type="expression" dxfId="4744" priority="4953" stopIfTrue="1">
      <formula>$A93="Tmdpjun"</formula>
    </cfRule>
  </conditionalFormatting>
  <conditionalFormatting sqref="Q93 D93">
    <cfRule type="expression" dxfId="4743" priority="4956" stopIfTrue="1">
      <formula>$A93="Pump"</formula>
    </cfRule>
  </conditionalFormatting>
  <conditionalFormatting sqref="T93 H93:I93 D93 M93:P93">
    <cfRule type="expression" dxfId="4742" priority="4959" stopIfTrue="1">
      <formula>$A93="Tmdpvol"</formula>
    </cfRule>
  </conditionalFormatting>
  <conditionalFormatting sqref="B93">
    <cfRule type="expression" dxfId="4741" priority="4962" stopIfTrue="1">
      <formula>$A93="Snglvol"</formula>
    </cfRule>
    <cfRule type="expression" dxfId="4740" priority="4972" stopIfTrue="1">
      <formula>$A93="Init"</formula>
    </cfRule>
    <cfRule type="expression" dxfId="4739" priority="4978" stopIfTrue="1">
      <formula>$A93="Timestep"</formula>
    </cfRule>
    <cfRule type="expression" dxfId="4738" priority="4983" stopIfTrue="1">
      <formula>$A93="Triggerwords"</formula>
    </cfRule>
    <cfRule type="expression" dxfId="4737" priority="4987" stopIfTrue="1">
      <formula>$A93="Tripvar"</formula>
    </cfRule>
  </conditionalFormatting>
  <conditionalFormatting sqref="T93 N93:Q93 H93:I93 D93">
    <cfRule type="expression" dxfId="4736" priority="4964" stopIfTrue="1">
      <formula>$A93="Snglvol"</formula>
    </cfRule>
  </conditionalFormatting>
  <conditionalFormatting sqref="A93">
    <cfRule type="expression" dxfId="4735" priority="4969" stopIfTrue="1">
      <formula>$A93="Relapnr"</formula>
    </cfRule>
  </conditionalFormatting>
  <conditionalFormatting sqref="A93">
    <cfRule type="expression" dxfId="4734" priority="4971" stopIfTrue="1">
      <formula>$A93="Init"</formula>
    </cfRule>
  </conditionalFormatting>
  <conditionalFormatting sqref="A93">
    <cfRule type="expression" dxfId="4733" priority="4974" stopIfTrue="1">
      <formula>$A93="InitGas"</formula>
    </cfRule>
  </conditionalFormatting>
  <conditionalFormatting sqref="A93 D93">
    <cfRule type="expression" dxfId="4732" priority="4977" stopIfTrue="1">
      <formula>$A93="Timestep"</formula>
    </cfRule>
  </conditionalFormatting>
  <conditionalFormatting sqref="A93">
    <cfRule type="expression" dxfId="4731" priority="4980" stopIfTrue="1">
      <formula>$A93="Replacements"</formula>
    </cfRule>
  </conditionalFormatting>
  <conditionalFormatting sqref="A93">
    <cfRule type="expression" dxfId="4730" priority="4982" stopIfTrue="1">
      <formula>$A93="Triggerwords"</formula>
    </cfRule>
  </conditionalFormatting>
  <conditionalFormatting sqref="A93">
    <cfRule type="expression" dxfId="4729" priority="4984" stopIfTrue="1">
      <formula>$A93="Custom"</formula>
    </cfRule>
  </conditionalFormatting>
  <conditionalFormatting sqref="A93 F93:I93 D93">
    <cfRule type="expression" dxfId="4728" priority="4986" stopIfTrue="1">
      <formula>$A93="Tripvar"</formula>
    </cfRule>
  </conditionalFormatting>
  <conditionalFormatting sqref="A93 F93">
    <cfRule type="expression" dxfId="4727" priority="4989" stopIfTrue="1">
      <formula>$A93="Triplog"</formula>
    </cfRule>
  </conditionalFormatting>
  <conditionalFormatting sqref="A102 F102">
    <cfRule type="expression" dxfId="4726" priority="4896" stopIfTrue="1">
      <formula>$A102="Triplog"</formula>
    </cfRule>
  </conditionalFormatting>
  <conditionalFormatting sqref="L93">
    <cfRule type="expression" dxfId="4725" priority="4900" stopIfTrue="1">
      <formula>$A93="Pipe"</formula>
    </cfRule>
  </conditionalFormatting>
  <conditionalFormatting sqref="L93">
    <cfRule type="expression" dxfId="4724" priority="4901" stopIfTrue="1">
      <formula>$A93="Junction"</formula>
    </cfRule>
  </conditionalFormatting>
  <conditionalFormatting sqref="L93">
    <cfRule type="expression" dxfId="4723" priority="4902" stopIfTrue="1">
      <formula>$A93="Sngljun"</formula>
    </cfRule>
  </conditionalFormatting>
  <conditionalFormatting sqref="L93">
    <cfRule type="expression" dxfId="4722" priority="4903" stopIfTrue="1">
      <formula>$A93="Mtrvlv"</formula>
    </cfRule>
  </conditionalFormatting>
  <conditionalFormatting sqref="L93">
    <cfRule type="expression" dxfId="4721" priority="4904" stopIfTrue="1">
      <formula>$A93="Srvvlv"</formula>
    </cfRule>
  </conditionalFormatting>
  <conditionalFormatting sqref="L93">
    <cfRule type="expression" dxfId="4720" priority="4905" stopIfTrue="1">
      <formula>$A93="Chkvlv"</formula>
    </cfRule>
  </conditionalFormatting>
  <conditionalFormatting sqref="L93">
    <cfRule type="expression" dxfId="4719" priority="4906" stopIfTrue="1">
      <formula>$A93="Inrvlv"</formula>
    </cfRule>
  </conditionalFormatting>
  <conditionalFormatting sqref="L93">
    <cfRule type="expression" dxfId="4718" priority="4907" stopIfTrue="1">
      <formula>$A93="Tmdpjun"</formula>
    </cfRule>
  </conditionalFormatting>
  <conditionalFormatting sqref="L93">
    <cfRule type="expression" dxfId="4717" priority="4908" stopIfTrue="1">
      <formula>$A93="Pump"</formula>
    </cfRule>
  </conditionalFormatting>
  <conditionalFormatting sqref="L93">
    <cfRule type="expression" dxfId="4716" priority="4909" stopIfTrue="1">
      <formula>$A93="Tmdpvol"</formula>
    </cfRule>
  </conditionalFormatting>
  <conditionalFormatting sqref="L93">
    <cfRule type="expression" dxfId="4715" priority="4910" stopIfTrue="1">
      <formula>$A93="Snglvol"</formula>
    </cfRule>
  </conditionalFormatting>
  <conditionalFormatting sqref="U102:V102 Q102 A102:D102 F102:K102">
    <cfRule type="expression" dxfId="4714" priority="4832" stopIfTrue="1">
      <formula>$A102="Pipe"</formula>
    </cfRule>
  </conditionalFormatting>
  <conditionalFormatting sqref="M102:P102 U102:V102 A102:B102 H102:K102">
    <cfRule type="expression" dxfId="4713" priority="4833" stopIfTrue="1">
      <formula>$A102="Junction"</formula>
    </cfRule>
  </conditionalFormatting>
  <conditionalFormatting sqref="M102:P102 T102:V102 A102:B102 H102:K102">
    <cfRule type="expression" dxfId="4712" priority="4834" stopIfTrue="1">
      <formula>$A102="Mtrvlv"</formula>
    </cfRule>
  </conditionalFormatting>
  <conditionalFormatting sqref="M102:P102 T102:V102 B102 H102:K102">
    <cfRule type="expression" dxfId="4711" priority="4835" stopIfTrue="1">
      <formula>$A102="Srvvlv"</formula>
    </cfRule>
  </conditionalFormatting>
  <conditionalFormatting sqref="V102 T102 N102:P102 A102 H102:J102">
    <cfRule type="expression" dxfId="4710" priority="4836" stopIfTrue="1">
      <formula>$A102="Chkvlv"</formula>
    </cfRule>
  </conditionalFormatting>
  <conditionalFormatting sqref="M102:P102 T102:V102 A102:B102 H102:K102">
    <cfRule type="expression" dxfId="4709" priority="4837" stopIfTrue="1">
      <formula>$A102="Inrvlv"</formula>
    </cfRule>
  </conditionalFormatting>
  <conditionalFormatting sqref="M102:P102 T102:V102 B102 H102:K102">
    <cfRule type="expression" dxfId="4708" priority="4838" stopIfTrue="1">
      <formula>$A102="Tmdpjun"</formula>
    </cfRule>
  </conditionalFormatting>
  <conditionalFormatting sqref="M102:P102 T102:V102 A102:C102 F102:K102">
    <cfRule type="expression" dxfId="4707" priority="4839" stopIfTrue="1">
      <formula>$A102="Pump"</formula>
    </cfRule>
  </conditionalFormatting>
  <conditionalFormatting sqref="U102:V102 Q102 J102:K102 F102:G102 A102:C102">
    <cfRule type="expression" dxfId="4706" priority="4840" stopIfTrue="1">
      <formula>$A102="Tmdpvol"</formula>
    </cfRule>
  </conditionalFormatting>
  <conditionalFormatting sqref="V102 J102 F102:G102 A102">
    <cfRule type="expression" dxfId="4705" priority="4841" stopIfTrue="1">
      <formula>$A102="Snglvol"</formula>
    </cfRule>
  </conditionalFormatting>
  <conditionalFormatting sqref="M102:P102 U102:V102 A102:B102 H102:K102">
    <cfRule type="expression" dxfId="4704" priority="4842" stopIfTrue="1">
      <formula>$A102="Sngljun"</formula>
    </cfRule>
  </conditionalFormatting>
  <conditionalFormatting sqref="M102:P102 R102:T102">
    <cfRule type="expression" dxfId="4703" priority="4843" stopIfTrue="1">
      <formula>$A102="Pipe"</formula>
    </cfRule>
  </conditionalFormatting>
  <conditionalFormatting sqref="C102">
    <cfRule type="expression" dxfId="4702" priority="4844" stopIfTrue="1">
      <formula>$A102="Junction"</formula>
    </cfRule>
    <cfRule type="expression" dxfId="4701" priority="4870" stopIfTrue="1">
      <formula>$A102="Snglvol"</formula>
    </cfRule>
    <cfRule type="expression" dxfId="4700" priority="4883" stopIfTrue="1">
      <formula>$A102="InitGas"</formula>
    </cfRule>
    <cfRule type="expression" dxfId="4699" priority="4895" stopIfTrue="1">
      <formula>$A102="Tripvar"</formula>
    </cfRule>
  </conditionalFormatting>
  <conditionalFormatting sqref="Q102:T102 F102:G102 D102">
    <cfRule type="expression" dxfId="4698" priority="4845" stopIfTrue="1">
      <formula>$A102="Junction"</formula>
    </cfRule>
  </conditionalFormatting>
  <conditionalFormatting sqref="Q102:T102 F102:G102 C102:D102">
    <cfRule type="expression" dxfId="4697" priority="4846" stopIfTrue="1">
      <formula>$A102="Sngljun"</formula>
    </cfRule>
  </conditionalFormatting>
  <conditionalFormatting sqref="Q102:S102 F102:G102 C102:D102">
    <cfRule type="expression" dxfId="4696" priority="4847" stopIfTrue="1">
      <formula>$A102="Mtrvlv"</formula>
    </cfRule>
  </conditionalFormatting>
  <conditionalFormatting sqref="A102">
    <cfRule type="expression" dxfId="4695" priority="4848" stopIfTrue="1">
      <formula>$A102="Srvvlv"</formula>
    </cfRule>
    <cfRule type="expression" dxfId="4694" priority="4859" stopIfTrue="1">
      <formula>$A102="Tmdpjun"</formula>
    </cfRule>
  </conditionalFormatting>
  <conditionalFormatting sqref="S102 Q102 F102:G102 C102:D102">
    <cfRule type="expression" dxfId="4693" priority="4849" stopIfTrue="1">
      <formula>$A102="Srvvlv"</formula>
    </cfRule>
  </conditionalFormatting>
  <conditionalFormatting sqref="R102">
    <cfRule type="expression" dxfId="4692" priority="4850" stopIfTrue="1">
      <formula>$A102="Srvvlv"</formula>
    </cfRule>
    <cfRule type="expression" dxfId="4691" priority="4861" stopIfTrue="1">
      <formula>$A102="Tmdpjun"</formula>
    </cfRule>
    <cfRule type="expression" dxfId="4690" priority="4864" stopIfTrue="1">
      <formula>$A102="Pump"</formula>
    </cfRule>
    <cfRule type="expression" dxfId="4689" priority="4867" stopIfTrue="1">
      <formula>$A102="Tmdpvol"</formula>
    </cfRule>
    <cfRule type="expression" dxfId="4688" priority="4874" stopIfTrue="1">
      <formula>$A102="Snglvol"</formula>
    </cfRule>
  </conditionalFormatting>
  <conditionalFormatting sqref="B102">
    <cfRule type="expression" dxfId="4687" priority="4851" stopIfTrue="1">
      <formula>$A102="Chkvlv"</formula>
    </cfRule>
    <cfRule type="expression" dxfId="4686" priority="4877" stopIfTrue="1">
      <formula>$A102="Relapnr"</formula>
    </cfRule>
    <cfRule type="expression" dxfId="4685" priority="4882" stopIfTrue="1">
      <formula>$A102="InitGas"</formula>
    </cfRule>
    <cfRule type="expression" dxfId="4684" priority="4888" stopIfTrue="1">
      <formula>$A102="Replacements"</formula>
    </cfRule>
    <cfRule type="expression" dxfId="4683" priority="4892" stopIfTrue="1">
      <formula>$A102="Custom"</formula>
    </cfRule>
    <cfRule type="expression" dxfId="4682" priority="4897" stopIfTrue="1">
      <formula>$A102="Triplog"</formula>
    </cfRule>
  </conditionalFormatting>
  <conditionalFormatting sqref="C102 Q102:S102 F102:G102">
    <cfRule type="expression" dxfId="4681" priority="4852" stopIfTrue="1">
      <formula>$A102="Chkvlv"</formula>
    </cfRule>
  </conditionalFormatting>
  <conditionalFormatting sqref="D102">
    <cfRule type="expression" dxfId="4680" priority="4853" stopIfTrue="1">
      <formula>$A102="Chkvlv"</formula>
    </cfRule>
    <cfRule type="expression" dxfId="4679" priority="4899" stopIfTrue="1">
      <formula>$A102="Triplog"</formula>
    </cfRule>
  </conditionalFormatting>
  <conditionalFormatting sqref="U102 K102">
    <cfRule type="expression" dxfId="4678" priority="4854" stopIfTrue="1">
      <formula>$A102="Chkvlv"</formula>
    </cfRule>
    <cfRule type="expression" dxfId="4677" priority="4872" stopIfTrue="1">
      <formula>$A102="Snglvol"</formula>
    </cfRule>
  </conditionalFormatting>
  <conditionalFormatting sqref="M102">
    <cfRule type="expression" dxfId="4676" priority="4855" stopIfTrue="1">
      <formula>$A102="Chkvlv"</formula>
    </cfRule>
    <cfRule type="expression" dxfId="4675" priority="4873" stopIfTrue="1">
      <formula>$A102="Snglvol"</formula>
    </cfRule>
  </conditionalFormatting>
  <conditionalFormatting sqref="C102">
    <cfRule type="expression" dxfId="4674" priority="4856" stopIfTrue="1">
      <formula>$A102="Inrvlv"</formula>
    </cfRule>
    <cfRule type="expression" dxfId="4673" priority="4880" stopIfTrue="1">
      <formula>$A102="Init"</formula>
    </cfRule>
    <cfRule type="expression" dxfId="4672" priority="4886" stopIfTrue="1">
      <formula>$A102="Timestep"</formula>
    </cfRule>
    <cfRule type="expression" dxfId="4671" priority="4898" stopIfTrue="1">
      <formula>$A102="Triplog"</formula>
    </cfRule>
  </conditionalFormatting>
  <conditionalFormatting sqref="Q102:R102 F102:G102 D102">
    <cfRule type="expression" dxfId="4670" priority="4857" stopIfTrue="1">
      <formula>$A102="Inrvlv"</formula>
    </cfRule>
  </conditionalFormatting>
  <conditionalFormatting sqref="S102">
    <cfRule type="expression" dxfId="4669" priority="4858" stopIfTrue="1">
      <formula>$A102="Inrvlv"</formula>
    </cfRule>
    <cfRule type="expression" dxfId="4668" priority="4862" stopIfTrue="1">
      <formula>$A102="Tmdpjun"</formula>
    </cfRule>
    <cfRule type="expression" dxfId="4667" priority="4865" stopIfTrue="1">
      <formula>$A102="Pump"</formula>
    </cfRule>
    <cfRule type="expression" dxfId="4666" priority="4868" stopIfTrue="1">
      <formula>$A102="Tmdpvol"</formula>
    </cfRule>
    <cfRule type="expression" dxfId="4665" priority="4875" stopIfTrue="1">
      <formula>$A102="Snglvol"</formula>
    </cfRule>
  </conditionalFormatting>
  <conditionalFormatting sqref="Q102 F102:G102 C102:D102">
    <cfRule type="expression" dxfId="4664" priority="4860" stopIfTrue="1">
      <formula>$A102="Tmdpjun"</formula>
    </cfRule>
  </conditionalFormatting>
  <conditionalFormatting sqref="Q102 D102">
    <cfRule type="expression" dxfId="4663" priority="4863" stopIfTrue="1">
      <formula>$A102="Pump"</formula>
    </cfRule>
  </conditionalFormatting>
  <conditionalFormatting sqref="T102 H102:I102 D102 M102:P102">
    <cfRule type="expression" dxfId="4662" priority="4866" stopIfTrue="1">
      <formula>$A102="Tmdpvol"</formula>
    </cfRule>
  </conditionalFormatting>
  <conditionalFormatting sqref="B102">
    <cfRule type="expression" dxfId="4661" priority="4869" stopIfTrue="1">
      <formula>$A102="Snglvol"</formula>
    </cfRule>
    <cfRule type="expression" dxfId="4660" priority="4879" stopIfTrue="1">
      <formula>$A102="Init"</formula>
    </cfRule>
    <cfRule type="expression" dxfId="4659" priority="4885" stopIfTrue="1">
      <formula>$A102="Timestep"</formula>
    </cfRule>
    <cfRule type="expression" dxfId="4658" priority="4890" stopIfTrue="1">
      <formula>$A102="Triggerwords"</formula>
    </cfRule>
    <cfRule type="expression" dxfId="4657" priority="4894" stopIfTrue="1">
      <formula>$A102="Tripvar"</formula>
    </cfRule>
  </conditionalFormatting>
  <conditionalFormatting sqref="T102 N102:Q102 H102:I102 D102">
    <cfRule type="expression" dxfId="4656" priority="4871" stopIfTrue="1">
      <formula>$A102="Snglvol"</formula>
    </cfRule>
  </conditionalFormatting>
  <conditionalFormatting sqref="A102">
    <cfRule type="expression" dxfId="4655" priority="4876" stopIfTrue="1">
      <formula>$A102="Relapnr"</formula>
    </cfRule>
  </conditionalFormatting>
  <conditionalFormatting sqref="A102">
    <cfRule type="expression" dxfId="4654" priority="4878" stopIfTrue="1">
      <formula>$A102="Init"</formula>
    </cfRule>
  </conditionalFormatting>
  <conditionalFormatting sqref="A102">
    <cfRule type="expression" dxfId="4653" priority="4881" stopIfTrue="1">
      <formula>$A102="InitGas"</formula>
    </cfRule>
  </conditionalFormatting>
  <conditionalFormatting sqref="A102 D102">
    <cfRule type="expression" dxfId="4652" priority="4884" stopIfTrue="1">
      <formula>$A102="Timestep"</formula>
    </cfRule>
  </conditionalFormatting>
  <conditionalFormatting sqref="A102">
    <cfRule type="expression" dxfId="4651" priority="4887" stopIfTrue="1">
      <formula>$A102="Replacements"</formula>
    </cfRule>
  </conditionalFormatting>
  <conditionalFormatting sqref="A102">
    <cfRule type="expression" dxfId="4650" priority="4889" stopIfTrue="1">
      <formula>$A102="Triggerwords"</formula>
    </cfRule>
  </conditionalFormatting>
  <conditionalFormatting sqref="A102">
    <cfRule type="expression" dxfId="4649" priority="4891" stopIfTrue="1">
      <formula>$A102="Custom"</formula>
    </cfRule>
  </conditionalFormatting>
  <conditionalFormatting sqref="A102 F102:I102 D102">
    <cfRule type="expression" dxfId="4648" priority="4893" stopIfTrue="1">
      <formula>$A102="Tripvar"</formula>
    </cfRule>
  </conditionalFormatting>
  <conditionalFormatting sqref="L102">
    <cfRule type="expression" dxfId="4647" priority="4807" stopIfTrue="1">
      <formula>$A102="Pipe"</formula>
    </cfRule>
  </conditionalFormatting>
  <conditionalFormatting sqref="L102">
    <cfRule type="expression" dxfId="4646" priority="4808" stopIfTrue="1">
      <formula>$A102="Junction"</formula>
    </cfRule>
  </conditionalFormatting>
  <conditionalFormatting sqref="L102">
    <cfRule type="expression" dxfId="4645" priority="4809" stopIfTrue="1">
      <formula>$A102="Sngljun"</formula>
    </cfRule>
  </conditionalFormatting>
  <conditionalFormatting sqref="L102">
    <cfRule type="expression" dxfId="4644" priority="4810" stopIfTrue="1">
      <formula>$A102="Mtrvlv"</formula>
    </cfRule>
  </conditionalFormatting>
  <conditionalFormatting sqref="L102">
    <cfRule type="expression" dxfId="4643" priority="4811" stopIfTrue="1">
      <formula>$A102="Srvvlv"</formula>
    </cfRule>
  </conditionalFormatting>
  <conditionalFormatting sqref="L102">
    <cfRule type="expression" dxfId="4642" priority="4812" stopIfTrue="1">
      <formula>$A102="Chkvlv"</formula>
    </cfRule>
  </conditionalFormatting>
  <conditionalFormatting sqref="L102">
    <cfRule type="expression" dxfId="4641" priority="4813" stopIfTrue="1">
      <formula>$A102="Inrvlv"</formula>
    </cfRule>
  </conditionalFormatting>
  <conditionalFormatting sqref="L102">
    <cfRule type="expression" dxfId="4640" priority="4814" stopIfTrue="1">
      <formula>$A102="Tmdpjun"</formula>
    </cfRule>
  </conditionalFormatting>
  <conditionalFormatting sqref="L102">
    <cfRule type="expression" dxfId="4639" priority="4815" stopIfTrue="1">
      <formula>$A102="Pump"</formula>
    </cfRule>
  </conditionalFormatting>
  <conditionalFormatting sqref="L102">
    <cfRule type="expression" dxfId="4638" priority="4816" stopIfTrue="1">
      <formula>$A102="Tmdpvol"</formula>
    </cfRule>
  </conditionalFormatting>
  <conditionalFormatting sqref="L102">
    <cfRule type="expression" dxfId="4637" priority="4817" stopIfTrue="1">
      <formula>$A102="Snglvol"</formula>
    </cfRule>
  </conditionalFormatting>
  <conditionalFormatting sqref="U104:V107 Q104:Q107 A104:D107 F104:J105 F113:J113 A113:D113 Q113 U113:V113 F107:J107 F106:G106 I106:J106">
    <cfRule type="expression" dxfId="4636" priority="4739" stopIfTrue="1">
      <formula>$A104="Pipe"</formula>
    </cfRule>
  </conditionalFormatting>
  <conditionalFormatting sqref="M104:P107 U104:V107 A104:B107 H104:J105 H113:J113 A113:B113 U113:V113 M113:P113 H107:J107 I106:J106">
    <cfRule type="expression" dxfId="4635" priority="4740" stopIfTrue="1">
      <formula>$A104="Junction"</formula>
    </cfRule>
  </conditionalFormatting>
  <conditionalFormatting sqref="M104:P107 T104:V107 A104:B107 H104:J105 H113:J113 A113:B113 T113:V113 M113:P113 H107:J107 I106:J106">
    <cfRule type="expression" dxfId="4634" priority="4741" stopIfTrue="1">
      <formula>$A104="Mtrvlv"</formula>
    </cfRule>
  </conditionalFormatting>
  <conditionalFormatting sqref="M104:P107 T104:V107 B104:B107 H104:J105 H113:J113 B113 T113:V113 M113:P113 H107:J107 I106:J106">
    <cfRule type="expression" dxfId="4633" priority="4742" stopIfTrue="1">
      <formula>$A104="Srvvlv"</formula>
    </cfRule>
  </conditionalFormatting>
  <conditionalFormatting sqref="V104:V107 T104:T107 N104:P107 A104:A107 H104:J105 H113:J113 A113 N113:P113 T113 V113 H107:J107 I106:J106">
    <cfRule type="expression" dxfId="4632" priority="4743" stopIfTrue="1">
      <formula>$A104="Chkvlv"</formula>
    </cfRule>
  </conditionalFormatting>
  <conditionalFormatting sqref="M104:P107 T104:V107 A104:B107 H104:J105 H113:J113 A113:B113 T113:V113 M113:P113 H107:J107 I106:J106">
    <cfRule type="expression" dxfId="4631" priority="4744" stopIfTrue="1">
      <formula>$A104="Inrvlv"</formula>
    </cfRule>
  </conditionalFormatting>
  <conditionalFormatting sqref="M104:P107 T104:V107 B104:B107 H104:J105 H113:J113 B113 T113:V113 M113:P113 H107:J107 I106:J106">
    <cfRule type="expression" dxfId="4630" priority="4745" stopIfTrue="1">
      <formula>$A104="Tmdpjun"</formula>
    </cfRule>
  </conditionalFormatting>
  <conditionalFormatting sqref="M104:P107 T104:V107 A104:C107 F104:J105 F113:J113 A113:C113 T113:V113 M113:P113 F107:J107 F106:G106 I106:J106">
    <cfRule type="expression" dxfId="4629" priority="4746" stopIfTrue="1">
      <formula>$A104="Pump"</formula>
    </cfRule>
  </conditionalFormatting>
  <conditionalFormatting sqref="U104:V107 Q104:Q107 J104:J107 F104:G107 A104:C107 A113:C113 F113:G113 J113 Q113 U113:V113">
    <cfRule type="expression" dxfId="4628" priority="4747" stopIfTrue="1">
      <formula>$A104="Tmdpvol"</formula>
    </cfRule>
  </conditionalFormatting>
  <conditionalFormatting sqref="V104:V107 J104:J107 F104:G107 A104:A107 A113 F113:G113 J113 V113">
    <cfRule type="expression" dxfId="4627" priority="4748" stopIfTrue="1">
      <formula>$A104="Snglvol"</formula>
    </cfRule>
  </conditionalFormatting>
  <conditionalFormatting sqref="M104:P107 U104:V107 A104:B107 H104:J105 H113:J113 A113:B113 U113:V113 M113:P113 H107:J107 I106:J106">
    <cfRule type="expression" dxfId="4626" priority="4749" stopIfTrue="1">
      <formula>$A104="Sngljun"</formula>
    </cfRule>
  </conditionalFormatting>
  <conditionalFormatting sqref="M104:P107 R104:T107 R113:T113 M113:P113">
    <cfRule type="expression" dxfId="4625" priority="4750" stopIfTrue="1">
      <formula>$A104="Pipe"</formula>
    </cfRule>
  </conditionalFormatting>
  <conditionalFormatting sqref="C104:C107 C113">
    <cfRule type="expression" dxfId="4624" priority="4751" stopIfTrue="1">
      <formula>$A104="Junction"</formula>
    </cfRule>
    <cfRule type="expression" dxfId="4623" priority="4777" stopIfTrue="1">
      <formula>$A104="Snglvol"</formula>
    </cfRule>
    <cfRule type="expression" dxfId="4622" priority="4790" stopIfTrue="1">
      <formula>$A104="InitGas"</formula>
    </cfRule>
    <cfRule type="expression" dxfId="4621" priority="4802" stopIfTrue="1">
      <formula>$A104="Tripvar"</formula>
    </cfRule>
  </conditionalFormatting>
  <conditionalFormatting sqref="Q104:T107 F104:G107 D104:D107 D113 F113:G113 Q113:T113">
    <cfRule type="expression" dxfId="4620" priority="4752" stopIfTrue="1">
      <formula>$A104="Junction"</formula>
    </cfRule>
  </conditionalFormatting>
  <conditionalFormatting sqref="Q104:T107 F104:G107 C104:D107 C113:D113 F113:G113 Q113:T113">
    <cfRule type="expression" dxfId="4619" priority="4753" stopIfTrue="1">
      <formula>$A104="Sngljun"</formula>
    </cfRule>
  </conditionalFormatting>
  <conditionalFormatting sqref="Q104:S107 F104:G107 C104:D107 C113:D113 F113:G113 Q113:S113">
    <cfRule type="expression" dxfId="4618" priority="4754" stopIfTrue="1">
      <formula>$A104="Mtrvlv"</formula>
    </cfRule>
  </conditionalFormatting>
  <conditionalFormatting sqref="A104:A107 A113">
    <cfRule type="expression" dxfId="4617" priority="4755" stopIfTrue="1">
      <formula>$A104="Srvvlv"</formula>
    </cfRule>
    <cfRule type="expression" dxfId="4616" priority="4766" stopIfTrue="1">
      <formula>$A104="Tmdpjun"</formula>
    </cfRule>
  </conditionalFormatting>
  <conditionalFormatting sqref="S104:S107 Q104:Q107 F104:G107 C104:D107 C113:D113 F113:G113 Q113 S113">
    <cfRule type="expression" dxfId="4615" priority="4756" stopIfTrue="1">
      <formula>$A104="Srvvlv"</formula>
    </cfRule>
  </conditionalFormatting>
  <conditionalFormatting sqref="R104:R107 R113">
    <cfRule type="expression" dxfId="4614" priority="4757" stopIfTrue="1">
      <formula>$A104="Srvvlv"</formula>
    </cfRule>
    <cfRule type="expression" dxfId="4613" priority="4768" stopIfTrue="1">
      <formula>$A104="Tmdpjun"</formula>
    </cfRule>
    <cfRule type="expression" dxfId="4612" priority="4771" stopIfTrue="1">
      <formula>$A104="Pump"</formula>
    </cfRule>
    <cfRule type="expression" dxfId="4611" priority="4774" stopIfTrue="1">
      <formula>$A104="Tmdpvol"</formula>
    </cfRule>
    <cfRule type="expression" dxfId="4610" priority="4781" stopIfTrue="1">
      <formula>$A104="Snglvol"</formula>
    </cfRule>
  </conditionalFormatting>
  <conditionalFormatting sqref="B104:B107 B113">
    <cfRule type="expression" dxfId="4609" priority="4758" stopIfTrue="1">
      <formula>$A104="Chkvlv"</formula>
    </cfRule>
    <cfRule type="expression" dxfId="4608" priority="4784" stopIfTrue="1">
      <formula>$A104="Relapnr"</formula>
    </cfRule>
    <cfRule type="expression" dxfId="4607" priority="4789" stopIfTrue="1">
      <formula>$A104="InitGas"</formula>
    </cfRule>
    <cfRule type="expression" dxfId="4606" priority="4795" stopIfTrue="1">
      <formula>$A104="Replacements"</formula>
    </cfRule>
    <cfRule type="expression" dxfId="4605" priority="4799" stopIfTrue="1">
      <formula>$A104="Custom"</formula>
    </cfRule>
    <cfRule type="expression" dxfId="4604" priority="4804" stopIfTrue="1">
      <formula>$A104="Triplog"</formula>
    </cfRule>
  </conditionalFormatting>
  <conditionalFormatting sqref="C104:C107 Q104:S107 F104:G107 F113:G113 Q113:S113 C113">
    <cfRule type="expression" dxfId="4603" priority="4759" stopIfTrue="1">
      <formula>$A104="Chkvlv"</formula>
    </cfRule>
  </conditionalFormatting>
  <conditionalFormatting sqref="D104:D107 D113">
    <cfRule type="expression" dxfId="4602" priority="4760" stopIfTrue="1">
      <formula>$A104="Chkvlv"</formula>
    </cfRule>
    <cfRule type="expression" dxfId="4601" priority="4806" stopIfTrue="1">
      <formula>$A104="Triplog"</formula>
    </cfRule>
  </conditionalFormatting>
  <conditionalFormatting sqref="U104:U107 U113">
    <cfRule type="expression" dxfId="4600" priority="4761" stopIfTrue="1">
      <formula>$A104="Chkvlv"</formula>
    </cfRule>
    <cfRule type="expression" dxfId="4599" priority="4779" stopIfTrue="1">
      <formula>$A104="Snglvol"</formula>
    </cfRule>
  </conditionalFormatting>
  <conditionalFormatting sqref="M104:M107 M113">
    <cfRule type="expression" dxfId="4598" priority="4762" stopIfTrue="1">
      <formula>$A104="Chkvlv"</formula>
    </cfRule>
    <cfRule type="expression" dxfId="4597" priority="4780" stopIfTrue="1">
      <formula>$A104="Snglvol"</formula>
    </cfRule>
  </conditionalFormatting>
  <conditionalFormatting sqref="C104:C107 C113">
    <cfRule type="expression" dxfId="4596" priority="4763" stopIfTrue="1">
      <formula>$A104="Inrvlv"</formula>
    </cfRule>
    <cfRule type="expression" dxfId="4595" priority="4787" stopIfTrue="1">
      <formula>$A104="Init"</formula>
    </cfRule>
    <cfRule type="expression" dxfId="4594" priority="4793" stopIfTrue="1">
      <formula>$A104="Timestep"</formula>
    </cfRule>
    <cfRule type="expression" dxfId="4593" priority="4805" stopIfTrue="1">
      <formula>$A104="Triplog"</formula>
    </cfRule>
  </conditionalFormatting>
  <conditionalFormatting sqref="Q104:R107 F104:G107 D104:D107 D113 F113:G113 Q113:R113">
    <cfRule type="expression" dxfId="4592" priority="4764" stopIfTrue="1">
      <formula>$A104="Inrvlv"</formula>
    </cfRule>
  </conditionalFormatting>
  <conditionalFormatting sqref="S104:S107 S113">
    <cfRule type="expression" dxfId="4591" priority="4765" stopIfTrue="1">
      <formula>$A104="Inrvlv"</formula>
    </cfRule>
    <cfRule type="expression" dxfId="4590" priority="4769" stopIfTrue="1">
      <formula>$A104="Tmdpjun"</formula>
    </cfRule>
    <cfRule type="expression" dxfId="4589" priority="4772" stopIfTrue="1">
      <formula>$A104="Pump"</formula>
    </cfRule>
    <cfRule type="expression" dxfId="4588" priority="4775" stopIfTrue="1">
      <formula>$A104="Tmdpvol"</formula>
    </cfRule>
    <cfRule type="expression" dxfId="4587" priority="4782" stopIfTrue="1">
      <formula>$A104="Snglvol"</formula>
    </cfRule>
  </conditionalFormatting>
  <conditionalFormatting sqref="Q104:Q107 F104:G107 C104:D107 C113:D113 F113:G113 Q113">
    <cfRule type="expression" dxfId="4586" priority="4767" stopIfTrue="1">
      <formula>$A104="Tmdpjun"</formula>
    </cfRule>
  </conditionalFormatting>
  <conditionalFormatting sqref="Q104:Q107 D104:D107 D113 Q113">
    <cfRule type="expression" dxfId="4585" priority="4770" stopIfTrue="1">
      <formula>$A104="Pump"</formula>
    </cfRule>
  </conditionalFormatting>
  <conditionalFormatting sqref="T104:T107 H104:I105 D104:D107 M104:P107 M113:P113 D113 H113:I113 T113 H107:I107 I106">
    <cfRule type="expression" dxfId="4584" priority="4773" stopIfTrue="1">
      <formula>$A104="Tmdpvol"</formula>
    </cfRule>
  </conditionalFormatting>
  <conditionalFormatting sqref="B104:B107 B113">
    <cfRule type="expression" dxfId="4583" priority="4776" stopIfTrue="1">
      <formula>$A104="Snglvol"</formula>
    </cfRule>
    <cfRule type="expression" dxfId="4582" priority="4786" stopIfTrue="1">
      <formula>$A104="Init"</formula>
    </cfRule>
    <cfRule type="expression" dxfId="4581" priority="4792" stopIfTrue="1">
      <formula>$A104="Timestep"</formula>
    </cfRule>
    <cfRule type="expression" dxfId="4580" priority="4797" stopIfTrue="1">
      <formula>$A104="Triggerwords"</formula>
    </cfRule>
    <cfRule type="expression" dxfId="4579" priority="4801" stopIfTrue="1">
      <formula>$A104="Tripvar"</formula>
    </cfRule>
  </conditionalFormatting>
  <conditionalFormatting sqref="T104:T107 N104:Q107 H104:I105 D104:D107 D113 H113:I113 N113:Q113 T113 H107:I107 I106">
    <cfRule type="expression" dxfId="4578" priority="4778" stopIfTrue="1">
      <formula>$A104="Snglvol"</formula>
    </cfRule>
  </conditionalFormatting>
  <conditionalFormatting sqref="A104:A107 A113">
    <cfRule type="expression" dxfId="4577" priority="4783" stopIfTrue="1">
      <formula>$A104="Relapnr"</formula>
    </cfRule>
  </conditionalFormatting>
  <conditionalFormatting sqref="A104:A107 A113">
    <cfRule type="expression" dxfId="4576" priority="4785" stopIfTrue="1">
      <formula>$A104="Init"</formula>
    </cfRule>
  </conditionalFormatting>
  <conditionalFormatting sqref="A104:A107 A113">
    <cfRule type="expression" dxfId="4575" priority="4788" stopIfTrue="1">
      <formula>$A104="InitGas"</formula>
    </cfRule>
  </conditionalFormatting>
  <conditionalFormatting sqref="A104:A107 D104:D107 D113 A113">
    <cfRule type="expression" dxfId="4574" priority="4791" stopIfTrue="1">
      <formula>$A104="Timestep"</formula>
    </cfRule>
  </conditionalFormatting>
  <conditionalFormatting sqref="A104:A107 A113">
    <cfRule type="expression" dxfId="4573" priority="4794" stopIfTrue="1">
      <formula>$A104="Replacements"</formula>
    </cfRule>
  </conditionalFormatting>
  <conditionalFormatting sqref="A104:A107 A113">
    <cfRule type="expression" dxfId="4572" priority="4796" stopIfTrue="1">
      <formula>$A104="Triggerwords"</formula>
    </cfRule>
  </conditionalFormatting>
  <conditionalFormatting sqref="A104:A107 A113">
    <cfRule type="expression" dxfId="4571" priority="4798" stopIfTrue="1">
      <formula>$A104="Custom"</formula>
    </cfRule>
  </conditionalFormatting>
  <conditionalFormatting sqref="A104:A107 F104:I105 D104:D107 D113 F113:I113 A113 F107:I107 F106:G106 I106">
    <cfRule type="expression" dxfId="4570" priority="4800" stopIfTrue="1">
      <formula>$A104="Tripvar"</formula>
    </cfRule>
  </conditionalFormatting>
  <conditionalFormatting sqref="A104:A107 F104:F107 F113 A113">
    <cfRule type="expression" dxfId="4569" priority="4803" stopIfTrue="1">
      <formula>$A104="Triplog"</formula>
    </cfRule>
  </conditionalFormatting>
  <conditionalFormatting sqref="L104:L107 L113">
    <cfRule type="expression" dxfId="4568" priority="4714" stopIfTrue="1">
      <formula>$A104="Pipe"</formula>
    </cfRule>
  </conditionalFormatting>
  <conditionalFormatting sqref="L104:L107 L113">
    <cfRule type="expression" dxfId="4567" priority="4715" stopIfTrue="1">
      <formula>$A104="Junction"</formula>
    </cfRule>
  </conditionalFormatting>
  <conditionalFormatting sqref="L104:L107 L113">
    <cfRule type="expression" dxfId="4566" priority="4716" stopIfTrue="1">
      <formula>$A104="Sngljun"</formula>
    </cfRule>
  </conditionalFormatting>
  <conditionalFormatting sqref="L104:L107 L113">
    <cfRule type="expression" dxfId="4565" priority="4717" stopIfTrue="1">
      <formula>$A104="Mtrvlv"</formula>
    </cfRule>
  </conditionalFormatting>
  <conditionalFormatting sqref="L104:L107 L113">
    <cfRule type="expression" dxfId="4564" priority="4718" stopIfTrue="1">
      <formula>$A104="Srvvlv"</formula>
    </cfRule>
  </conditionalFormatting>
  <conditionalFormatting sqref="L104:L107 L113">
    <cfRule type="expression" dxfId="4563" priority="4719" stopIfTrue="1">
      <formula>$A104="Chkvlv"</formula>
    </cfRule>
  </conditionalFormatting>
  <conditionalFormatting sqref="L104:L107 L113">
    <cfRule type="expression" dxfId="4562" priority="4720" stopIfTrue="1">
      <formula>$A104="Inrvlv"</formula>
    </cfRule>
  </conditionalFormatting>
  <conditionalFormatting sqref="L104:L107 L113">
    <cfRule type="expression" dxfId="4561" priority="4721" stopIfTrue="1">
      <formula>$A104="Tmdpjun"</formula>
    </cfRule>
  </conditionalFormatting>
  <conditionalFormatting sqref="L104:L107 L113">
    <cfRule type="expression" dxfId="4560" priority="4722" stopIfTrue="1">
      <formula>$A104="Pump"</formula>
    </cfRule>
  </conditionalFormatting>
  <conditionalFormatting sqref="L104:L107 L113">
    <cfRule type="expression" dxfId="4559" priority="4723" stopIfTrue="1">
      <formula>$A104="Tmdpvol"</formula>
    </cfRule>
  </conditionalFormatting>
  <conditionalFormatting sqref="L104:L107 L113">
    <cfRule type="expression" dxfId="4558" priority="4724" stopIfTrue="1">
      <formula>$A104="Snglvol"</formula>
    </cfRule>
  </conditionalFormatting>
  <conditionalFormatting sqref="F140:I140 J134:L140 A140:D140 Q134:Q140 U134:V140">
    <cfRule type="expression" dxfId="4557" priority="4555" stopIfTrue="1">
      <formula>$A134="Pipe"</formula>
    </cfRule>
  </conditionalFormatting>
  <conditionalFormatting sqref="H140:I140 J134:K140 A140:B140 U134:V140 M134:P140">
    <cfRule type="expression" dxfId="4556" priority="4556" stopIfTrue="1">
      <formula>$A134="Junction"</formula>
    </cfRule>
  </conditionalFormatting>
  <conditionalFormatting sqref="H140:I140 J134:K140 A140:B140 T134:V138 M134:P140 T140:V140 U139:V139">
    <cfRule type="expression" dxfId="4555" priority="4557" stopIfTrue="1">
      <formula>$A134="Mtrvlv"</formula>
    </cfRule>
  </conditionalFormatting>
  <conditionalFormatting sqref="H140:I140 J134:K140 B140 T134:V138 M134:P140 T140:V140 U139:V139">
    <cfRule type="expression" dxfId="4554" priority="4558" stopIfTrue="1">
      <formula>$A134="Srvvlv"</formula>
    </cfRule>
  </conditionalFormatting>
  <conditionalFormatting sqref="H140:I140 J134:J140 A140 N134:P140 T134:T138 V134:V140 T140">
    <cfRule type="expression" dxfId="4553" priority="4559" stopIfTrue="1">
      <formula>$A134="Chkvlv"</formula>
    </cfRule>
  </conditionalFormatting>
  <conditionalFormatting sqref="H140:I140 J134:K140 A140:B140 T134:V138 M134:P140 T140:V140 U139:V139">
    <cfRule type="expression" dxfId="4552" priority="4560" stopIfTrue="1">
      <formula>$A134="Inrvlv"</formula>
    </cfRule>
  </conditionalFormatting>
  <conditionalFormatting sqref="H140:I140 J134:K140 B140 T134:V138 M134:P140 T140:V140 U139:V139">
    <cfRule type="expression" dxfId="4551" priority="4561" stopIfTrue="1">
      <formula>$A134="Tmdpjun"</formula>
    </cfRule>
  </conditionalFormatting>
  <conditionalFormatting sqref="F140:I140 J134:K140 A140:C140 T134:V138 M134:P140 T140:V140 U139:V139">
    <cfRule type="expression" dxfId="4550" priority="4562" stopIfTrue="1">
      <formula>$A134="Pump"</formula>
    </cfRule>
  </conditionalFormatting>
  <conditionalFormatting sqref="A140:C140 F140:G140 J134:K140 Q134:Q140 U134:V140">
    <cfRule type="expression" dxfId="4549" priority="4563" stopIfTrue="1">
      <formula>$A134="Tmdpvol"</formula>
    </cfRule>
  </conditionalFormatting>
  <conditionalFormatting sqref="A140 F140:G140 J134:J140 V134:V140">
    <cfRule type="expression" dxfId="4548" priority="4564" stopIfTrue="1">
      <formula>$A134="Snglvol"</formula>
    </cfRule>
  </conditionalFormatting>
  <conditionalFormatting sqref="H140:I140 J134:K140 A140:B140 U134:V140 M134:P140">
    <cfRule type="expression" dxfId="4547" priority="4565" stopIfTrue="1">
      <formula>$A134="Sngljun"</formula>
    </cfRule>
  </conditionalFormatting>
  <conditionalFormatting sqref="A134:A139">
    <cfRule type="expression" dxfId="4546" priority="4566" stopIfTrue="1">
      <formula>$A134="Pipe"</formula>
    </cfRule>
  </conditionalFormatting>
  <conditionalFormatting sqref="B134:B139">
    <cfRule type="expression" dxfId="4545" priority="4567" stopIfTrue="1">
      <formula>$A134="Pipe"</formula>
    </cfRule>
  </conditionalFormatting>
  <conditionalFormatting sqref="C134:C139">
    <cfRule type="expression" dxfId="4544" priority="4568" stopIfTrue="1">
      <formula>$A134="Pipe"</formula>
    </cfRule>
  </conditionalFormatting>
  <conditionalFormatting sqref="D134:D139">
    <cfRule type="expression" dxfId="4543" priority="4569" stopIfTrue="1">
      <formula>$A134="Pipe"</formula>
    </cfRule>
  </conditionalFormatting>
  <conditionalFormatting sqref="E134:E139">
    <cfRule type="expression" dxfId="4542" priority="4570" stopIfTrue="1">
      <formula>$A134="Pipe"</formula>
    </cfRule>
  </conditionalFormatting>
  <conditionalFormatting sqref="F134:F139">
    <cfRule type="expression" dxfId="4541" priority="4571" stopIfTrue="1">
      <formula>$A134="Pipe"</formula>
    </cfRule>
  </conditionalFormatting>
  <conditionalFormatting sqref="G134:G139">
    <cfRule type="expression" dxfId="4540" priority="4572" stopIfTrue="1">
      <formula>$A134="Pipe"</formula>
    </cfRule>
  </conditionalFormatting>
  <conditionalFormatting sqref="H134:H139">
    <cfRule type="expression" dxfId="4539" priority="4573" stopIfTrue="1">
      <formula>$A134="Pipe"</formula>
    </cfRule>
  </conditionalFormatting>
  <conditionalFormatting sqref="I134:I139">
    <cfRule type="expression" dxfId="4538" priority="4574" stopIfTrue="1">
      <formula>$A134="Pipe"</formula>
    </cfRule>
  </conditionalFormatting>
  <conditionalFormatting sqref="R134:T138 M134:P140 R140:T140 R139:S139">
    <cfRule type="expression" dxfId="4537" priority="4575" stopIfTrue="1">
      <formula>$A134="Pipe"</formula>
    </cfRule>
  </conditionalFormatting>
  <conditionalFormatting sqref="A134:A139">
    <cfRule type="expression" dxfId="4536" priority="4576" stopIfTrue="1">
      <formula>$A134="Junction"</formula>
    </cfRule>
  </conditionalFormatting>
  <conditionalFormatting sqref="B134:B139">
    <cfRule type="expression" dxfId="4535" priority="4577" stopIfTrue="1">
      <formula>$A134="Junction"</formula>
    </cfRule>
  </conditionalFormatting>
  <conditionalFormatting sqref="C134:C140">
    <cfRule type="expression" dxfId="4534" priority="4578" stopIfTrue="1">
      <formula>$A134="Junction"</formula>
    </cfRule>
    <cfRule type="expression" dxfId="4533" priority="4669" stopIfTrue="1">
      <formula>$A134="Snglvol"</formula>
    </cfRule>
    <cfRule type="expression" dxfId="4532" priority="4687" stopIfTrue="1">
      <formula>$A134="InitGas"</formula>
    </cfRule>
    <cfRule type="expression" dxfId="4531" priority="4701" stopIfTrue="1">
      <formula>$A134="Tripvar"</formula>
    </cfRule>
  </conditionalFormatting>
  <conditionalFormatting sqref="F140:G140 L134:L140 Q134:T138 D134:D140 Q140:T140 Q139:S139">
    <cfRule type="expression" dxfId="4530" priority="4579" stopIfTrue="1">
      <formula>$A134="Junction"</formula>
    </cfRule>
  </conditionalFormatting>
  <conditionalFormatting sqref="E134:E139">
    <cfRule type="expression" dxfId="4529" priority="4580" stopIfTrue="1">
      <formula>$A134="Junction"</formula>
    </cfRule>
  </conditionalFormatting>
  <conditionalFormatting sqref="F134:F139">
    <cfRule type="expression" dxfId="4528" priority="4581" stopIfTrue="1">
      <formula>$A134="Junction"</formula>
    </cfRule>
  </conditionalFormatting>
  <conditionalFormatting sqref="G134:G139">
    <cfRule type="expression" dxfId="4527" priority="4582" stopIfTrue="1">
      <formula>$A134="Junction"</formula>
    </cfRule>
  </conditionalFormatting>
  <conditionalFormatting sqref="H134:H139">
    <cfRule type="expression" dxfId="4526" priority="4583" stopIfTrue="1">
      <formula>$A134="Junction"</formula>
    </cfRule>
  </conditionalFormatting>
  <conditionalFormatting sqref="I134:I139">
    <cfRule type="expression" dxfId="4525" priority="4584" stopIfTrue="1">
      <formula>$A134="Junction"</formula>
    </cfRule>
  </conditionalFormatting>
  <conditionalFormatting sqref="A134:A139">
    <cfRule type="expression" dxfId="4524" priority="4585" stopIfTrue="1">
      <formula>$A134="Sngljun"</formula>
    </cfRule>
  </conditionalFormatting>
  <conditionalFormatting sqref="B134:B139">
    <cfRule type="expression" dxfId="4523" priority="4586" stopIfTrue="1">
      <formula>$A134="Sngljun"</formula>
    </cfRule>
  </conditionalFormatting>
  <conditionalFormatting sqref="C140:D140 F140:G140 L134:L140 Q134:T138 C134:C139 Q140:T140 Q139:S139">
    <cfRule type="expression" dxfId="4522" priority="4587" stopIfTrue="1">
      <formula>$A134="Sngljun"</formula>
    </cfRule>
  </conditionalFormatting>
  <conditionalFormatting sqref="D134:D139">
    <cfRule type="expression" dxfId="4521" priority="4588" stopIfTrue="1">
      <formula>$A134="Sngljun"</formula>
    </cfRule>
  </conditionalFormatting>
  <conditionalFormatting sqref="E134:E139">
    <cfRule type="expression" dxfId="4520" priority="4589" stopIfTrue="1">
      <formula>$A134="Sngljun"</formula>
    </cfRule>
  </conditionalFormatting>
  <conditionalFormatting sqref="F134:F139">
    <cfRule type="expression" dxfId="4519" priority="4590" stopIfTrue="1">
      <formula>$A134="Sngljun"</formula>
    </cfRule>
  </conditionalFormatting>
  <conditionalFormatting sqref="G134:G139">
    <cfRule type="expression" dxfId="4518" priority="4591" stopIfTrue="1">
      <formula>$A134="Sngljun"</formula>
    </cfRule>
  </conditionalFormatting>
  <conditionalFormatting sqref="H134:H139">
    <cfRule type="expression" dxfId="4517" priority="4592" stopIfTrue="1">
      <formula>$A134="Sngljun"</formula>
    </cfRule>
  </conditionalFormatting>
  <conditionalFormatting sqref="I134:I139">
    <cfRule type="expression" dxfId="4516" priority="4593" stopIfTrue="1">
      <formula>$A134="Sngljun"</formula>
    </cfRule>
  </conditionalFormatting>
  <conditionalFormatting sqref="A134:A139">
    <cfRule type="expression" dxfId="4515" priority="4594" stopIfTrue="1">
      <formula>$A134="Mtrvlv"</formula>
    </cfRule>
  </conditionalFormatting>
  <conditionalFormatting sqref="B134:B139">
    <cfRule type="expression" dxfId="4514" priority="4595" stopIfTrue="1">
      <formula>$A134="Mtrvlv"</formula>
    </cfRule>
  </conditionalFormatting>
  <conditionalFormatting sqref="C140:D140 F140:G140 L134:L140 Q134:S140 C134:C139">
    <cfRule type="expression" dxfId="4513" priority="4596" stopIfTrue="1">
      <formula>$A134="Mtrvlv"</formula>
    </cfRule>
  </conditionalFormatting>
  <conditionalFormatting sqref="D134:D139">
    <cfRule type="expression" dxfId="4512" priority="4597" stopIfTrue="1">
      <formula>$A134="Mtrvlv"</formula>
    </cfRule>
  </conditionalFormatting>
  <conditionalFormatting sqref="E134:E139">
    <cfRule type="expression" dxfId="4511" priority="4598" stopIfTrue="1">
      <formula>$A134="Mtrvlv"</formula>
    </cfRule>
  </conditionalFormatting>
  <conditionalFormatting sqref="F134:F139">
    <cfRule type="expression" dxfId="4510" priority="4599" stopIfTrue="1">
      <formula>$A134="Mtrvlv"</formula>
    </cfRule>
  </conditionalFormatting>
  <conditionalFormatting sqref="G134:G139">
    <cfRule type="expression" dxfId="4509" priority="4600" stopIfTrue="1">
      <formula>$A134="Mtrvlv"</formula>
    </cfRule>
  </conditionalFormatting>
  <conditionalFormatting sqref="H134:H139">
    <cfRule type="expression" dxfId="4508" priority="4601" stopIfTrue="1">
      <formula>$A134="Mtrvlv"</formula>
    </cfRule>
  </conditionalFormatting>
  <conditionalFormatting sqref="I134:I139">
    <cfRule type="expression" dxfId="4507" priority="4602" stopIfTrue="1">
      <formula>$A134="Mtrvlv"</formula>
    </cfRule>
  </conditionalFormatting>
  <conditionalFormatting sqref="A134:A140">
    <cfRule type="expression" dxfId="4506" priority="4603" stopIfTrue="1">
      <formula>$A134="Srvvlv"</formula>
    </cfRule>
    <cfRule type="expression" dxfId="4505" priority="4634" stopIfTrue="1">
      <formula>$A134="Tmdpjun"</formula>
    </cfRule>
  </conditionalFormatting>
  <conditionalFormatting sqref="B134:B139">
    <cfRule type="expression" dxfId="4504" priority="4604" stopIfTrue="1">
      <formula>$A134="Srvvlv"</formula>
    </cfRule>
  </conditionalFormatting>
  <conditionalFormatting sqref="C140:D140 F140:G140 L134:L140 Q134:Q140 S134:S140 C134:C139">
    <cfRule type="expression" dxfId="4503" priority="4605" stopIfTrue="1">
      <formula>$A134="Srvvlv"</formula>
    </cfRule>
  </conditionalFormatting>
  <conditionalFormatting sqref="D134:D139">
    <cfRule type="expression" dxfId="4502" priority="4606" stopIfTrue="1">
      <formula>$A134="Srvvlv"</formula>
    </cfRule>
  </conditionalFormatting>
  <conditionalFormatting sqref="E134:E139">
    <cfRule type="expression" dxfId="4501" priority="4607" stopIfTrue="1">
      <formula>$A134="Srvvlv"</formula>
    </cfRule>
  </conditionalFormatting>
  <conditionalFormatting sqref="F134:F139">
    <cfRule type="expression" dxfId="4500" priority="4608" stopIfTrue="1">
      <formula>$A134="Srvvlv"</formula>
    </cfRule>
  </conditionalFormatting>
  <conditionalFormatting sqref="G134:G139">
    <cfRule type="expression" dxfId="4499" priority="4609" stopIfTrue="1">
      <formula>$A134="Srvvlv"</formula>
    </cfRule>
  </conditionalFormatting>
  <conditionalFormatting sqref="H134:H139">
    <cfRule type="expression" dxfId="4498" priority="4610" stopIfTrue="1">
      <formula>$A134="Srvvlv"</formula>
    </cfRule>
  </conditionalFormatting>
  <conditionalFormatting sqref="I134:I139">
    <cfRule type="expression" dxfId="4497" priority="4611" stopIfTrue="1">
      <formula>$A134="Srvvlv"</formula>
    </cfRule>
  </conditionalFormatting>
  <conditionalFormatting sqref="R134:R140">
    <cfRule type="expression" dxfId="4496" priority="4612" stopIfTrue="1">
      <formula>$A134="Srvvlv"</formula>
    </cfRule>
    <cfRule type="expression" dxfId="4495" priority="4643" stopIfTrue="1">
      <formula>$A134="Tmdpjun"</formula>
    </cfRule>
    <cfRule type="expression" dxfId="4494" priority="4654" stopIfTrue="1">
      <formula>$A134="Pump"</formula>
    </cfRule>
    <cfRule type="expression" dxfId="4493" priority="4665" stopIfTrue="1">
      <formula>$A134="Tmdpvol"</formula>
    </cfRule>
    <cfRule type="expression" dxfId="4492" priority="4678" stopIfTrue="1">
      <formula>$A134="Snglvol"</formula>
    </cfRule>
  </conditionalFormatting>
  <conditionalFormatting sqref="A134:A139">
    <cfRule type="expression" dxfId="4491" priority="4613" stopIfTrue="1">
      <formula>$A134="Chkvlv"</formula>
    </cfRule>
  </conditionalFormatting>
  <conditionalFormatting sqref="B134:B140">
    <cfRule type="expression" dxfId="4490" priority="4614" stopIfTrue="1">
      <formula>$A134="Chkvlv"</formula>
    </cfRule>
    <cfRule type="expression" dxfId="4489" priority="4681" stopIfTrue="1">
      <formula>$A134="Relapnr"</formula>
    </cfRule>
    <cfRule type="expression" dxfId="4488" priority="4686" stopIfTrue="1">
      <formula>$A134="InitGas"</formula>
    </cfRule>
    <cfRule type="expression" dxfId="4487" priority="4694" stopIfTrue="1">
      <formula>$A134="Replacements"</formula>
    </cfRule>
    <cfRule type="expression" dxfId="4486" priority="4698" stopIfTrue="1">
      <formula>$A134="Custom"</formula>
    </cfRule>
    <cfRule type="expression" dxfId="4485" priority="4709" stopIfTrue="1">
      <formula>$A134="Triplog"</formula>
    </cfRule>
  </conditionalFormatting>
  <conditionalFormatting sqref="F140:G140 L134:L140 Q134:S140 C134:C140">
    <cfRule type="expression" dxfId="4484" priority="4615" stopIfTrue="1">
      <formula>$A134="Chkvlv"</formula>
    </cfRule>
  </conditionalFormatting>
  <conditionalFormatting sqref="D134:D140">
    <cfRule type="expression" dxfId="4483" priority="4616" stopIfTrue="1">
      <formula>$A134="Chkvlv"</formula>
    </cfRule>
    <cfRule type="expression" dxfId="4482" priority="4711" stopIfTrue="1">
      <formula>$A134="Triplog"</formula>
    </cfRule>
  </conditionalFormatting>
  <conditionalFormatting sqref="E134:E139">
    <cfRule type="expression" dxfId="4481" priority="4617" stopIfTrue="1">
      <formula>$A134="Chkvlv"</formula>
    </cfRule>
  </conditionalFormatting>
  <conditionalFormatting sqref="F134:F139">
    <cfRule type="expression" dxfId="4480" priority="4618" stopIfTrue="1">
      <formula>$A134="Chkvlv"</formula>
    </cfRule>
  </conditionalFormatting>
  <conditionalFormatting sqref="G134:G139">
    <cfRule type="expression" dxfId="4479" priority="4619" stopIfTrue="1">
      <formula>$A134="Chkvlv"</formula>
    </cfRule>
  </conditionalFormatting>
  <conditionalFormatting sqref="H134:H139">
    <cfRule type="expression" dxfId="4478" priority="4620" stopIfTrue="1">
      <formula>$A134="Chkvlv"</formula>
    </cfRule>
  </conditionalFormatting>
  <conditionalFormatting sqref="I134:I139">
    <cfRule type="expression" dxfId="4477" priority="4621" stopIfTrue="1">
      <formula>$A134="Chkvlv"</formula>
    </cfRule>
  </conditionalFormatting>
  <conditionalFormatting sqref="K134:K140 U134:U140">
    <cfRule type="expression" dxfId="4476" priority="4622" stopIfTrue="1">
      <formula>$A134="Chkvlv"</formula>
    </cfRule>
    <cfRule type="expression" dxfId="4475" priority="4676" stopIfTrue="1">
      <formula>$A134="Snglvol"</formula>
    </cfRule>
  </conditionalFormatting>
  <conditionalFormatting sqref="M134:M140">
    <cfRule type="expression" dxfId="4474" priority="4623" stopIfTrue="1">
      <formula>$A134="Chkvlv"</formula>
    </cfRule>
    <cfRule type="expression" dxfId="4473" priority="4677" stopIfTrue="1">
      <formula>$A134="Snglvol"</formula>
    </cfRule>
  </conditionalFormatting>
  <conditionalFormatting sqref="A134:A139">
    <cfRule type="expression" dxfId="4472" priority="4624" stopIfTrue="1">
      <formula>$A134="Inrvlv"</formula>
    </cfRule>
  </conditionalFormatting>
  <conditionalFormatting sqref="B134:B139">
    <cfRule type="expression" dxfId="4471" priority="4625" stopIfTrue="1">
      <formula>$A134="Inrvlv"</formula>
    </cfRule>
  </conditionalFormatting>
  <conditionalFormatting sqref="C134:C140">
    <cfRule type="expression" dxfId="4470" priority="4626" stopIfTrue="1">
      <formula>$A134="Inrvlv"</formula>
    </cfRule>
    <cfRule type="expression" dxfId="4469" priority="4684" stopIfTrue="1">
      <formula>$A134="Init"</formula>
    </cfRule>
    <cfRule type="expression" dxfId="4468" priority="4690" stopIfTrue="1">
      <formula>$A134="Timestep"</formula>
    </cfRule>
    <cfRule type="expression" dxfId="4467" priority="4710" stopIfTrue="1">
      <formula>$A134="Triplog"</formula>
    </cfRule>
  </conditionalFormatting>
  <conditionalFormatting sqref="F140:G140 L134:L140 Q134:R140 D134:D140">
    <cfRule type="expression" dxfId="4466" priority="4627" stopIfTrue="1">
      <formula>$A134="Inrvlv"</formula>
    </cfRule>
  </conditionalFormatting>
  <conditionalFormatting sqref="E134:E139">
    <cfRule type="expression" dxfId="4465" priority="4628" stopIfTrue="1">
      <formula>$A134="Inrvlv"</formula>
    </cfRule>
  </conditionalFormatting>
  <conditionalFormatting sqref="F134:F139">
    <cfRule type="expression" dxfId="4464" priority="4629" stopIfTrue="1">
      <formula>$A134="Inrvlv"</formula>
    </cfRule>
  </conditionalFormatting>
  <conditionalFormatting sqref="G134:G139">
    <cfRule type="expression" dxfId="4463" priority="4630" stopIfTrue="1">
      <formula>$A134="Inrvlv"</formula>
    </cfRule>
  </conditionalFormatting>
  <conditionalFormatting sqref="H134:H139">
    <cfRule type="expression" dxfId="4462" priority="4631" stopIfTrue="1">
      <formula>$A134="Inrvlv"</formula>
    </cfRule>
  </conditionalFormatting>
  <conditionalFormatting sqref="I134:I139">
    <cfRule type="expression" dxfId="4461" priority="4632" stopIfTrue="1">
      <formula>$A134="Inrvlv"</formula>
    </cfRule>
  </conditionalFormatting>
  <conditionalFormatting sqref="S134:S140">
    <cfRule type="expression" dxfId="4460" priority="4633" stopIfTrue="1">
      <formula>$A134="Inrvlv"</formula>
    </cfRule>
    <cfRule type="expression" dxfId="4459" priority="4644" stopIfTrue="1">
      <formula>$A134="Tmdpjun"</formula>
    </cfRule>
    <cfRule type="expression" dxfId="4458" priority="4655" stopIfTrue="1">
      <formula>$A134="Pump"</formula>
    </cfRule>
    <cfRule type="expression" dxfId="4457" priority="4666" stopIfTrue="1">
      <formula>$A134="Tmdpvol"</formula>
    </cfRule>
    <cfRule type="expression" dxfId="4456" priority="4679" stopIfTrue="1">
      <formula>$A134="Snglvol"</formula>
    </cfRule>
  </conditionalFormatting>
  <conditionalFormatting sqref="B134:B139">
    <cfRule type="expression" dxfId="4455" priority="4635" stopIfTrue="1">
      <formula>$A134="Tmdpjun"</formula>
    </cfRule>
  </conditionalFormatting>
  <conditionalFormatting sqref="C140:D140 F140:G140 L134:L140 Q134:Q140 C134:C139">
    <cfRule type="expression" dxfId="4454" priority="4636" stopIfTrue="1">
      <formula>$A134="Tmdpjun"</formula>
    </cfRule>
  </conditionalFormatting>
  <conditionalFormatting sqref="D134:D139">
    <cfRule type="expression" dxfId="4453" priority="4637" stopIfTrue="1">
      <formula>$A134="Tmdpjun"</formula>
    </cfRule>
  </conditionalFormatting>
  <conditionalFormatting sqref="E134:E139">
    <cfRule type="expression" dxfId="4452" priority="4638" stopIfTrue="1">
      <formula>$A134="Tmdpjun"</formula>
    </cfRule>
  </conditionalFormatting>
  <conditionalFormatting sqref="F134:F139">
    <cfRule type="expression" dxfId="4451" priority="4639" stopIfTrue="1">
      <formula>$A134="Tmdpjun"</formula>
    </cfRule>
  </conditionalFormatting>
  <conditionalFormatting sqref="G134:G139">
    <cfRule type="expression" dxfId="4450" priority="4640" stopIfTrue="1">
      <formula>$A134="Tmdpjun"</formula>
    </cfRule>
  </conditionalFormatting>
  <conditionalFormatting sqref="H134:H139">
    <cfRule type="expression" dxfId="4449" priority="4641" stopIfTrue="1">
      <formula>$A134="Tmdpjun"</formula>
    </cfRule>
  </conditionalFormatting>
  <conditionalFormatting sqref="I134:I139">
    <cfRule type="expression" dxfId="4448" priority="4642" stopIfTrue="1">
      <formula>$A134="Tmdpjun"</formula>
    </cfRule>
  </conditionalFormatting>
  <conditionalFormatting sqref="A134:A139">
    <cfRule type="expression" dxfId="4447" priority="4645" stopIfTrue="1">
      <formula>$A134="Pump"</formula>
    </cfRule>
  </conditionalFormatting>
  <conditionalFormatting sqref="B134:B139">
    <cfRule type="expression" dxfId="4446" priority="4646" stopIfTrue="1">
      <formula>$A134="Pump"</formula>
    </cfRule>
  </conditionalFormatting>
  <conditionalFormatting sqref="C134:C139">
    <cfRule type="expression" dxfId="4445" priority="4647" stopIfTrue="1">
      <formula>$A134="Pump"</formula>
    </cfRule>
  </conditionalFormatting>
  <conditionalFormatting sqref="L134:L140 Q134:Q140 D134:D140">
    <cfRule type="expression" dxfId="4444" priority="4648" stopIfTrue="1">
      <formula>$A134="Pump"</formula>
    </cfRule>
  </conditionalFormatting>
  <conditionalFormatting sqref="E134:E139">
    <cfRule type="expression" dxfId="4443" priority="4649" stopIfTrue="1">
      <formula>$A134="Pump"</formula>
    </cfRule>
  </conditionalFormatting>
  <conditionalFormatting sqref="F134:F139">
    <cfRule type="expression" dxfId="4442" priority="4650" stopIfTrue="1">
      <formula>$A134="Pump"</formula>
    </cfRule>
  </conditionalFormatting>
  <conditionalFormatting sqref="G134:G139">
    <cfRule type="expression" dxfId="4441" priority="4651" stopIfTrue="1">
      <formula>$A134="Pump"</formula>
    </cfRule>
  </conditionalFormatting>
  <conditionalFormatting sqref="H134:H139">
    <cfRule type="expression" dxfId="4440" priority="4652" stopIfTrue="1">
      <formula>$A134="Pump"</formula>
    </cfRule>
  </conditionalFormatting>
  <conditionalFormatting sqref="I134:I139">
    <cfRule type="expression" dxfId="4439" priority="4653" stopIfTrue="1">
      <formula>$A134="Pump"</formula>
    </cfRule>
  </conditionalFormatting>
  <conditionalFormatting sqref="A134:A139">
    <cfRule type="expression" dxfId="4438" priority="4656" stopIfTrue="1">
      <formula>$A134="Tmdpvol"</formula>
    </cfRule>
  </conditionalFormatting>
  <conditionalFormatting sqref="B134:B139">
    <cfRule type="expression" dxfId="4437" priority="4657" stopIfTrue="1">
      <formula>$A134="Tmdpvol"</formula>
    </cfRule>
  </conditionalFormatting>
  <conditionalFormatting sqref="C134:C139">
    <cfRule type="expression" dxfId="4436" priority="4658" stopIfTrue="1">
      <formula>$A134="Tmdpvol"</formula>
    </cfRule>
  </conditionalFormatting>
  <conditionalFormatting sqref="H140:I140 T134:T138 L134:P140 D134:D140 T140">
    <cfRule type="expression" dxfId="4435" priority="4659" stopIfTrue="1">
      <formula>$A134="Tmdpvol"</formula>
    </cfRule>
  </conditionalFormatting>
  <conditionalFormatting sqref="E134:E139">
    <cfRule type="expression" dxfId="4434" priority="4660" stopIfTrue="1">
      <formula>$A134="Tmdpvol"</formula>
    </cfRule>
  </conditionalFormatting>
  <conditionalFormatting sqref="F134:F139">
    <cfRule type="expression" dxfId="4433" priority="4661" stopIfTrue="1">
      <formula>$A134="Tmdpvol"</formula>
    </cfRule>
  </conditionalFormatting>
  <conditionalFormatting sqref="G134:G139">
    <cfRule type="expression" dxfId="4432" priority="4662" stopIfTrue="1">
      <formula>$A134="Tmdpvol"</formula>
    </cfRule>
  </conditionalFormatting>
  <conditionalFormatting sqref="H134:H139">
    <cfRule type="expression" dxfId="4431" priority="4663" stopIfTrue="1">
      <formula>$A134="Tmdpvol"</formula>
    </cfRule>
  </conditionalFormatting>
  <conditionalFormatting sqref="I134:I139">
    <cfRule type="expression" dxfId="4430" priority="4664" stopIfTrue="1">
      <formula>$A134="Tmdpvol"</formula>
    </cfRule>
  </conditionalFormatting>
  <conditionalFormatting sqref="A134:A139">
    <cfRule type="expression" dxfId="4429" priority="4667" stopIfTrue="1">
      <formula>$A134="Snglvol"</formula>
    </cfRule>
  </conditionalFormatting>
  <conditionalFormatting sqref="B134:B140">
    <cfRule type="expression" dxfId="4428" priority="4668" stopIfTrue="1">
      <formula>$A134="Snglvol"</formula>
    </cfRule>
    <cfRule type="expression" dxfId="4427" priority="4683" stopIfTrue="1">
      <formula>$A134="Init"</formula>
    </cfRule>
    <cfRule type="expression" dxfId="4426" priority="4689" stopIfTrue="1">
      <formula>$A134="Timestep"</formula>
    </cfRule>
    <cfRule type="expression" dxfId="4425" priority="4696" stopIfTrue="1">
      <formula>$A134="Triggerwords"</formula>
    </cfRule>
    <cfRule type="expression" dxfId="4424" priority="4700" stopIfTrue="1">
      <formula>$A134="Tripvar"</formula>
    </cfRule>
  </conditionalFormatting>
  <conditionalFormatting sqref="H140:I140 L134:L140 N134:Q140 T134:T138 D134:D140 T140">
    <cfRule type="expression" dxfId="4423" priority="4670" stopIfTrue="1">
      <formula>$A134="Snglvol"</formula>
    </cfRule>
  </conditionalFormatting>
  <conditionalFormatting sqref="E134:E139">
    <cfRule type="expression" dxfId="4422" priority="4671" stopIfTrue="1">
      <formula>$A134="Snglvol"</formula>
    </cfRule>
  </conditionalFormatting>
  <conditionalFormatting sqref="F134:F139">
    <cfRule type="expression" dxfId="4421" priority="4672" stopIfTrue="1">
      <formula>$A134="Snglvol"</formula>
    </cfRule>
  </conditionalFormatting>
  <conditionalFormatting sqref="G134:G139">
    <cfRule type="expression" dxfId="4420" priority="4673" stopIfTrue="1">
      <formula>$A134="Snglvol"</formula>
    </cfRule>
  </conditionalFormatting>
  <conditionalFormatting sqref="H134:H139">
    <cfRule type="expression" dxfId="4419" priority="4674" stopIfTrue="1">
      <formula>$A134="Snglvol"</formula>
    </cfRule>
  </conditionalFormatting>
  <conditionalFormatting sqref="I134:I139">
    <cfRule type="expression" dxfId="4418" priority="4675" stopIfTrue="1">
      <formula>$A134="Snglvol"</formula>
    </cfRule>
  </conditionalFormatting>
  <conditionalFormatting sqref="A134:A140">
    <cfRule type="expression" dxfId="4417" priority="4680" stopIfTrue="1">
      <formula>$A134="Relapnr"</formula>
    </cfRule>
  </conditionalFormatting>
  <conditionalFormatting sqref="A134:A140">
    <cfRule type="expression" dxfId="4416" priority="4682" stopIfTrue="1">
      <formula>$A134="Init"</formula>
    </cfRule>
  </conditionalFormatting>
  <conditionalFormatting sqref="A134:A140">
    <cfRule type="expression" dxfId="4415" priority="4685" stopIfTrue="1">
      <formula>$A134="InitGas"</formula>
    </cfRule>
  </conditionalFormatting>
  <conditionalFormatting sqref="D140 A134:A140">
    <cfRule type="expression" dxfId="4414" priority="4688" stopIfTrue="1">
      <formula>$A134="Timestep"</formula>
    </cfRule>
  </conditionalFormatting>
  <conditionalFormatting sqref="D134:D139">
    <cfRule type="expression" dxfId="4413" priority="4691" stopIfTrue="1">
      <formula>$A134="Timestep"</formula>
    </cfRule>
  </conditionalFormatting>
  <conditionalFormatting sqref="E134:E139">
    <cfRule type="expression" dxfId="4412" priority="4692" stopIfTrue="1">
      <formula>$A134="Timestep"</formula>
    </cfRule>
  </conditionalFormatting>
  <conditionalFormatting sqref="A134:A140">
    <cfRule type="expression" dxfId="4411" priority="4693" stopIfTrue="1">
      <formula>$A134="Replacements"</formula>
    </cfRule>
  </conditionalFormatting>
  <conditionalFormatting sqref="A134:A140">
    <cfRule type="expression" dxfId="4410" priority="4695" stopIfTrue="1">
      <formula>$A134="Triggerwords"</formula>
    </cfRule>
  </conditionalFormatting>
  <conditionalFormatting sqref="A134:A140">
    <cfRule type="expression" dxfId="4409" priority="4697" stopIfTrue="1">
      <formula>$A134="Custom"</formula>
    </cfRule>
  </conditionalFormatting>
  <conditionalFormatting sqref="D140 F140:I140 A134:A140">
    <cfRule type="expression" dxfId="4408" priority="4699" stopIfTrue="1">
      <formula>$A134="Tripvar"</formula>
    </cfRule>
  </conditionalFormatting>
  <conditionalFormatting sqref="D134:D139">
    <cfRule type="expression" dxfId="4407" priority="4702" stopIfTrue="1">
      <formula>$A134="Tripvar"</formula>
    </cfRule>
  </conditionalFormatting>
  <conditionalFormatting sqref="E134:E139">
    <cfRule type="expression" dxfId="4406" priority="4703" stopIfTrue="1">
      <formula>$A134="Tripvar"</formula>
    </cfRule>
  </conditionalFormatting>
  <conditionalFormatting sqref="F134:F139">
    <cfRule type="expression" dxfId="4405" priority="4704" stopIfTrue="1">
      <formula>$A134="Tripvar"</formula>
    </cfRule>
  </conditionalFormatting>
  <conditionalFormatting sqref="G134:G139">
    <cfRule type="expression" dxfId="4404" priority="4705" stopIfTrue="1">
      <formula>$A134="Tripvar"</formula>
    </cfRule>
  </conditionalFormatting>
  <conditionalFormatting sqref="H134:H139">
    <cfRule type="expression" dxfId="4403" priority="4706" stopIfTrue="1">
      <formula>$A134="Tripvar"</formula>
    </cfRule>
  </conditionalFormatting>
  <conditionalFormatting sqref="I134:I139">
    <cfRule type="expression" dxfId="4402" priority="4707" stopIfTrue="1">
      <formula>$A134="Tripvar"</formula>
    </cfRule>
  </conditionalFormatting>
  <conditionalFormatting sqref="F140 A134:A140">
    <cfRule type="expression" dxfId="4401" priority="4708" stopIfTrue="1">
      <formula>$A134="Triplog"</formula>
    </cfRule>
  </conditionalFormatting>
  <conditionalFormatting sqref="E134:E139">
    <cfRule type="expression" dxfId="4400" priority="4712" stopIfTrue="1">
      <formula>$A134="Triplog"</formula>
    </cfRule>
  </conditionalFormatting>
  <conditionalFormatting sqref="F134:F139">
    <cfRule type="expression" dxfId="4399" priority="4713" stopIfTrue="1">
      <formula>$A134="Triplog"</formula>
    </cfRule>
  </conditionalFormatting>
  <conditionalFormatting sqref="E140">
    <cfRule type="expression" dxfId="4398" priority="4541" stopIfTrue="1">
      <formula>$A140="Pipe"</formula>
    </cfRule>
  </conditionalFormatting>
  <conditionalFormatting sqref="E140">
    <cfRule type="expression" dxfId="4397" priority="4542" stopIfTrue="1">
      <formula>$A140="Junction"</formula>
    </cfRule>
  </conditionalFormatting>
  <conditionalFormatting sqref="E140">
    <cfRule type="expression" dxfId="4396" priority="4543" stopIfTrue="1">
      <formula>$A140="Sngljun"</formula>
    </cfRule>
  </conditionalFormatting>
  <conditionalFormatting sqref="E140">
    <cfRule type="expression" dxfId="4395" priority="4544" stopIfTrue="1">
      <formula>$A140="Mtrvlv"</formula>
    </cfRule>
  </conditionalFormatting>
  <conditionalFormatting sqref="E140">
    <cfRule type="expression" dxfId="4394" priority="4545" stopIfTrue="1">
      <formula>$A140="Srvvlv"</formula>
    </cfRule>
  </conditionalFormatting>
  <conditionalFormatting sqref="E140">
    <cfRule type="expression" dxfId="4393" priority="4546" stopIfTrue="1">
      <formula>$A140="Chkvlv"</formula>
    </cfRule>
  </conditionalFormatting>
  <conditionalFormatting sqref="E140">
    <cfRule type="expression" dxfId="4392" priority="4547" stopIfTrue="1">
      <formula>$A140="Inrvlv"</formula>
    </cfRule>
  </conditionalFormatting>
  <conditionalFormatting sqref="E140">
    <cfRule type="expression" dxfId="4391" priority="4548" stopIfTrue="1">
      <formula>$A140="Tmdpjun"</formula>
    </cfRule>
  </conditionalFormatting>
  <conditionalFormatting sqref="E140">
    <cfRule type="expression" dxfId="4390" priority="4549" stopIfTrue="1">
      <formula>$A140="Pump"</formula>
    </cfRule>
  </conditionalFormatting>
  <conditionalFormatting sqref="E140">
    <cfRule type="expression" dxfId="4389" priority="4550" stopIfTrue="1">
      <formula>$A140="Tmdpvol"</formula>
    </cfRule>
  </conditionalFormatting>
  <conditionalFormatting sqref="E140">
    <cfRule type="expression" dxfId="4388" priority="4551" stopIfTrue="1">
      <formula>$A140="Snglvol"</formula>
    </cfRule>
  </conditionalFormatting>
  <conditionalFormatting sqref="E140">
    <cfRule type="expression" dxfId="4387" priority="4552" stopIfTrue="1">
      <formula>$A140="Timestep"</formula>
    </cfRule>
  </conditionalFormatting>
  <conditionalFormatting sqref="E140">
    <cfRule type="expression" dxfId="4386" priority="4553" stopIfTrue="1">
      <formula>$A140="Tripvar"</formula>
    </cfRule>
  </conditionalFormatting>
  <conditionalFormatting sqref="E140">
    <cfRule type="expression" dxfId="4385" priority="4554" stopIfTrue="1">
      <formula>$A140="Triplog"</formula>
    </cfRule>
  </conditionalFormatting>
  <conditionalFormatting sqref="U141:V141 Q141 A141:D141 F141:L141">
    <cfRule type="expression" dxfId="4384" priority="4473" stopIfTrue="1">
      <formula>$A141="Pipe"</formula>
    </cfRule>
  </conditionalFormatting>
  <conditionalFormatting sqref="M141:P141 U141:V141 A141:B141 H141:K141">
    <cfRule type="expression" dxfId="4383" priority="4474" stopIfTrue="1">
      <formula>$A141="Junction"</formula>
    </cfRule>
  </conditionalFormatting>
  <conditionalFormatting sqref="M141:P141 T141:V141 A141:B141 H141:K141">
    <cfRule type="expression" dxfId="4382" priority="4475" stopIfTrue="1">
      <formula>$A141="Mtrvlv"</formula>
    </cfRule>
  </conditionalFormatting>
  <conditionalFormatting sqref="M141:P141 T141:V141 B141 H141:K141">
    <cfRule type="expression" dxfId="4381" priority="4476" stopIfTrue="1">
      <formula>$A141="Srvvlv"</formula>
    </cfRule>
  </conditionalFormatting>
  <conditionalFormatting sqref="V141 T141 N141:P141 A141 H141:J141">
    <cfRule type="expression" dxfId="4380" priority="4477" stopIfTrue="1">
      <formula>$A141="Chkvlv"</formula>
    </cfRule>
  </conditionalFormatting>
  <conditionalFormatting sqref="M141:P141 T141:V141 A141:B141 H141:K141">
    <cfRule type="expression" dxfId="4379" priority="4478" stopIfTrue="1">
      <formula>$A141="Inrvlv"</formula>
    </cfRule>
  </conditionalFormatting>
  <conditionalFormatting sqref="M141:P141 T141:V141 B141 H141:K141">
    <cfRule type="expression" dxfId="4378" priority="4479" stopIfTrue="1">
      <formula>$A141="Tmdpjun"</formula>
    </cfRule>
  </conditionalFormatting>
  <conditionalFormatting sqref="M141:P141 T141:V141 A141:C141 F141:K141">
    <cfRule type="expression" dxfId="4377" priority="4480" stopIfTrue="1">
      <formula>$A141="Pump"</formula>
    </cfRule>
  </conditionalFormatting>
  <conditionalFormatting sqref="U141:V141 Q141 J141:K141 F141:G141 A141:C141">
    <cfRule type="expression" dxfId="4376" priority="4481" stopIfTrue="1">
      <formula>$A141="Tmdpvol"</formula>
    </cfRule>
  </conditionalFormatting>
  <conditionalFormatting sqref="V141 J141 F141:G141 A141">
    <cfRule type="expression" dxfId="4375" priority="4482" stopIfTrue="1">
      <formula>$A141="Snglvol"</formula>
    </cfRule>
  </conditionalFormatting>
  <conditionalFormatting sqref="M141:P141 U141:V141 A141:B141 H141:K141">
    <cfRule type="expression" dxfId="4374" priority="4483" stopIfTrue="1">
      <formula>$A141="Sngljun"</formula>
    </cfRule>
  </conditionalFormatting>
  <conditionalFormatting sqref="M141:P141 R141:T141">
    <cfRule type="expression" dxfId="4373" priority="4484" stopIfTrue="1">
      <formula>$A141="Pipe"</formula>
    </cfRule>
  </conditionalFormatting>
  <conditionalFormatting sqref="C141">
    <cfRule type="expression" dxfId="4372" priority="4485" stopIfTrue="1">
      <formula>$A141="Junction"</formula>
    </cfRule>
    <cfRule type="expression" dxfId="4371" priority="4511" stopIfTrue="1">
      <formula>$A141="Snglvol"</formula>
    </cfRule>
    <cfRule type="expression" dxfId="4370" priority="4524" stopIfTrue="1">
      <formula>$A141="InitGas"</formula>
    </cfRule>
    <cfRule type="expression" dxfId="4369" priority="4536" stopIfTrue="1">
      <formula>$A141="Tripvar"</formula>
    </cfRule>
  </conditionalFormatting>
  <conditionalFormatting sqref="Q141:T141 L141 F141:G141 D141">
    <cfRule type="expression" dxfId="4368" priority="4486" stopIfTrue="1">
      <formula>$A141="Junction"</formula>
    </cfRule>
  </conditionalFormatting>
  <conditionalFormatting sqref="Q141:T141 L141 F141:G141 C141:D141">
    <cfRule type="expression" dxfId="4367" priority="4487" stopIfTrue="1">
      <formula>$A141="Sngljun"</formula>
    </cfRule>
  </conditionalFormatting>
  <conditionalFormatting sqref="Q141:S141 L141 F141:G141 C141:D141">
    <cfRule type="expression" dxfId="4366" priority="4488" stopIfTrue="1">
      <formula>$A141="Mtrvlv"</formula>
    </cfRule>
  </conditionalFormatting>
  <conditionalFormatting sqref="A141">
    <cfRule type="expression" dxfId="4365" priority="4489" stopIfTrue="1">
      <formula>$A141="Srvvlv"</formula>
    </cfRule>
    <cfRule type="expression" dxfId="4364" priority="4500" stopIfTrue="1">
      <formula>$A141="Tmdpjun"</formula>
    </cfRule>
  </conditionalFormatting>
  <conditionalFormatting sqref="S141 Q141 L141 F141:G141 C141:D141">
    <cfRule type="expression" dxfId="4363" priority="4490" stopIfTrue="1">
      <formula>$A141="Srvvlv"</formula>
    </cfRule>
  </conditionalFormatting>
  <conditionalFormatting sqref="R141">
    <cfRule type="expression" dxfId="4362" priority="4491" stopIfTrue="1">
      <formula>$A141="Srvvlv"</formula>
    </cfRule>
    <cfRule type="expression" dxfId="4361" priority="4502" stopIfTrue="1">
      <formula>$A141="Tmdpjun"</formula>
    </cfRule>
    <cfRule type="expression" dxfId="4360" priority="4505" stopIfTrue="1">
      <formula>$A141="Pump"</formula>
    </cfRule>
    <cfRule type="expression" dxfId="4359" priority="4508" stopIfTrue="1">
      <formula>$A141="Tmdpvol"</formula>
    </cfRule>
    <cfRule type="expression" dxfId="4358" priority="4515" stopIfTrue="1">
      <formula>$A141="Snglvol"</formula>
    </cfRule>
  </conditionalFormatting>
  <conditionalFormatting sqref="B141">
    <cfRule type="expression" dxfId="4357" priority="4492" stopIfTrue="1">
      <formula>$A141="Chkvlv"</formula>
    </cfRule>
    <cfRule type="expression" dxfId="4356" priority="4518" stopIfTrue="1">
      <formula>$A141="Relapnr"</formula>
    </cfRule>
    <cfRule type="expression" dxfId="4355" priority="4523" stopIfTrue="1">
      <formula>$A141="InitGas"</formula>
    </cfRule>
    <cfRule type="expression" dxfId="4354" priority="4529" stopIfTrue="1">
      <formula>$A141="Replacements"</formula>
    </cfRule>
    <cfRule type="expression" dxfId="4353" priority="4533" stopIfTrue="1">
      <formula>$A141="Custom"</formula>
    </cfRule>
    <cfRule type="expression" dxfId="4352" priority="4538" stopIfTrue="1">
      <formula>$A141="Triplog"</formula>
    </cfRule>
  </conditionalFormatting>
  <conditionalFormatting sqref="C141 Q141:S141 L141 F141:G141">
    <cfRule type="expression" dxfId="4351" priority="4493" stopIfTrue="1">
      <formula>$A141="Chkvlv"</formula>
    </cfRule>
  </conditionalFormatting>
  <conditionalFormatting sqref="D141">
    <cfRule type="expression" dxfId="4350" priority="4494" stopIfTrue="1">
      <formula>$A141="Chkvlv"</formula>
    </cfRule>
    <cfRule type="expression" dxfId="4349" priority="4540" stopIfTrue="1">
      <formula>$A141="Triplog"</formula>
    </cfRule>
  </conditionalFormatting>
  <conditionalFormatting sqref="U141 K141">
    <cfRule type="expression" dxfId="4348" priority="4495" stopIfTrue="1">
      <formula>$A141="Chkvlv"</formula>
    </cfRule>
    <cfRule type="expression" dxfId="4347" priority="4513" stopIfTrue="1">
      <formula>$A141="Snglvol"</formula>
    </cfRule>
  </conditionalFormatting>
  <conditionalFormatting sqref="M141">
    <cfRule type="expression" dxfId="4346" priority="4496" stopIfTrue="1">
      <formula>$A141="Chkvlv"</formula>
    </cfRule>
    <cfRule type="expression" dxfId="4345" priority="4514" stopIfTrue="1">
      <formula>$A141="Snglvol"</formula>
    </cfRule>
  </conditionalFormatting>
  <conditionalFormatting sqref="C141">
    <cfRule type="expression" dxfId="4344" priority="4497" stopIfTrue="1">
      <formula>$A141="Inrvlv"</formula>
    </cfRule>
    <cfRule type="expression" dxfId="4343" priority="4521" stopIfTrue="1">
      <formula>$A141="Init"</formula>
    </cfRule>
    <cfRule type="expression" dxfId="4342" priority="4527" stopIfTrue="1">
      <formula>$A141="Timestep"</formula>
    </cfRule>
    <cfRule type="expression" dxfId="4341" priority="4539" stopIfTrue="1">
      <formula>$A141="Triplog"</formula>
    </cfRule>
  </conditionalFormatting>
  <conditionalFormatting sqref="Q141:R141 L141 F141:G141 D141">
    <cfRule type="expression" dxfId="4340" priority="4498" stopIfTrue="1">
      <formula>$A141="Inrvlv"</formula>
    </cfRule>
  </conditionalFormatting>
  <conditionalFormatting sqref="S141">
    <cfRule type="expression" dxfId="4339" priority="4499" stopIfTrue="1">
      <formula>$A141="Inrvlv"</formula>
    </cfRule>
    <cfRule type="expression" dxfId="4338" priority="4503" stopIfTrue="1">
      <formula>$A141="Tmdpjun"</formula>
    </cfRule>
    <cfRule type="expression" dxfId="4337" priority="4506" stopIfTrue="1">
      <formula>$A141="Pump"</formula>
    </cfRule>
    <cfRule type="expression" dxfId="4336" priority="4509" stopIfTrue="1">
      <formula>$A141="Tmdpvol"</formula>
    </cfRule>
    <cfRule type="expression" dxfId="4335" priority="4516" stopIfTrue="1">
      <formula>$A141="Snglvol"</formula>
    </cfRule>
  </conditionalFormatting>
  <conditionalFormatting sqref="Q141 L141 F141:G141 C141:D141">
    <cfRule type="expression" dxfId="4334" priority="4501" stopIfTrue="1">
      <formula>$A141="Tmdpjun"</formula>
    </cfRule>
  </conditionalFormatting>
  <conditionalFormatting sqref="Q141 L141 D141">
    <cfRule type="expression" dxfId="4333" priority="4504" stopIfTrue="1">
      <formula>$A141="Pump"</formula>
    </cfRule>
  </conditionalFormatting>
  <conditionalFormatting sqref="L141:P141 T141 H141:I141 D141">
    <cfRule type="expression" dxfId="4332" priority="4507" stopIfTrue="1">
      <formula>$A141="Tmdpvol"</formula>
    </cfRule>
  </conditionalFormatting>
  <conditionalFormatting sqref="B141">
    <cfRule type="expression" dxfId="4331" priority="4510" stopIfTrue="1">
      <formula>$A141="Snglvol"</formula>
    </cfRule>
    <cfRule type="expression" dxfId="4330" priority="4520" stopIfTrue="1">
      <formula>$A141="Init"</formula>
    </cfRule>
    <cfRule type="expression" dxfId="4329" priority="4526" stopIfTrue="1">
      <formula>$A141="Timestep"</formula>
    </cfRule>
    <cfRule type="expression" dxfId="4328" priority="4531" stopIfTrue="1">
      <formula>$A141="Triggerwords"</formula>
    </cfRule>
    <cfRule type="expression" dxfId="4327" priority="4535" stopIfTrue="1">
      <formula>$A141="Tripvar"</formula>
    </cfRule>
  </conditionalFormatting>
  <conditionalFormatting sqref="T141 N141:Q141 L141 H141:I141 D141">
    <cfRule type="expression" dxfId="4326" priority="4512" stopIfTrue="1">
      <formula>$A141="Snglvol"</formula>
    </cfRule>
  </conditionalFormatting>
  <conditionalFormatting sqref="A141">
    <cfRule type="expression" dxfId="4325" priority="4517" stopIfTrue="1">
      <formula>$A141="Relapnr"</formula>
    </cfRule>
  </conditionalFormatting>
  <conditionalFormatting sqref="A141">
    <cfRule type="expression" dxfId="4324" priority="4519" stopIfTrue="1">
      <formula>$A141="Init"</formula>
    </cfRule>
  </conditionalFormatting>
  <conditionalFormatting sqref="A141">
    <cfRule type="expression" dxfId="4323" priority="4522" stopIfTrue="1">
      <formula>$A141="InitGas"</formula>
    </cfRule>
  </conditionalFormatting>
  <conditionalFormatting sqref="A141 D141">
    <cfRule type="expression" dxfId="4322" priority="4525" stopIfTrue="1">
      <formula>$A141="Timestep"</formula>
    </cfRule>
  </conditionalFormatting>
  <conditionalFormatting sqref="A141">
    <cfRule type="expression" dxfId="4321" priority="4528" stopIfTrue="1">
      <formula>$A141="Replacements"</formula>
    </cfRule>
  </conditionalFormatting>
  <conditionalFormatting sqref="A141">
    <cfRule type="expression" dxfId="4320" priority="4530" stopIfTrue="1">
      <formula>$A141="Triggerwords"</formula>
    </cfRule>
  </conditionalFormatting>
  <conditionalFormatting sqref="A141">
    <cfRule type="expression" dxfId="4319" priority="4532" stopIfTrue="1">
      <formula>$A141="Custom"</formula>
    </cfRule>
  </conditionalFormatting>
  <conditionalFormatting sqref="A141 F141:I141 D141">
    <cfRule type="expression" dxfId="4318" priority="4534" stopIfTrue="1">
      <formula>$A141="Tripvar"</formula>
    </cfRule>
  </conditionalFormatting>
  <conditionalFormatting sqref="A141 F141">
    <cfRule type="expression" dxfId="4317" priority="4537" stopIfTrue="1">
      <formula>$A141="Triplog"</formula>
    </cfRule>
  </conditionalFormatting>
  <conditionalFormatting sqref="E141">
    <cfRule type="expression" dxfId="4316" priority="4459" stopIfTrue="1">
      <formula>$A141="Pipe"</formula>
    </cfRule>
  </conditionalFormatting>
  <conditionalFormatting sqref="E141">
    <cfRule type="expression" dxfId="4315" priority="4460" stopIfTrue="1">
      <formula>$A141="Junction"</formula>
    </cfRule>
  </conditionalFormatting>
  <conditionalFormatting sqref="E141">
    <cfRule type="expression" dxfId="4314" priority="4461" stopIfTrue="1">
      <formula>$A141="Sngljun"</formula>
    </cfRule>
  </conditionalFormatting>
  <conditionalFormatting sqref="E141">
    <cfRule type="expression" dxfId="4313" priority="4462" stopIfTrue="1">
      <formula>$A141="Mtrvlv"</formula>
    </cfRule>
  </conditionalFormatting>
  <conditionalFormatting sqref="E141">
    <cfRule type="expression" dxfId="4312" priority="4463" stopIfTrue="1">
      <formula>$A141="Srvvlv"</formula>
    </cfRule>
  </conditionalFormatting>
  <conditionalFormatting sqref="E141">
    <cfRule type="expression" dxfId="4311" priority="4464" stopIfTrue="1">
      <formula>$A141="Chkvlv"</formula>
    </cfRule>
  </conditionalFormatting>
  <conditionalFormatting sqref="E141">
    <cfRule type="expression" dxfId="4310" priority="4465" stopIfTrue="1">
      <formula>$A141="Inrvlv"</formula>
    </cfRule>
  </conditionalFormatting>
  <conditionalFormatting sqref="E141">
    <cfRule type="expression" dxfId="4309" priority="4466" stopIfTrue="1">
      <formula>$A141="Tmdpjun"</formula>
    </cfRule>
  </conditionalFormatting>
  <conditionalFormatting sqref="E141">
    <cfRule type="expression" dxfId="4308" priority="4467" stopIfTrue="1">
      <formula>$A141="Pump"</formula>
    </cfRule>
  </conditionalFormatting>
  <conditionalFormatting sqref="E141">
    <cfRule type="expression" dxfId="4307" priority="4468" stopIfTrue="1">
      <formula>$A141="Tmdpvol"</formula>
    </cfRule>
  </conditionalFormatting>
  <conditionalFormatting sqref="E141">
    <cfRule type="expression" dxfId="4306" priority="4469" stopIfTrue="1">
      <formula>$A141="Snglvol"</formula>
    </cfRule>
  </conditionalFormatting>
  <conditionalFormatting sqref="E141">
    <cfRule type="expression" dxfId="4305" priority="4470" stopIfTrue="1">
      <formula>$A141="Timestep"</formula>
    </cfRule>
  </conditionalFormatting>
  <conditionalFormatting sqref="E141">
    <cfRule type="expression" dxfId="4304" priority="4471" stopIfTrue="1">
      <formula>$A141="Tripvar"</formula>
    </cfRule>
  </conditionalFormatting>
  <conditionalFormatting sqref="E141">
    <cfRule type="expression" dxfId="4303" priority="4472" stopIfTrue="1">
      <formula>$A141="Triplog"</formula>
    </cfRule>
  </conditionalFormatting>
  <conditionalFormatting sqref="U143:V146 Q143:Q146 A143:D146 F152:L153 F143:J146 L143:L146 A152:D153 Q152:Q153 U152:V153">
    <cfRule type="expression" dxfId="4302" priority="4391" stopIfTrue="1">
      <formula>$A143="Pipe"</formula>
    </cfRule>
  </conditionalFormatting>
  <conditionalFormatting sqref="M143:P146 U143:V146 A143:B146 H152:K153 H143:J146 A152:B153 U152:V153 M152:P153">
    <cfRule type="expression" dxfId="4301" priority="4392" stopIfTrue="1">
      <formula>$A143="Junction"</formula>
    </cfRule>
  </conditionalFormatting>
  <conditionalFormatting sqref="M143:P146 T143:V146 A143:B146 H152:K153 H143:J146 A152:B153 T152:V153 M152:P153">
    <cfRule type="expression" dxfId="4300" priority="4393" stopIfTrue="1">
      <formula>$A143="Mtrvlv"</formula>
    </cfRule>
  </conditionalFormatting>
  <conditionalFormatting sqref="M143:P146 T143:V146 B143:B146 H152:K153 H143:J146 B152:B153 T152:V153 M152:P153">
    <cfRule type="expression" dxfId="4299" priority="4394" stopIfTrue="1">
      <formula>$A143="Srvvlv"</formula>
    </cfRule>
  </conditionalFormatting>
  <conditionalFormatting sqref="V143:V146 T143:T146 N143:P146 A143:A146 H143:J146 H152:J153 A152:A153 N152:P153 T152:T153 V152:V153">
    <cfRule type="expression" dxfId="4298" priority="4395" stopIfTrue="1">
      <formula>$A143="Chkvlv"</formula>
    </cfRule>
  </conditionalFormatting>
  <conditionalFormatting sqref="M143:P146 T143:V146 A143:B146 H152:K153 H143:J146 A152:B153 T152:V153 M152:P153">
    <cfRule type="expression" dxfId="4297" priority="4396" stopIfTrue="1">
      <formula>$A143="Inrvlv"</formula>
    </cfRule>
  </conditionalFormatting>
  <conditionalFormatting sqref="M143:P146 T143:V146 B143:B146 H152:K153 H143:J146 B152:B153 T152:V153 M152:P153">
    <cfRule type="expression" dxfId="4296" priority="4397" stopIfTrue="1">
      <formula>$A143="Tmdpjun"</formula>
    </cfRule>
  </conditionalFormatting>
  <conditionalFormatting sqref="M143:P146 T143:V146 A143:C146 F152:K153 F143:J146 A152:C153 T152:V153 M152:P153">
    <cfRule type="expression" dxfId="4295" priority="4398" stopIfTrue="1">
      <formula>$A143="Pump"</formula>
    </cfRule>
  </conditionalFormatting>
  <conditionalFormatting sqref="U143:V146 Q143:Q146 J152:K153 F143:G146 A143:C146 J143:J146 A152:C153 F152:G153 Q152:Q153 U152:V153">
    <cfRule type="expression" dxfId="4294" priority="4399" stopIfTrue="1">
      <formula>$A143="Tmdpvol"</formula>
    </cfRule>
  </conditionalFormatting>
  <conditionalFormatting sqref="V143:V146 J143:J146 F143:G146 A143:A146 A152:A153 F152:G153 J152:J153 V152:V153">
    <cfRule type="expression" dxfId="4293" priority="4400" stopIfTrue="1">
      <formula>$A143="Snglvol"</formula>
    </cfRule>
  </conditionalFormatting>
  <conditionalFormatting sqref="M143:P146 U143:V146 A143:B146 H152:K153 H143:J146 A152:B153 U152:V153 M152:P153">
    <cfRule type="expression" dxfId="4292" priority="4401" stopIfTrue="1">
      <formula>$A143="Sngljun"</formula>
    </cfRule>
  </conditionalFormatting>
  <conditionalFormatting sqref="M143:P146 R143:T146 R152:T153 M152:P153">
    <cfRule type="expression" dxfId="4291" priority="4402" stopIfTrue="1">
      <formula>$A143="Pipe"</formula>
    </cfRule>
  </conditionalFormatting>
  <conditionalFormatting sqref="C143:C146 C152:C153">
    <cfRule type="expression" dxfId="4290" priority="4403" stopIfTrue="1">
      <formula>$A143="Junction"</formula>
    </cfRule>
    <cfRule type="expression" dxfId="4289" priority="4429" stopIfTrue="1">
      <formula>$A143="Snglvol"</formula>
    </cfRule>
    <cfRule type="expression" dxfId="4288" priority="4442" stopIfTrue="1">
      <formula>$A143="InitGas"</formula>
    </cfRule>
    <cfRule type="expression" dxfId="4287" priority="4454" stopIfTrue="1">
      <formula>$A143="Tripvar"</formula>
    </cfRule>
  </conditionalFormatting>
  <conditionalFormatting sqref="Q143:T146 L143:L146 F143:G146 D143:D146 D152:D153 F152:G153 L152:L153 Q152:T153">
    <cfRule type="expression" dxfId="4286" priority="4404" stopIfTrue="1">
      <formula>$A143="Junction"</formula>
    </cfRule>
  </conditionalFormatting>
  <conditionalFormatting sqref="Q143:T146 L143:L146 F143:G146 C143:D146 C152:D153 F152:G153 L152:L153 Q152:T153">
    <cfRule type="expression" dxfId="4285" priority="4405" stopIfTrue="1">
      <formula>$A143="Sngljun"</formula>
    </cfRule>
  </conditionalFormatting>
  <conditionalFormatting sqref="Q143:S146 L143:L146 F143:G146 C143:D146 C152:D153 F152:G153 L152:L153 Q152:S153">
    <cfRule type="expression" dxfId="4284" priority="4406" stopIfTrue="1">
      <formula>$A143="Mtrvlv"</formula>
    </cfRule>
  </conditionalFormatting>
  <conditionalFormatting sqref="A143:A146 A152:A153">
    <cfRule type="expression" dxfId="4283" priority="4407" stopIfTrue="1">
      <formula>$A143="Srvvlv"</formula>
    </cfRule>
    <cfRule type="expression" dxfId="4282" priority="4418" stopIfTrue="1">
      <formula>$A143="Tmdpjun"</formula>
    </cfRule>
  </conditionalFormatting>
  <conditionalFormatting sqref="S143:S146 Q143:Q146 L143:L146 F143:G146 C143:D146 C152:D153 F152:G153 L152:L153 Q152:Q153 S152:S153">
    <cfRule type="expression" dxfId="4281" priority="4408" stopIfTrue="1">
      <formula>$A143="Srvvlv"</formula>
    </cfRule>
  </conditionalFormatting>
  <conditionalFormatting sqref="R143:R146 R152:R153">
    <cfRule type="expression" dxfId="4280" priority="4409" stopIfTrue="1">
      <formula>$A143="Srvvlv"</formula>
    </cfRule>
    <cfRule type="expression" dxfId="4279" priority="4420" stopIfTrue="1">
      <formula>$A143="Tmdpjun"</formula>
    </cfRule>
    <cfRule type="expression" dxfId="4278" priority="4423" stopIfTrue="1">
      <formula>$A143="Pump"</formula>
    </cfRule>
    <cfRule type="expression" dxfId="4277" priority="4426" stopIfTrue="1">
      <formula>$A143="Tmdpvol"</formula>
    </cfRule>
    <cfRule type="expression" dxfId="4276" priority="4433" stopIfTrue="1">
      <formula>$A143="Snglvol"</formula>
    </cfRule>
  </conditionalFormatting>
  <conditionalFormatting sqref="B143:B146 B152:B153">
    <cfRule type="expression" dxfId="4275" priority="4410" stopIfTrue="1">
      <formula>$A143="Chkvlv"</formula>
    </cfRule>
    <cfRule type="expression" dxfId="4274" priority="4436" stopIfTrue="1">
      <formula>$A143="Relapnr"</formula>
    </cfRule>
    <cfRule type="expression" dxfId="4273" priority="4441" stopIfTrue="1">
      <formula>$A143="InitGas"</formula>
    </cfRule>
    <cfRule type="expression" dxfId="4272" priority="4447" stopIfTrue="1">
      <formula>$A143="Replacements"</formula>
    </cfRule>
    <cfRule type="expression" dxfId="4271" priority="4451" stopIfTrue="1">
      <formula>$A143="Custom"</formula>
    </cfRule>
    <cfRule type="expression" dxfId="4270" priority="4456" stopIfTrue="1">
      <formula>$A143="Triplog"</formula>
    </cfRule>
  </conditionalFormatting>
  <conditionalFormatting sqref="C143:C146 Q143:S146 L143:L146 F143:G146 F152:G153 L152:L153 Q152:S153 C152:C153">
    <cfRule type="expression" dxfId="4269" priority="4411" stopIfTrue="1">
      <formula>$A143="Chkvlv"</formula>
    </cfRule>
  </conditionalFormatting>
  <conditionalFormatting sqref="D143:D146 D152:D153">
    <cfRule type="expression" dxfId="4268" priority="4412" stopIfTrue="1">
      <formula>$A143="Chkvlv"</formula>
    </cfRule>
    <cfRule type="expression" dxfId="4267" priority="4458" stopIfTrue="1">
      <formula>$A143="Triplog"</formula>
    </cfRule>
  </conditionalFormatting>
  <conditionalFormatting sqref="U143:U146 K152:K153 U152:U153">
    <cfRule type="expression" dxfId="4266" priority="4413" stopIfTrue="1">
      <formula>$A143="Chkvlv"</formula>
    </cfRule>
    <cfRule type="expression" dxfId="4265" priority="4431" stopIfTrue="1">
      <formula>$A143="Snglvol"</formula>
    </cfRule>
  </conditionalFormatting>
  <conditionalFormatting sqref="M143:M146 M152:M153">
    <cfRule type="expression" dxfId="4264" priority="4414" stopIfTrue="1">
      <formula>$A143="Chkvlv"</formula>
    </cfRule>
    <cfRule type="expression" dxfId="4263" priority="4432" stopIfTrue="1">
      <formula>$A143="Snglvol"</formula>
    </cfRule>
  </conditionalFormatting>
  <conditionalFormatting sqref="C143:C146 C152:C153">
    <cfRule type="expression" dxfId="4262" priority="4415" stopIfTrue="1">
      <formula>$A143="Inrvlv"</formula>
    </cfRule>
    <cfRule type="expression" dxfId="4261" priority="4439" stopIfTrue="1">
      <formula>$A143="Init"</formula>
    </cfRule>
    <cfRule type="expression" dxfId="4260" priority="4445" stopIfTrue="1">
      <formula>$A143="Timestep"</formula>
    </cfRule>
    <cfRule type="expression" dxfId="4259" priority="4457" stopIfTrue="1">
      <formula>$A143="Triplog"</formula>
    </cfRule>
  </conditionalFormatting>
  <conditionalFormatting sqref="Q143:R146 L143:L146 F143:G146 D143:D146 D152:D153 F152:G153 L152:L153 Q152:R153">
    <cfRule type="expression" dxfId="4258" priority="4416" stopIfTrue="1">
      <formula>$A143="Inrvlv"</formula>
    </cfRule>
  </conditionalFormatting>
  <conditionalFormatting sqref="S143:S146 S152:S153">
    <cfRule type="expression" dxfId="4257" priority="4417" stopIfTrue="1">
      <formula>$A143="Inrvlv"</formula>
    </cfRule>
    <cfRule type="expression" dxfId="4256" priority="4421" stopIfTrue="1">
      <formula>$A143="Tmdpjun"</formula>
    </cfRule>
    <cfRule type="expression" dxfId="4255" priority="4424" stopIfTrue="1">
      <formula>$A143="Pump"</formula>
    </cfRule>
    <cfRule type="expression" dxfId="4254" priority="4427" stopIfTrue="1">
      <formula>$A143="Tmdpvol"</formula>
    </cfRule>
    <cfRule type="expression" dxfId="4253" priority="4434" stopIfTrue="1">
      <formula>$A143="Snglvol"</formula>
    </cfRule>
  </conditionalFormatting>
  <conditionalFormatting sqref="Q143:Q146 L143:L146 F143:G146 C143:D146 C152:D153 F152:G153 L152:L153 Q152:Q153">
    <cfRule type="expression" dxfId="4252" priority="4419" stopIfTrue="1">
      <formula>$A143="Tmdpjun"</formula>
    </cfRule>
  </conditionalFormatting>
  <conditionalFormatting sqref="Q143:Q146 L143:L146 D143:D146 D152:D153 L152:L153 Q152:Q153">
    <cfRule type="expression" dxfId="4251" priority="4422" stopIfTrue="1">
      <formula>$A143="Pump"</formula>
    </cfRule>
  </conditionalFormatting>
  <conditionalFormatting sqref="L143:P146 T143:T146 H143:I146 D143:D146 D152:D153 H152:I153 T152:T153 L152:P153">
    <cfRule type="expression" dxfId="4250" priority="4425" stopIfTrue="1">
      <formula>$A143="Tmdpvol"</formula>
    </cfRule>
  </conditionalFormatting>
  <conditionalFormatting sqref="B143:B146 B152:B153">
    <cfRule type="expression" dxfId="4249" priority="4428" stopIfTrue="1">
      <formula>$A143="Snglvol"</formula>
    </cfRule>
    <cfRule type="expression" dxfId="4248" priority="4438" stopIfTrue="1">
      <formula>$A143="Init"</formula>
    </cfRule>
    <cfRule type="expression" dxfId="4247" priority="4444" stopIfTrue="1">
      <formula>$A143="Timestep"</formula>
    </cfRule>
    <cfRule type="expression" dxfId="4246" priority="4449" stopIfTrue="1">
      <formula>$A143="Triggerwords"</formula>
    </cfRule>
    <cfRule type="expression" dxfId="4245" priority="4453" stopIfTrue="1">
      <formula>$A143="Tripvar"</formula>
    </cfRule>
  </conditionalFormatting>
  <conditionalFormatting sqref="T143:T146 N143:Q146 L143:L146 H143:I146 D143:D146 D152:D153 H152:I153 L152:L153 N152:Q153 T152:T153">
    <cfRule type="expression" dxfId="4244" priority="4430" stopIfTrue="1">
      <formula>$A143="Snglvol"</formula>
    </cfRule>
  </conditionalFormatting>
  <conditionalFormatting sqref="A143:A146 A152:A153">
    <cfRule type="expression" dxfId="4243" priority="4435" stopIfTrue="1">
      <formula>$A143="Relapnr"</formula>
    </cfRule>
  </conditionalFormatting>
  <conditionalFormatting sqref="A143:A146 A152:A153">
    <cfRule type="expression" dxfId="4242" priority="4437" stopIfTrue="1">
      <formula>$A143="Init"</formula>
    </cfRule>
  </conditionalFormatting>
  <conditionalFormatting sqref="A143:A146 A152:A153">
    <cfRule type="expression" dxfId="4241" priority="4440" stopIfTrue="1">
      <formula>$A143="InitGas"</formula>
    </cfRule>
  </conditionalFormatting>
  <conditionalFormatting sqref="A143:A146 D143:D146 D152:D153 A152:A153">
    <cfRule type="expression" dxfId="4240" priority="4443" stopIfTrue="1">
      <formula>$A143="Timestep"</formula>
    </cfRule>
  </conditionalFormatting>
  <conditionalFormatting sqref="A143:A146 A152:A153">
    <cfRule type="expression" dxfId="4239" priority="4446" stopIfTrue="1">
      <formula>$A143="Replacements"</formula>
    </cfRule>
  </conditionalFormatting>
  <conditionalFormatting sqref="A143:A146 A152:A153">
    <cfRule type="expression" dxfId="4238" priority="4448" stopIfTrue="1">
      <formula>$A143="Triggerwords"</formula>
    </cfRule>
  </conditionalFormatting>
  <conditionalFormatting sqref="A143:A146 A152:A153">
    <cfRule type="expression" dxfId="4237" priority="4450" stopIfTrue="1">
      <formula>$A143="Custom"</formula>
    </cfRule>
  </conditionalFormatting>
  <conditionalFormatting sqref="A143:A146 F143:I146 D143:D146 D152:D153 F152:I153 A152:A153">
    <cfRule type="expression" dxfId="4236" priority="4452" stopIfTrue="1">
      <formula>$A143="Tripvar"</formula>
    </cfRule>
  </conditionalFormatting>
  <conditionalFormatting sqref="A143:A146 F143:F146 F152:F153 A152:A153">
    <cfRule type="expression" dxfId="4235" priority="4455" stopIfTrue="1">
      <formula>$A143="Triplog"</formula>
    </cfRule>
  </conditionalFormatting>
  <conditionalFormatting sqref="E152:E153">
    <cfRule type="expression" dxfId="4234" priority="4377" stopIfTrue="1">
      <formula>$A152="Pipe"</formula>
    </cfRule>
  </conditionalFormatting>
  <conditionalFormatting sqref="E152:E153">
    <cfRule type="expression" dxfId="4233" priority="4378" stopIfTrue="1">
      <formula>$A152="Junction"</formula>
    </cfRule>
  </conditionalFormatting>
  <conditionalFormatting sqref="E152:E153">
    <cfRule type="expression" dxfId="4232" priority="4379" stopIfTrue="1">
      <formula>$A152="Sngljun"</formula>
    </cfRule>
  </conditionalFormatting>
  <conditionalFormatting sqref="E152:E153">
    <cfRule type="expression" dxfId="4231" priority="4380" stopIfTrue="1">
      <formula>$A152="Mtrvlv"</formula>
    </cfRule>
  </conditionalFormatting>
  <conditionalFormatting sqref="E152:E153">
    <cfRule type="expression" dxfId="4230" priority="4381" stopIfTrue="1">
      <formula>$A152="Srvvlv"</formula>
    </cfRule>
  </conditionalFormatting>
  <conditionalFormatting sqref="E152:E153">
    <cfRule type="expression" dxfId="4229" priority="4382" stopIfTrue="1">
      <formula>$A152="Chkvlv"</formula>
    </cfRule>
  </conditionalFormatting>
  <conditionalFormatting sqref="E152:E153">
    <cfRule type="expression" dxfId="4228" priority="4383" stopIfTrue="1">
      <formula>$A152="Inrvlv"</formula>
    </cfRule>
  </conditionalFormatting>
  <conditionalFormatting sqref="E152:E153">
    <cfRule type="expression" dxfId="4227" priority="4384" stopIfTrue="1">
      <formula>$A152="Tmdpjun"</formula>
    </cfRule>
  </conditionalFormatting>
  <conditionalFormatting sqref="E152:E153">
    <cfRule type="expression" dxfId="4226" priority="4385" stopIfTrue="1">
      <formula>$A152="Pump"</formula>
    </cfRule>
  </conditionalFormatting>
  <conditionalFormatting sqref="E152:E153">
    <cfRule type="expression" dxfId="4225" priority="4386" stopIfTrue="1">
      <formula>$A152="Tmdpvol"</formula>
    </cfRule>
  </conditionalFormatting>
  <conditionalFormatting sqref="E152:E153">
    <cfRule type="expression" dxfId="4224" priority="4387" stopIfTrue="1">
      <formula>$A152="Snglvol"</formula>
    </cfRule>
  </conditionalFormatting>
  <conditionalFormatting sqref="E152:E153">
    <cfRule type="expression" dxfId="4223" priority="4388" stopIfTrue="1">
      <formula>$A152="Timestep"</formula>
    </cfRule>
  </conditionalFormatting>
  <conditionalFormatting sqref="E152:E153">
    <cfRule type="expression" dxfId="4222" priority="4389" stopIfTrue="1">
      <formula>$A152="Tripvar"</formula>
    </cfRule>
  </conditionalFormatting>
  <conditionalFormatting sqref="E152:E153">
    <cfRule type="expression" dxfId="4221" priority="4390" stopIfTrue="1">
      <formula>$A152="Triplog"</formula>
    </cfRule>
  </conditionalFormatting>
  <conditionalFormatting sqref="U159:V159 Q159 A159:D159 F159:L159">
    <cfRule type="expression" dxfId="4220" priority="4309" stopIfTrue="1">
      <formula>$A159="Pipe"</formula>
    </cfRule>
  </conditionalFormatting>
  <conditionalFormatting sqref="M159:P159 U159:V159 A159:B159 H159:K159">
    <cfRule type="expression" dxfId="4219" priority="4310" stopIfTrue="1">
      <formula>$A159="Junction"</formula>
    </cfRule>
  </conditionalFormatting>
  <conditionalFormatting sqref="M159:P159 T159:V159 A159:B159 H159:K159">
    <cfRule type="expression" dxfId="4218" priority="4311" stopIfTrue="1">
      <formula>$A159="Mtrvlv"</formula>
    </cfRule>
  </conditionalFormatting>
  <conditionalFormatting sqref="M159:P159 T159:V159 B159 H159:K159">
    <cfRule type="expression" dxfId="4217" priority="4312" stopIfTrue="1">
      <formula>$A159="Srvvlv"</formula>
    </cfRule>
  </conditionalFormatting>
  <conditionalFormatting sqref="V159 T159 N159:P159 A159 H159:J159">
    <cfRule type="expression" dxfId="4216" priority="4313" stopIfTrue="1">
      <formula>$A159="Chkvlv"</formula>
    </cfRule>
  </conditionalFormatting>
  <conditionalFormatting sqref="M159:P159 T159:V159 A159:B159 H159:K159">
    <cfRule type="expression" dxfId="4215" priority="4314" stopIfTrue="1">
      <formula>$A159="Inrvlv"</formula>
    </cfRule>
  </conditionalFormatting>
  <conditionalFormatting sqref="M159:P159 T159:V159 B159 H159:K159">
    <cfRule type="expression" dxfId="4214" priority="4315" stopIfTrue="1">
      <formula>$A159="Tmdpjun"</formula>
    </cfRule>
  </conditionalFormatting>
  <conditionalFormatting sqref="M159:P159 T159:V159 A159:C159 F159:K159">
    <cfRule type="expression" dxfId="4213" priority="4316" stopIfTrue="1">
      <formula>$A159="Pump"</formula>
    </cfRule>
  </conditionalFormatting>
  <conditionalFormatting sqref="U159:V159 Q159 J159:K159 F159:G159 A159:C159">
    <cfRule type="expression" dxfId="4212" priority="4317" stopIfTrue="1">
      <formula>$A159="Tmdpvol"</formula>
    </cfRule>
  </conditionalFormatting>
  <conditionalFormatting sqref="V159 J159 F159:G159 A159">
    <cfRule type="expression" dxfId="4211" priority="4318" stopIfTrue="1">
      <formula>$A159="Snglvol"</formula>
    </cfRule>
  </conditionalFormatting>
  <conditionalFormatting sqref="M159:P159 U159:V159 A159:B159 H159:K159">
    <cfRule type="expression" dxfId="4210" priority="4319" stopIfTrue="1">
      <formula>$A159="Sngljun"</formula>
    </cfRule>
  </conditionalFormatting>
  <conditionalFormatting sqref="M159:P159 R159:T159">
    <cfRule type="expression" dxfId="4209" priority="4320" stopIfTrue="1">
      <formula>$A159="Pipe"</formula>
    </cfRule>
  </conditionalFormatting>
  <conditionalFormatting sqref="C159">
    <cfRule type="expression" dxfId="4208" priority="4321" stopIfTrue="1">
      <formula>$A159="Junction"</formula>
    </cfRule>
    <cfRule type="expression" dxfId="4207" priority="4347" stopIfTrue="1">
      <formula>$A159="Snglvol"</formula>
    </cfRule>
    <cfRule type="expression" dxfId="4206" priority="4360" stopIfTrue="1">
      <formula>$A159="InitGas"</formula>
    </cfRule>
    <cfRule type="expression" dxfId="4205" priority="4372" stopIfTrue="1">
      <formula>$A159="Tripvar"</formula>
    </cfRule>
  </conditionalFormatting>
  <conditionalFormatting sqref="Q159:T159 L159 F159:G159 D159">
    <cfRule type="expression" dxfId="4204" priority="4322" stopIfTrue="1">
      <formula>$A159="Junction"</formula>
    </cfRule>
  </conditionalFormatting>
  <conditionalFormatting sqref="Q159:T159 L159 F159:G159 C159:D159">
    <cfRule type="expression" dxfId="4203" priority="4323" stopIfTrue="1">
      <formula>$A159="Sngljun"</formula>
    </cfRule>
  </conditionalFormatting>
  <conditionalFormatting sqref="Q159:S159 L159 F159:G159 C159:D159">
    <cfRule type="expression" dxfId="4202" priority="4324" stopIfTrue="1">
      <formula>$A159="Mtrvlv"</formula>
    </cfRule>
  </conditionalFormatting>
  <conditionalFormatting sqref="A159">
    <cfRule type="expression" dxfId="4201" priority="4325" stopIfTrue="1">
      <formula>$A159="Srvvlv"</formula>
    </cfRule>
    <cfRule type="expression" dxfId="4200" priority="4336" stopIfTrue="1">
      <formula>$A159="Tmdpjun"</formula>
    </cfRule>
  </conditionalFormatting>
  <conditionalFormatting sqref="S159 Q159 L159 F159:G159 C159:D159">
    <cfRule type="expression" dxfId="4199" priority="4326" stopIfTrue="1">
      <formula>$A159="Srvvlv"</formula>
    </cfRule>
  </conditionalFormatting>
  <conditionalFormatting sqref="R159">
    <cfRule type="expression" dxfId="4198" priority="4327" stopIfTrue="1">
      <formula>$A159="Srvvlv"</formula>
    </cfRule>
    <cfRule type="expression" dxfId="4197" priority="4338" stopIfTrue="1">
      <formula>$A159="Tmdpjun"</formula>
    </cfRule>
    <cfRule type="expression" dxfId="4196" priority="4341" stopIfTrue="1">
      <formula>$A159="Pump"</formula>
    </cfRule>
    <cfRule type="expression" dxfId="4195" priority="4344" stopIfTrue="1">
      <formula>$A159="Tmdpvol"</formula>
    </cfRule>
    <cfRule type="expression" dxfId="4194" priority="4351" stopIfTrue="1">
      <formula>$A159="Snglvol"</formula>
    </cfRule>
  </conditionalFormatting>
  <conditionalFormatting sqref="B159">
    <cfRule type="expression" dxfId="4193" priority="4328" stopIfTrue="1">
      <formula>$A159="Chkvlv"</formula>
    </cfRule>
    <cfRule type="expression" dxfId="4192" priority="4354" stopIfTrue="1">
      <formula>$A159="Relapnr"</formula>
    </cfRule>
    <cfRule type="expression" dxfId="4191" priority="4359" stopIfTrue="1">
      <formula>$A159="InitGas"</formula>
    </cfRule>
    <cfRule type="expression" dxfId="4190" priority="4365" stopIfTrue="1">
      <formula>$A159="Replacements"</formula>
    </cfRule>
    <cfRule type="expression" dxfId="4189" priority="4369" stopIfTrue="1">
      <formula>$A159="Custom"</formula>
    </cfRule>
    <cfRule type="expression" dxfId="4188" priority="4374" stopIfTrue="1">
      <formula>$A159="Triplog"</formula>
    </cfRule>
  </conditionalFormatting>
  <conditionalFormatting sqref="C159 Q159:S159 L159 F159:G159">
    <cfRule type="expression" dxfId="4187" priority="4329" stopIfTrue="1">
      <formula>$A159="Chkvlv"</formula>
    </cfRule>
  </conditionalFormatting>
  <conditionalFormatting sqref="D159">
    <cfRule type="expression" dxfId="4186" priority="4330" stopIfTrue="1">
      <formula>$A159="Chkvlv"</formula>
    </cfRule>
    <cfRule type="expression" dxfId="4185" priority="4376" stopIfTrue="1">
      <formula>$A159="Triplog"</formula>
    </cfRule>
  </conditionalFormatting>
  <conditionalFormatting sqref="U159 K159">
    <cfRule type="expression" dxfId="4184" priority="4331" stopIfTrue="1">
      <formula>$A159="Chkvlv"</formula>
    </cfRule>
    <cfRule type="expression" dxfId="4183" priority="4349" stopIfTrue="1">
      <formula>$A159="Snglvol"</formula>
    </cfRule>
  </conditionalFormatting>
  <conditionalFormatting sqref="M159">
    <cfRule type="expression" dxfId="4182" priority="4332" stopIfTrue="1">
      <formula>$A159="Chkvlv"</formula>
    </cfRule>
    <cfRule type="expression" dxfId="4181" priority="4350" stopIfTrue="1">
      <formula>$A159="Snglvol"</formula>
    </cfRule>
  </conditionalFormatting>
  <conditionalFormatting sqref="C159">
    <cfRule type="expression" dxfId="4180" priority="4333" stopIfTrue="1">
      <formula>$A159="Inrvlv"</formula>
    </cfRule>
    <cfRule type="expression" dxfId="4179" priority="4357" stopIfTrue="1">
      <formula>$A159="Init"</formula>
    </cfRule>
    <cfRule type="expression" dxfId="4178" priority="4363" stopIfTrue="1">
      <formula>$A159="Timestep"</formula>
    </cfRule>
    <cfRule type="expression" dxfId="4177" priority="4375" stopIfTrue="1">
      <formula>$A159="Triplog"</formula>
    </cfRule>
  </conditionalFormatting>
  <conditionalFormatting sqref="Q159:R159 L159 F159:G159 D159">
    <cfRule type="expression" dxfId="4176" priority="4334" stopIfTrue="1">
      <formula>$A159="Inrvlv"</formula>
    </cfRule>
  </conditionalFormatting>
  <conditionalFormatting sqref="S159">
    <cfRule type="expression" dxfId="4175" priority="4335" stopIfTrue="1">
      <formula>$A159="Inrvlv"</formula>
    </cfRule>
    <cfRule type="expression" dxfId="4174" priority="4339" stopIfTrue="1">
      <formula>$A159="Tmdpjun"</formula>
    </cfRule>
    <cfRule type="expression" dxfId="4173" priority="4342" stopIfTrue="1">
      <formula>$A159="Pump"</formula>
    </cfRule>
    <cfRule type="expression" dxfId="4172" priority="4345" stopIfTrue="1">
      <formula>$A159="Tmdpvol"</formula>
    </cfRule>
    <cfRule type="expression" dxfId="4171" priority="4352" stopIfTrue="1">
      <formula>$A159="Snglvol"</formula>
    </cfRule>
  </conditionalFormatting>
  <conditionalFormatting sqref="Q159 L159 F159:G159 C159:D159">
    <cfRule type="expression" dxfId="4170" priority="4337" stopIfTrue="1">
      <formula>$A159="Tmdpjun"</formula>
    </cfRule>
  </conditionalFormatting>
  <conditionalFormatting sqref="Q159 L159 D159">
    <cfRule type="expression" dxfId="4169" priority="4340" stopIfTrue="1">
      <formula>$A159="Pump"</formula>
    </cfRule>
  </conditionalFormatting>
  <conditionalFormatting sqref="L159:P159 T159 H159:I159 D159">
    <cfRule type="expression" dxfId="4168" priority="4343" stopIfTrue="1">
      <formula>$A159="Tmdpvol"</formula>
    </cfRule>
  </conditionalFormatting>
  <conditionalFormatting sqref="B159">
    <cfRule type="expression" dxfId="4167" priority="4346" stopIfTrue="1">
      <formula>$A159="Snglvol"</formula>
    </cfRule>
    <cfRule type="expression" dxfId="4166" priority="4356" stopIfTrue="1">
      <formula>$A159="Init"</formula>
    </cfRule>
    <cfRule type="expression" dxfId="4165" priority="4362" stopIfTrue="1">
      <formula>$A159="Timestep"</formula>
    </cfRule>
    <cfRule type="expression" dxfId="4164" priority="4367" stopIfTrue="1">
      <formula>$A159="Triggerwords"</formula>
    </cfRule>
    <cfRule type="expression" dxfId="4163" priority="4371" stopIfTrue="1">
      <formula>$A159="Tripvar"</formula>
    </cfRule>
  </conditionalFormatting>
  <conditionalFormatting sqref="T159 N159:Q159 L159 H159:I159 D159">
    <cfRule type="expression" dxfId="4162" priority="4348" stopIfTrue="1">
      <formula>$A159="Snglvol"</formula>
    </cfRule>
  </conditionalFormatting>
  <conditionalFormatting sqref="A159">
    <cfRule type="expression" dxfId="4161" priority="4353" stopIfTrue="1">
      <formula>$A159="Relapnr"</formula>
    </cfRule>
  </conditionalFormatting>
  <conditionalFormatting sqref="A159">
    <cfRule type="expression" dxfId="4160" priority="4355" stopIfTrue="1">
      <formula>$A159="Init"</formula>
    </cfRule>
  </conditionalFormatting>
  <conditionalFormatting sqref="A159">
    <cfRule type="expression" dxfId="4159" priority="4358" stopIfTrue="1">
      <formula>$A159="InitGas"</formula>
    </cfRule>
  </conditionalFormatting>
  <conditionalFormatting sqref="A159 D159">
    <cfRule type="expression" dxfId="4158" priority="4361" stopIfTrue="1">
      <formula>$A159="Timestep"</formula>
    </cfRule>
  </conditionalFormatting>
  <conditionalFormatting sqref="A159">
    <cfRule type="expression" dxfId="4157" priority="4364" stopIfTrue="1">
      <formula>$A159="Replacements"</formula>
    </cfRule>
  </conditionalFormatting>
  <conditionalFormatting sqref="A159">
    <cfRule type="expression" dxfId="4156" priority="4366" stopIfTrue="1">
      <formula>$A159="Triggerwords"</formula>
    </cfRule>
  </conditionalFormatting>
  <conditionalFormatting sqref="A159">
    <cfRule type="expression" dxfId="4155" priority="4368" stopIfTrue="1">
      <formula>$A159="Custom"</formula>
    </cfRule>
  </conditionalFormatting>
  <conditionalFormatting sqref="A159 F159:I159 D159">
    <cfRule type="expression" dxfId="4154" priority="4370" stopIfTrue="1">
      <formula>$A159="Tripvar"</formula>
    </cfRule>
  </conditionalFormatting>
  <conditionalFormatting sqref="A159 F159">
    <cfRule type="expression" dxfId="4153" priority="4373" stopIfTrue="1">
      <formula>$A159="Triplog"</formula>
    </cfRule>
  </conditionalFormatting>
  <conditionalFormatting sqref="A149 D149">
    <cfRule type="expression" dxfId="4152" priority="3882" stopIfTrue="1">
      <formula>$A149="Timestep"</formula>
    </cfRule>
  </conditionalFormatting>
  <conditionalFormatting sqref="E143:E146">
    <cfRule type="expression" dxfId="4151" priority="4281" stopIfTrue="1">
      <formula>$A143="Pipe"</formula>
    </cfRule>
  </conditionalFormatting>
  <conditionalFormatting sqref="E143:E146">
    <cfRule type="expression" dxfId="4150" priority="4282" stopIfTrue="1">
      <formula>$A143="Junction"</formula>
    </cfRule>
  </conditionalFormatting>
  <conditionalFormatting sqref="E143:E146">
    <cfRule type="expression" dxfId="4149" priority="4283" stopIfTrue="1">
      <formula>$A143="Sngljun"</formula>
    </cfRule>
  </conditionalFormatting>
  <conditionalFormatting sqref="E143:E146">
    <cfRule type="expression" dxfId="4148" priority="4284" stopIfTrue="1">
      <formula>$A143="Mtrvlv"</formula>
    </cfRule>
  </conditionalFormatting>
  <conditionalFormatting sqref="E143:E146">
    <cfRule type="expression" dxfId="4147" priority="4285" stopIfTrue="1">
      <formula>$A143="Srvvlv"</formula>
    </cfRule>
  </conditionalFormatting>
  <conditionalFormatting sqref="E143:E146">
    <cfRule type="expression" dxfId="4146" priority="4286" stopIfTrue="1">
      <formula>$A143="Chkvlv"</formula>
    </cfRule>
  </conditionalFormatting>
  <conditionalFormatting sqref="E143:E146">
    <cfRule type="expression" dxfId="4145" priority="4287" stopIfTrue="1">
      <formula>$A143="Inrvlv"</formula>
    </cfRule>
  </conditionalFormatting>
  <conditionalFormatting sqref="E143:E146">
    <cfRule type="expression" dxfId="4144" priority="4288" stopIfTrue="1">
      <formula>$A143="Tmdpjun"</formula>
    </cfRule>
  </conditionalFormatting>
  <conditionalFormatting sqref="E143:E146">
    <cfRule type="expression" dxfId="4143" priority="4289" stopIfTrue="1">
      <formula>$A143="Pump"</formula>
    </cfRule>
  </conditionalFormatting>
  <conditionalFormatting sqref="E143:E146">
    <cfRule type="expression" dxfId="4142" priority="4290" stopIfTrue="1">
      <formula>$A143="Tmdpvol"</formula>
    </cfRule>
  </conditionalFormatting>
  <conditionalFormatting sqref="E143:E146">
    <cfRule type="expression" dxfId="4141" priority="4291" stopIfTrue="1">
      <formula>$A143="Snglvol"</formula>
    </cfRule>
  </conditionalFormatting>
  <conditionalFormatting sqref="E143:E146">
    <cfRule type="expression" dxfId="4140" priority="4292" stopIfTrue="1">
      <formula>$A143="Timestep"</formula>
    </cfRule>
  </conditionalFormatting>
  <conditionalFormatting sqref="E143:E146">
    <cfRule type="expression" dxfId="4139" priority="4293" stopIfTrue="1">
      <formula>$A143="Tripvar"</formula>
    </cfRule>
  </conditionalFormatting>
  <conditionalFormatting sqref="E143:E146">
    <cfRule type="expression" dxfId="4138" priority="4294" stopIfTrue="1">
      <formula>$A143="Triplog"</formula>
    </cfRule>
  </conditionalFormatting>
  <conditionalFormatting sqref="K143:K146">
    <cfRule type="expression" dxfId="4137" priority="4270" stopIfTrue="1">
      <formula>$A143="Pipe"</formula>
    </cfRule>
  </conditionalFormatting>
  <conditionalFormatting sqref="K143:K146">
    <cfRule type="expression" dxfId="4136" priority="4271" stopIfTrue="1">
      <formula>$A143="Junction"</formula>
    </cfRule>
  </conditionalFormatting>
  <conditionalFormatting sqref="K143:K146">
    <cfRule type="expression" dxfId="4135" priority="4272" stopIfTrue="1">
      <formula>$A143="Mtrvlv"</formula>
    </cfRule>
  </conditionalFormatting>
  <conditionalFormatting sqref="K143:K146">
    <cfRule type="expression" dxfId="4134" priority="4273" stopIfTrue="1">
      <formula>$A143="Srvvlv"</formula>
    </cfRule>
  </conditionalFormatting>
  <conditionalFormatting sqref="K143:K146">
    <cfRule type="expression" dxfId="4133" priority="4274" stopIfTrue="1">
      <formula>$A143="Inrvlv"</formula>
    </cfRule>
  </conditionalFormatting>
  <conditionalFormatting sqref="K143:K146">
    <cfRule type="expression" dxfId="4132" priority="4275" stopIfTrue="1">
      <formula>$A143="Tmdpjun"</formula>
    </cfRule>
  </conditionalFormatting>
  <conditionalFormatting sqref="K143:K146">
    <cfRule type="expression" dxfId="4131" priority="4276" stopIfTrue="1">
      <formula>$A143="Pump"</formula>
    </cfRule>
  </conditionalFormatting>
  <conditionalFormatting sqref="K143:K146">
    <cfRule type="expression" dxfId="4130" priority="4277" stopIfTrue="1">
      <formula>$A143="Tmdpvol"</formula>
    </cfRule>
  </conditionalFormatting>
  <conditionalFormatting sqref="K143:K146">
    <cfRule type="expression" dxfId="4129" priority="4278" stopIfTrue="1">
      <formula>$A143="Sngljun"</formula>
    </cfRule>
  </conditionalFormatting>
  <conditionalFormatting sqref="K143:K146">
    <cfRule type="expression" dxfId="4128" priority="4279" stopIfTrue="1">
      <formula>$A143="Chkvlv"</formula>
    </cfRule>
    <cfRule type="expression" dxfId="4127" priority="4280" stopIfTrue="1">
      <formula>$A143="Snglvol"</formula>
    </cfRule>
  </conditionalFormatting>
  <conditionalFormatting sqref="U142:V142 Q142 A142:D142 F142:J142 L142">
    <cfRule type="expression" dxfId="4126" priority="4202" stopIfTrue="1">
      <formula>$A142="Pipe"</formula>
    </cfRule>
  </conditionalFormatting>
  <conditionalFormatting sqref="M142:P142 U142:V142 A142:B142 H142:J142">
    <cfRule type="expression" dxfId="4125" priority="4203" stopIfTrue="1">
      <formula>$A142="Junction"</formula>
    </cfRule>
  </conditionalFormatting>
  <conditionalFormatting sqref="M142:P142 T142:V142 A142:B142 H142:J142">
    <cfRule type="expression" dxfId="4124" priority="4204" stopIfTrue="1">
      <formula>$A142="Mtrvlv"</formula>
    </cfRule>
  </conditionalFormatting>
  <conditionalFormatting sqref="M142:P142 T142:V142 B142 H142:J142">
    <cfRule type="expression" dxfId="4123" priority="4205" stopIfTrue="1">
      <formula>$A142="Srvvlv"</formula>
    </cfRule>
  </conditionalFormatting>
  <conditionalFormatting sqref="V142 T142 N142:P142 A142 H142:J142">
    <cfRule type="expression" dxfId="4122" priority="4206" stopIfTrue="1">
      <formula>$A142="Chkvlv"</formula>
    </cfRule>
  </conditionalFormatting>
  <conditionalFormatting sqref="M142:P142 T142:V142 A142:B142 H142:J142">
    <cfRule type="expression" dxfId="4121" priority="4207" stopIfTrue="1">
      <formula>$A142="Inrvlv"</formula>
    </cfRule>
  </conditionalFormatting>
  <conditionalFormatting sqref="M142:P142 T142:V142 B142 H142:J142">
    <cfRule type="expression" dxfId="4120" priority="4208" stopIfTrue="1">
      <formula>$A142="Tmdpjun"</formula>
    </cfRule>
  </conditionalFormatting>
  <conditionalFormatting sqref="M142:P142 T142:V142 A142:C142 F142:J142">
    <cfRule type="expression" dxfId="4119" priority="4209" stopIfTrue="1">
      <formula>$A142="Pump"</formula>
    </cfRule>
  </conditionalFormatting>
  <conditionalFormatting sqref="U142:V142 Q142 F142:G142 A142:C142 J142">
    <cfRule type="expression" dxfId="4118" priority="4210" stopIfTrue="1">
      <formula>$A142="Tmdpvol"</formula>
    </cfRule>
  </conditionalFormatting>
  <conditionalFormatting sqref="V142 J142 F142:G142 A142">
    <cfRule type="expression" dxfId="4117" priority="4211" stopIfTrue="1">
      <formula>$A142="Snglvol"</formula>
    </cfRule>
  </conditionalFormatting>
  <conditionalFormatting sqref="M142:P142 U142:V142 A142:B142 H142:J142">
    <cfRule type="expression" dxfId="4116" priority="4212" stopIfTrue="1">
      <formula>$A142="Sngljun"</formula>
    </cfRule>
  </conditionalFormatting>
  <conditionalFormatting sqref="M142:P142 R142:T142">
    <cfRule type="expression" dxfId="4115" priority="4213" stopIfTrue="1">
      <formula>$A142="Pipe"</formula>
    </cfRule>
  </conditionalFormatting>
  <conditionalFormatting sqref="C142">
    <cfRule type="expression" dxfId="4114" priority="4214" stopIfTrue="1">
      <formula>$A142="Junction"</formula>
    </cfRule>
    <cfRule type="expression" dxfId="4113" priority="4240" stopIfTrue="1">
      <formula>$A142="Snglvol"</formula>
    </cfRule>
    <cfRule type="expression" dxfId="4112" priority="4253" stopIfTrue="1">
      <formula>$A142="InitGas"</formula>
    </cfRule>
    <cfRule type="expression" dxfId="4111" priority="4265" stopIfTrue="1">
      <formula>$A142="Tripvar"</formula>
    </cfRule>
  </conditionalFormatting>
  <conditionalFormatting sqref="Q142:T142 L142 F142:G142 D142">
    <cfRule type="expression" dxfId="4110" priority="4215" stopIfTrue="1">
      <formula>$A142="Junction"</formula>
    </cfRule>
  </conditionalFormatting>
  <conditionalFormatting sqref="Q142:T142 L142 F142:G142 C142:D142">
    <cfRule type="expression" dxfId="4109" priority="4216" stopIfTrue="1">
      <formula>$A142="Sngljun"</formula>
    </cfRule>
  </conditionalFormatting>
  <conditionalFormatting sqref="Q142:S142 L142 F142:G142 C142:D142">
    <cfRule type="expression" dxfId="4108" priority="4217" stopIfTrue="1">
      <formula>$A142="Mtrvlv"</formula>
    </cfRule>
  </conditionalFormatting>
  <conditionalFormatting sqref="A142">
    <cfRule type="expression" dxfId="4107" priority="4218" stopIfTrue="1">
      <formula>$A142="Srvvlv"</formula>
    </cfRule>
    <cfRule type="expression" dxfId="4106" priority="4229" stopIfTrue="1">
      <formula>$A142="Tmdpjun"</formula>
    </cfRule>
  </conditionalFormatting>
  <conditionalFormatting sqref="S142 Q142 L142 F142:G142 C142:D142">
    <cfRule type="expression" dxfId="4105" priority="4219" stopIfTrue="1">
      <formula>$A142="Srvvlv"</formula>
    </cfRule>
  </conditionalFormatting>
  <conditionalFormatting sqref="R142">
    <cfRule type="expression" dxfId="4104" priority="4220" stopIfTrue="1">
      <formula>$A142="Srvvlv"</formula>
    </cfRule>
    <cfRule type="expression" dxfId="4103" priority="4231" stopIfTrue="1">
      <formula>$A142="Tmdpjun"</formula>
    </cfRule>
    <cfRule type="expression" dxfId="4102" priority="4234" stopIfTrue="1">
      <formula>$A142="Pump"</formula>
    </cfRule>
    <cfRule type="expression" dxfId="4101" priority="4237" stopIfTrue="1">
      <formula>$A142="Tmdpvol"</formula>
    </cfRule>
    <cfRule type="expression" dxfId="4100" priority="4244" stopIfTrue="1">
      <formula>$A142="Snglvol"</formula>
    </cfRule>
  </conditionalFormatting>
  <conditionalFormatting sqref="B142">
    <cfRule type="expression" dxfId="4099" priority="4221" stopIfTrue="1">
      <formula>$A142="Chkvlv"</formula>
    </cfRule>
    <cfRule type="expression" dxfId="4098" priority="4247" stopIfTrue="1">
      <formula>$A142="Relapnr"</formula>
    </cfRule>
    <cfRule type="expression" dxfId="4097" priority="4252" stopIfTrue="1">
      <formula>$A142="InitGas"</formula>
    </cfRule>
    <cfRule type="expression" dxfId="4096" priority="4258" stopIfTrue="1">
      <formula>$A142="Replacements"</formula>
    </cfRule>
    <cfRule type="expression" dxfId="4095" priority="4262" stopIfTrue="1">
      <formula>$A142="Custom"</formula>
    </cfRule>
    <cfRule type="expression" dxfId="4094" priority="4267" stopIfTrue="1">
      <formula>$A142="Triplog"</formula>
    </cfRule>
  </conditionalFormatting>
  <conditionalFormatting sqref="C142 Q142:S142 L142 F142:G142">
    <cfRule type="expression" dxfId="4093" priority="4222" stopIfTrue="1">
      <formula>$A142="Chkvlv"</formula>
    </cfRule>
  </conditionalFormatting>
  <conditionalFormatting sqref="D142">
    <cfRule type="expression" dxfId="4092" priority="4223" stopIfTrue="1">
      <formula>$A142="Chkvlv"</formula>
    </cfRule>
    <cfRule type="expression" dxfId="4091" priority="4269" stopIfTrue="1">
      <formula>$A142="Triplog"</formula>
    </cfRule>
  </conditionalFormatting>
  <conditionalFormatting sqref="U142">
    <cfRule type="expression" dxfId="4090" priority="4224" stopIfTrue="1">
      <formula>$A142="Chkvlv"</formula>
    </cfRule>
    <cfRule type="expression" dxfId="4089" priority="4242" stopIfTrue="1">
      <formula>$A142="Snglvol"</formula>
    </cfRule>
  </conditionalFormatting>
  <conditionalFormatting sqref="M142">
    <cfRule type="expression" dxfId="4088" priority="4225" stopIfTrue="1">
      <formula>$A142="Chkvlv"</formula>
    </cfRule>
    <cfRule type="expression" dxfId="4087" priority="4243" stopIfTrue="1">
      <formula>$A142="Snglvol"</formula>
    </cfRule>
  </conditionalFormatting>
  <conditionalFormatting sqref="C142">
    <cfRule type="expression" dxfId="4086" priority="4226" stopIfTrue="1">
      <formula>$A142="Inrvlv"</formula>
    </cfRule>
    <cfRule type="expression" dxfId="4085" priority="4250" stopIfTrue="1">
      <formula>$A142="Init"</formula>
    </cfRule>
    <cfRule type="expression" dxfId="4084" priority="4256" stopIfTrue="1">
      <formula>$A142="Timestep"</formula>
    </cfRule>
    <cfRule type="expression" dxfId="4083" priority="4268" stopIfTrue="1">
      <formula>$A142="Triplog"</formula>
    </cfRule>
  </conditionalFormatting>
  <conditionalFormatting sqref="Q142:R142 L142 F142:G142 D142">
    <cfRule type="expression" dxfId="4082" priority="4227" stopIfTrue="1">
      <formula>$A142="Inrvlv"</formula>
    </cfRule>
  </conditionalFormatting>
  <conditionalFormatting sqref="S142">
    <cfRule type="expression" dxfId="4081" priority="4228" stopIfTrue="1">
      <formula>$A142="Inrvlv"</formula>
    </cfRule>
    <cfRule type="expression" dxfId="4080" priority="4232" stopIfTrue="1">
      <formula>$A142="Tmdpjun"</formula>
    </cfRule>
    <cfRule type="expression" dxfId="4079" priority="4235" stopIfTrue="1">
      <formula>$A142="Pump"</formula>
    </cfRule>
    <cfRule type="expression" dxfId="4078" priority="4238" stopIfTrue="1">
      <formula>$A142="Tmdpvol"</formula>
    </cfRule>
    <cfRule type="expression" dxfId="4077" priority="4245" stopIfTrue="1">
      <formula>$A142="Snglvol"</formula>
    </cfRule>
  </conditionalFormatting>
  <conditionalFormatting sqref="Q142 L142 F142:G142 C142:D142">
    <cfRule type="expression" dxfId="4076" priority="4230" stopIfTrue="1">
      <formula>$A142="Tmdpjun"</formula>
    </cfRule>
  </conditionalFormatting>
  <conditionalFormatting sqref="Q142 L142 D142">
    <cfRule type="expression" dxfId="4075" priority="4233" stopIfTrue="1">
      <formula>$A142="Pump"</formula>
    </cfRule>
  </conditionalFormatting>
  <conditionalFormatting sqref="L142:P142 T142 H142:I142 D142">
    <cfRule type="expression" dxfId="4074" priority="4236" stopIfTrue="1">
      <formula>$A142="Tmdpvol"</formula>
    </cfRule>
  </conditionalFormatting>
  <conditionalFormatting sqref="B142">
    <cfRule type="expression" dxfId="4073" priority="4239" stopIfTrue="1">
      <formula>$A142="Snglvol"</formula>
    </cfRule>
    <cfRule type="expression" dxfId="4072" priority="4249" stopIfTrue="1">
      <formula>$A142="Init"</formula>
    </cfRule>
    <cfRule type="expression" dxfId="4071" priority="4255" stopIfTrue="1">
      <formula>$A142="Timestep"</formula>
    </cfRule>
    <cfRule type="expression" dxfId="4070" priority="4260" stopIfTrue="1">
      <formula>$A142="Triggerwords"</formula>
    </cfRule>
    <cfRule type="expression" dxfId="4069" priority="4264" stopIfTrue="1">
      <formula>$A142="Tripvar"</formula>
    </cfRule>
  </conditionalFormatting>
  <conditionalFormatting sqref="T142 N142:Q142 L142 H142:I142 D142">
    <cfRule type="expression" dxfId="4068" priority="4241" stopIfTrue="1">
      <formula>$A142="Snglvol"</formula>
    </cfRule>
  </conditionalFormatting>
  <conditionalFormatting sqref="A142">
    <cfRule type="expression" dxfId="4067" priority="4246" stopIfTrue="1">
      <formula>$A142="Relapnr"</formula>
    </cfRule>
  </conditionalFormatting>
  <conditionalFormatting sqref="A142">
    <cfRule type="expression" dxfId="4066" priority="4248" stopIfTrue="1">
      <formula>$A142="Init"</formula>
    </cfRule>
  </conditionalFormatting>
  <conditionalFormatting sqref="A142">
    <cfRule type="expression" dxfId="4065" priority="4251" stopIfTrue="1">
      <formula>$A142="InitGas"</formula>
    </cfRule>
  </conditionalFormatting>
  <conditionalFormatting sqref="A142 D142">
    <cfRule type="expression" dxfId="4064" priority="4254" stopIfTrue="1">
      <formula>$A142="Timestep"</formula>
    </cfRule>
  </conditionalFormatting>
  <conditionalFormatting sqref="A142">
    <cfRule type="expression" dxfId="4063" priority="4257" stopIfTrue="1">
      <formula>$A142="Replacements"</formula>
    </cfRule>
  </conditionalFormatting>
  <conditionalFormatting sqref="A142">
    <cfRule type="expression" dxfId="4062" priority="4259" stopIfTrue="1">
      <formula>$A142="Triggerwords"</formula>
    </cfRule>
  </conditionalFormatting>
  <conditionalFormatting sqref="A142">
    <cfRule type="expression" dxfId="4061" priority="4261" stopIfTrue="1">
      <formula>$A142="Custom"</formula>
    </cfRule>
  </conditionalFormatting>
  <conditionalFormatting sqref="A142 F142:I142 D142">
    <cfRule type="expression" dxfId="4060" priority="4263" stopIfTrue="1">
      <formula>$A142="Tripvar"</formula>
    </cfRule>
  </conditionalFormatting>
  <conditionalFormatting sqref="A142 F142">
    <cfRule type="expression" dxfId="4059" priority="4266" stopIfTrue="1">
      <formula>$A142="Triplog"</formula>
    </cfRule>
  </conditionalFormatting>
  <conditionalFormatting sqref="E142">
    <cfRule type="expression" dxfId="4058" priority="4188" stopIfTrue="1">
      <formula>$A142="Pipe"</formula>
    </cfRule>
  </conditionalFormatting>
  <conditionalFormatting sqref="E142">
    <cfRule type="expression" dxfId="4057" priority="4189" stopIfTrue="1">
      <formula>$A142="Junction"</formula>
    </cfRule>
  </conditionalFormatting>
  <conditionalFormatting sqref="E142">
    <cfRule type="expression" dxfId="4056" priority="4190" stopIfTrue="1">
      <formula>$A142="Sngljun"</formula>
    </cfRule>
  </conditionalFormatting>
  <conditionalFormatting sqref="E142">
    <cfRule type="expression" dxfId="4055" priority="4191" stopIfTrue="1">
      <formula>$A142="Mtrvlv"</formula>
    </cfRule>
  </conditionalFormatting>
  <conditionalFormatting sqref="E142">
    <cfRule type="expression" dxfId="4054" priority="4192" stopIfTrue="1">
      <formula>$A142="Srvvlv"</formula>
    </cfRule>
  </conditionalFormatting>
  <conditionalFormatting sqref="E142">
    <cfRule type="expression" dxfId="4053" priority="4193" stopIfTrue="1">
      <formula>$A142="Chkvlv"</formula>
    </cfRule>
  </conditionalFormatting>
  <conditionalFormatting sqref="E142">
    <cfRule type="expression" dxfId="4052" priority="4194" stopIfTrue="1">
      <formula>$A142="Inrvlv"</formula>
    </cfRule>
  </conditionalFormatting>
  <conditionalFormatting sqref="E142">
    <cfRule type="expression" dxfId="4051" priority="4195" stopIfTrue="1">
      <formula>$A142="Tmdpjun"</formula>
    </cfRule>
  </conditionalFormatting>
  <conditionalFormatting sqref="E142">
    <cfRule type="expression" dxfId="4050" priority="4196" stopIfTrue="1">
      <formula>$A142="Pump"</formula>
    </cfRule>
  </conditionalFormatting>
  <conditionalFormatting sqref="E142">
    <cfRule type="expression" dxfId="4049" priority="4197" stopIfTrue="1">
      <formula>$A142="Tmdpvol"</formula>
    </cfRule>
  </conditionalFormatting>
  <conditionalFormatting sqref="E142">
    <cfRule type="expression" dxfId="4048" priority="4198" stopIfTrue="1">
      <formula>$A142="Snglvol"</formula>
    </cfRule>
  </conditionalFormatting>
  <conditionalFormatting sqref="E142">
    <cfRule type="expression" dxfId="4047" priority="4199" stopIfTrue="1">
      <formula>$A142="Timestep"</formula>
    </cfRule>
  </conditionalFormatting>
  <conditionalFormatting sqref="E142">
    <cfRule type="expression" dxfId="4046" priority="4200" stopIfTrue="1">
      <formula>$A142="Tripvar"</formula>
    </cfRule>
  </conditionalFormatting>
  <conditionalFormatting sqref="E142">
    <cfRule type="expression" dxfId="4045" priority="4201" stopIfTrue="1">
      <formula>$A142="Triplog"</formula>
    </cfRule>
  </conditionalFormatting>
  <conditionalFormatting sqref="K142">
    <cfRule type="expression" dxfId="4044" priority="4177" stopIfTrue="1">
      <formula>$A142="Pipe"</formula>
    </cfRule>
  </conditionalFormatting>
  <conditionalFormatting sqref="K142">
    <cfRule type="expression" dxfId="4043" priority="4178" stopIfTrue="1">
      <formula>$A142="Junction"</formula>
    </cfRule>
  </conditionalFormatting>
  <conditionalFormatting sqref="K142">
    <cfRule type="expression" dxfId="4042" priority="4179" stopIfTrue="1">
      <formula>$A142="Mtrvlv"</formula>
    </cfRule>
  </conditionalFormatting>
  <conditionalFormatting sqref="K142">
    <cfRule type="expression" dxfId="4041" priority="4180" stopIfTrue="1">
      <formula>$A142="Srvvlv"</formula>
    </cfRule>
  </conditionalFormatting>
  <conditionalFormatting sqref="K142">
    <cfRule type="expression" dxfId="4040" priority="4181" stopIfTrue="1">
      <formula>$A142="Inrvlv"</formula>
    </cfRule>
  </conditionalFormatting>
  <conditionalFormatting sqref="K142">
    <cfRule type="expression" dxfId="4039" priority="4182" stopIfTrue="1">
      <formula>$A142="Tmdpjun"</formula>
    </cfRule>
  </conditionalFormatting>
  <conditionalFormatting sqref="K142">
    <cfRule type="expression" dxfId="4038" priority="4183" stopIfTrue="1">
      <formula>$A142="Pump"</formula>
    </cfRule>
  </conditionalFormatting>
  <conditionalFormatting sqref="K142">
    <cfRule type="expression" dxfId="4037" priority="4184" stopIfTrue="1">
      <formula>$A142="Tmdpvol"</formula>
    </cfRule>
  </conditionalFormatting>
  <conditionalFormatting sqref="K142">
    <cfRule type="expression" dxfId="4036" priority="4185" stopIfTrue="1">
      <formula>$A142="Sngljun"</formula>
    </cfRule>
  </conditionalFormatting>
  <conditionalFormatting sqref="K142">
    <cfRule type="expression" dxfId="4035" priority="4186" stopIfTrue="1">
      <formula>$A142="Chkvlv"</formula>
    </cfRule>
    <cfRule type="expression" dxfId="4034" priority="4187" stopIfTrue="1">
      <formula>$A142="Snglvol"</formula>
    </cfRule>
  </conditionalFormatting>
  <conditionalFormatting sqref="U151:V151 Q151 A151:D151 F151:J151 L151">
    <cfRule type="expression" dxfId="4033" priority="4109" stopIfTrue="1">
      <formula>$A151="Pipe"</formula>
    </cfRule>
  </conditionalFormatting>
  <conditionalFormatting sqref="M151:P151 U151:V151 A151:B151 H151:J151">
    <cfRule type="expression" dxfId="4032" priority="4110" stopIfTrue="1">
      <formula>$A151="Junction"</formula>
    </cfRule>
  </conditionalFormatting>
  <conditionalFormatting sqref="M151:P151 T151:V151 A151:B151 H151:J151">
    <cfRule type="expression" dxfId="4031" priority="4111" stopIfTrue="1">
      <formula>$A151="Mtrvlv"</formula>
    </cfRule>
  </conditionalFormatting>
  <conditionalFormatting sqref="M151:P151 T151:V151 B151 H151:J151">
    <cfRule type="expression" dxfId="4030" priority="4112" stopIfTrue="1">
      <formula>$A151="Srvvlv"</formula>
    </cfRule>
  </conditionalFormatting>
  <conditionalFormatting sqref="V151 T151 N151:P151 A151 H151:J151">
    <cfRule type="expression" dxfId="4029" priority="4113" stopIfTrue="1">
      <formula>$A151="Chkvlv"</formula>
    </cfRule>
  </conditionalFormatting>
  <conditionalFormatting sqref="M151:P151 T151:V151 A151:B151 H151:J151">
    <cfRule type="expression" dxfId="4028" priority="4114" stopIfTrue="1">
      <formula>$A151="Inrvlv"</formula>
    </cfRule>
  </conditionalFormatting>
  <conditionalFormatting sqref="M151:P151 T151:V151 B151 H151:J151">
    <cfRule type="expression" dxfId="4027" priority="4115" stopIfTrue="1">
      <formula>$A151="Tmdpjun"</formula>
    </cfRule>
  </conditionalFormatting>
  <conditionalFormatting sqref="M151:P151 T151:V151 A151:C151 F151:J151">
    <cfRule type="expression" dxfId="4026" priority="4116" stopIfTrue="1">
      <formula>$A151="Pump"</formula>
    </cfRule>
  </conditionalFormatting>
  <conditionalFormatting sqref="U151:V151 Q151 F151:G151 A151:C151 J151">
    <cfRule type="expression" dxfId="4025" priority="4117" stopIfTrue="1">
      <formula>$A151="Tmdpvol"</formula>
    </cfRule>
  </conditionalFormatting>
  <conditionalFormatting sqref="V151 J151 F151:G151 A151">
    <cfRule type="expression" dxfId="4024" priority="4118" stopIfTrue="1">
      <formula>$A151="Snglvol"</formula>
    </cfRule>
  </conditionalFormatting>
  <conditionalFormatting sqref="M151:P151 U151:V151 A151:B151 H151:J151">
    <cfRule type="expression" dxfId="4023" priority="4119" stopIfTrue="1">
      <formula>$A151="Sngljun"</formula>
    </cfRule>
  </conditionalFormatting>
  <conditionalFormatting sqref="M151:P151 R151:T151">
    <cfRule type="expression" dxfId="4022" priority="4120" stopIfTrue="1">
      <formula>$A151="Pipe"</formula>
    </cfRule>
  </conditionalFormatting>
  <conditionalFormatting sqref="C151">
    <cfRule type="expression" dxfId="4021" priority="4121" stopIfTrue="1">
      <formula>$A151="Junction"</formula>
    </cfRule>
    <cfRule type="expression" dxfId="4020" priority="4147" stopIfTrue="1">
      <formula>$A151="Snglvol"</formula>
    </cfRule>
    <cfRule type="expression" dxfId="4019" priority="4160" stopIfTrue="1">
      <formula>$A151="InitGas"</formula>
    </cfRule>
    <cfRule type="expression" dxfId="4018" priority="4172" stopIfTrue="1">
      <formula>$A151="Tripvar"</formula>
    </cfRule>
  </conditionalFormatting>
  <conditionalFormatting sqref="Q151:T151 L151 F151:G151 D151">
    <cfRule type="expression" dxfId="4017" priority="4122" stopIfTrue="1">
      <formula>$A151="Junction"</formula>
    </cfRule>
  </conditionalFormatting>
  <conditionalFormatting sqref="Q151:T151 L151 F151:G151 C151:D151">
    <cfRule type="expression" dxfId="4016" priority="4123" stopIfTrue="1">
      <formula>$A151="Sngljun"</formula>
    </cfRule>
  </conditionalFormatting>
  <conditionalFormatting sqref="Q151:S151 L151 F151:G151 C151:D151">
    <cfRule type="expression" dxfId="4015" priority="4124" stopIfTrue="1">
      <formula>$A151="Mtrvlv"</formula>
    </cfRule>
  </conditionalFormatting>
  <conditionalFormatting sqref="A151">
    <cfRule type="expression" dxfId="4014" priority="4125" stopIfTrue="1">
      <formula>$A151="Srvvlv"</formula>
    </cfRule>
    <cfRule type="expression" dxfId="4013" priority="4136" stopIfTrue="1">
      <formula>$A151="Tmdpjun"</formula>
    </cfRule>
  </conditionalFormatting>
  <conditionalFormatting sqref="S151 Q151 L151 F151:G151 C151:D151">
    <cfRule type="expression" dxfId="4012" priority="4126" stopIfTrue="1">
      <formula>$A151="Srvvlv"</formula>
    </cfRule>
  </conditionalFormatting>
  <conditionalFormatting sqref="R151">
    <cfRule type="expression" dxfId="4011" priority="4127" stopIfTrue="1">
      <formula>$A151="Srvvlv"</formula>
    </cfRule>
    <cfRule type="expression" dxfId="4010" priority="4138" stopIfTrue="1">
      <formula>$A151="Tmdpjun"</formula>
    </cfRule>
    <cfRule type="expression" dxfId="4009" priority="4141" stopIfTrue="1">
      <formula>$A151="Pump"</formula>
    </cfRule>
    <cfRule type="expression" dxfId="4008" priority="4144" stopIfTrue="1">
      <formula>$A151="Tmdpvol"</formula>
    </cfRule>
    <cfRule type="expression" dxfId="4007" priority="4151" stopIfTrue="1">
      <formula>$A151="Snglvol"</formula>
    </cfRule>
  </conditionalFormatting>
  <conditionalFormatting sqref="B151">
    <cfRule type="expression" dxfId="4006" priority="4128" stopIfTrue="1">
      <formula>$A151="Chkvlv"</formula>
    </cfRule>
    <cfRule type="expression" dxfId="4005" priority="4154" stopIfTrue="1">
      <formula>$A151="Relapnr"</formula>
    </cfRule>
    <cfRule type="expression" dxfId="4004" priority="4159" stopIfTrue="1">
      <formula>$A151="InitGas"</formula>
    </cfRule>
    <cfRule type="expression" dxfId="4003" priority="4165" stopIfTrue="1">
      <formula>$A151="Replacements"</formula>
    </cfRule>
    <cfRule type="expression" dxfId="4002" priority="4169" stopIfTrue="1">
      <formula>$A151="Custom"</formula>
    </cfRule>
    <cfRule type="expression" dxfId="4001" priority="4174" stopIfTrue="1">
      <formula>$A151="Triplog"</formula>
    </cfRule>
  </conditionalFormatting>
  <conditionalFormatting sqref="C151 Q151:S151 L151 F151:G151">
    <cfRule type="expression" dxfId="4000" priority="4129" stopIfTrue="1">
      <formula>$A151="Chkvlv"</formula>
    </cfRule>
  </conditionalFormatting>
  <conditionalFormatting sqref="D151">
    <cfRule type="expression" dxfId="3999" priority="4130" stopIfTrue="1">
      <formula>$A151="Chkvlv"</formula>
    </cfRule>
    <cfRule type="expression" dxfId="3998" priority="4176" stopIfTrue="1">
      <formula>$A151="Triplog"</formula>
    </cfRule>
  </conditionalFormatting>
  <conditionalFormatting sqref="U151">
    <cfRule type="expression" dxfId="3997" priority="4131" stopIfTrue="1">
      <formula>$A151="Chkvlv"</formula>
    </cfRule>
    <cfRule type="expression" dxfId="3996" priority="4149" stopIfTrue="1">
      <formula>$A151="Snglvol"</formula>
    </cfRule>
  </conditionalFormatting>
  <conditionalFormatting sqref="M151">
    <cfRule type="expression" dxfId="3995" priority="4132" stopIfTrue="1">
      <formula>$A151="Chkvlv"</formula>
    </cfRule>
    <cfRule type="expression" dxfId="3994" priority="4150" stopIfTrue="1">
      <formula>$A151="Snglvol"</formula>
    </cfRule>
  </conditionalFormatting>
  <conditionalFormatting sqref="C151">
    <cfRule type="expression" dxfId="3993" priority="4133" stopIfTrue="1">
      <formula>$A151="Inrvlv"</formula>
    </cfRule>
    <cfRule type="expression" dxfId="3992" priority="4157" stopIfTrue="1">
      <formula>$A151="Init"</formula>
    </cfRule>
    <cfRule type="expression" dxfId="3991" priority="4163" stopIfTrue="1">
      <formula>$A151="Timestep"</formula>
    </cfRule>
    <cfRule type="expression" dxfId="3990" priority="4175" stopIfTrue="1">
      <formula>$A151="Triplog"</formula>
    </cfRule>
  </conditionalFormatting>
  <conditionalFormatting sqref="Q151:R151 L151 F151:G151 D151">
    <cfRule type="expression" dxfId="3989" priority="4134" stopIfTrue="1">
      <formula>$A151="Inrvlv"</formula>
    </cfRule>
  </conditionalFormatting>
  <conditionalFormatting sqref="S151">
    <cfRule type="expression" dxfId="3988" priority="4135" stopIfTrue="1">
      <formula>$A151="Inrvlv"</formula>
    </cfRule>
    <cfRule type="expression" dxfId="3987" priority="4139" stopIfTrue="1">
      <formula>$A151="Tmdpjun"</formula>
    </cfRule>
    <cfRule type="expression" dxfId="3986" priority="4142" stopIfTrue="1">
      <formula>$A151="Pump"</formula>
    </cfRule>
    <cfRule type="expression" dxfId="3985" priority="4145" stopIfTrue="1">
      <formula>$A151="Tmdpvol"</formula>
    </cfRule>
    <cfRule type="expression" dxfId="3984" priority="4152" stopIfTrue="1">
      <formula>$A151="Snglvol"</formula>
    </cfRule>
  </conditionalFormatting>
  <conditionalFormatting sqref="Q151 L151 F151:G151 C151:D151">
    <cfRule type="expression" dxfId="3983" priority="4137" stopIfTrue="1">
      <formula>$A151="Tmdpjun"</formula>
    </cfRule>
  </conditionalFormatting>
  <conditionalFormatting sqref="Q151 L151 D151">
    <cfRule type="expression" dxfId="3982" priority="4140" stopIfTrue="1">
      <formula>$A151="Pump"</formula>
    </cfRule>
  </conditionalFormatting>
  <conditionalFormatting sqref="L151:P151 T151 H151:I151 D151">
    <cfRule type="expression" dxfId="3981" priority="4143" stopIfTrue="1">
      <formula>$A151="Tmdpvol"</formula>
    </cfRule>
  </conditionalFormatting>
  <conditionalFormatting sqref="B151">
    <cfRule type="expression" dxfId="3980" priority="4146" stopIfTrue="1">
      <formula>$A151="Snglvol"</formula>
    </cfRule>
    <cfRule type="expression" dxfId="3979" priority="4156" stopIfTrue="1">
      <formula>$A151="Init"</formula>
    </cfRule>
    <cfRule type="expression" dxfId="3978" priority="4162" stopIfTrue="1">
      <formula>$A151="Timestep"</formula>
    </cfRule>
    <cfRule type="expression" dxfId="3977" priority="4167" stopIfTrue="1">
      <formula>$A151="Triggerwords"</formula>
    </cfRule>
    <cfRule type="expression" dxfId="3976" priority="4171" stopIfTrue="1">
      <formula>$A151="Tripvar"</formula>
    </cfRule>
  </conditionalFormatting>
  <conditionalFormatting sqref="T151 N151:Q151 L151 H151:I151 D151">
    <cfRule type="expression" dxfId="3975" priority="4148" stopIfTrue="1">
      <formula>$A151="Snglvol"</formula>
    </cfRule>
  </conditionalFormatting>
  <conditionalFormatting sqref="A151">
    <cfRule type="expression" dxfId="3974" priority="4153" stopIfTrue="1">
      <formula>$A151="Relapnr"</formula>
    </cfRule>
  </conditionalFormatting>
  <conditionalFormatting sqref="A151">
    <cfRule type="expression" dxfId="3973" priority="4155" stopIfTrue="1">
      <formula>$A151="Init"</formula>
    </cfRule>
  </conditionalFormatting>
  <conditionalFormatting sqref="A151">
    <cfRule type="expression" dxfId="3972" priority="4158" stopIfTrue="1">
      <formula>$A151="InitGas"</formula>
    </cfRule>
  </conditionalFormatting>
  <conditionalFormatting sqref="A151 D151">
    <cfRule type="expression" dxfId="3971" priority="4161" stopIfTrue="1">
      <formula>$A151="Timestep"</formula>
    </cfRule>
  </conditionalFormatting>
  <conditionalFormatting sqref="A151">
    <cfRule type="expression" dxfId="3970" priority="4164" stopIfTrue="1">
      <formula>$A151="Replacements"</formula>
    </cfRule>
  </conditionalFormatting>
  <conditionalFormatting sqref="A151">
    <cfRule type="expression" dxfId="3969" priority="4166" stopIfTrue="1">
      <formula>$A151="Triggerwords"</formula>
    </cfRule>
  </conditionalFormatting>
  <conditionalFormatting sqref="A151">
    <cfRule type="expression" dxfId="3968" priority="4168" stopIfTrue="1">
      <formula>$A151="Custom"</formula>
    </cfRule>
  </conditionalFormatting>
  <conditionalFormatting sqref="A151 F151:I151 D151">
    <cfRule type="expression" dxfId="3967" priority="4170" stopIfTrue="1">
      <formula>$A151="Tripvar"</formula>
    </cfRule>
  </conditionalFormatting>
  <conditionalFormatting sqref="A151 F151">
    <cfRule type="expression" dxfId="3966" priority="4173" stopIfTrue="1">
      <formula>$A151="Triplog"</formula>
    </cfRule>
  </conditionalFormatting>
  <conditionalFormatting sqref="E151">
    <cfRule type="expression" dxfId="3965" priority="4095" stopIfTrue="1">
      <formula>$A151="Pipe"</formula>
    </cfRule>
  </conditionalFormatting>
  <conditionalFormatting sqref="E151">
    <cfRule type="expression" dxfId="3964" priority="4096" stopIfTrue="1">
      <formula>$A151="Junction"</formula>
    </cfRule>
  </conditionalFormatting>
  <conditionalFormatting sqref="E151">
    <cfRule type="expression" dxfId="3963" priority="4097" stopIfTrue="1">
      <formula>$A151="Sngljun"</formula>
    </cfRule>
  </conditionalFormatting>
  <conditionalFormatting sqref="E151">
    <cfRule type="expression" dxfId="3962" priority="4098" stopIfTrue="1">
      <formula>$A151="Mtrvlv"</formula>
    </cfRule>
  </conditionalFormatting>
  <conditionalFormatting sqref="E151">
    <cfRule type="expression" dxfId="3961" priority="4099" stopIfTrue="1">
      <formula>$A151="Srvvlv"</formula>
    </cfRule>
  </conditionalFormatting>
  <conditionalFormatting sqref="E151">
    <cfRule type="expression" dxfId="3960" priority="4100" stopIfTrue="1">
      <formula>$A151="Chkvlv"</formula>
    </cfRule>
  </conditionalFormatting>
  <conditionalFormatting sqref="E151">
    <cfRule type="expression" dxfId="3959" priority="4101" stopIfTrue="1">
      <formula>$A151="Inrvlv"</formula>
    </cfRule>
  </conditionalFormatting>
  <conditionalFormatting sqref="E151">
    <cfRule type="expression" dxfId="3958" priority="4102" stopIfTrue="1">
      <formula>$A151="Tmdpjun"</formula>
    </cfRule>
  </conditionalFormatting>
  <conditionalFormatting sqref="E151">
    <cfRule type="expression" dxfId="3957" priority="4103" stopIfTrue="1">
      <formula>$A151="Pump"</formula>
    </cfRule>
  </conditionalFormatting>
  <conditionalFormatting sqref="E151">
    <cfRule type="expression" dxfId="3956" priority="4104" stopIfTrue="1">
      <formula>$A151="Tmdpvol"</formula>
    </cfRule>
  </conditionalFormatting>
  <conditionalFormatting sqref="E151">
    <cfRule type="expression" dxfId="3955" priority="4105" stopIfTrue="1">
      <formula>$A151="Snglvol"</formula>
    </cfRule>
  </conditionalFormatting>
  <conditionalFormatting sqref="E151">
    <cfRule type="expression" dxfId="3954" priority="4106" stopIfTrue="1">
      <formula>$A151="Timestep"</formula>
    </cfRule>
  </conditionalFormatting>
  <conditionalFormatting sqref="E151">
    <cfRule type="expression" dxfId="3953" priority="4107" stopIfTrue="1">
      <formula>$A151="Tripvar"</formula>
    </cfRule>
  </conditionalFormatting>
  <conditionalFormatting sqref="E151">
    <cfRule type="expression" dxfId="3952" priority="4108" stopIfTrue="1">
      <formula>$A151="Triplog"</formula>
    </cfRule>
  </conditionalFormatting>
  <conditionalFormatting sqref="K151">
    <cfRule type="expression" dxfId="3951" priority="4084" stopIfTrue="1">
      <formula>$A151="Pipe"</formula>
    </cfRule>
  </conditionalFormatting>
  <conditionalFormatting sqref="K151">
    <cfRule type="expression" dxfId="3950" priority="4085" stopIfTrue="1">
      <formula>$A151="Junction"</formula>
    </cfRule>
  </conditionalFormatting>
  <conditionalFormatting sqref="K151">
    <cfRule type="expression" dxfId="3949" priority="4086" stopIfTrue="1">
      <formula>$A151="Mtrvlv"</formula>
    </cfRule>
  </conditionalFormatting>
  <conditionalFormatting sqref="K151">
    <cfRule type="expression" dxfId="3948" priority="4087" stopIfTrue="1">
      <formula>$A151="Srvvlv"</formula>
    </cfRule>
  </conditionalFormatting>
  <conditionalFormatting sqref="K151">
    <cfRule type="expression" dxfId="3947" priority="4088" stopIfTrue="1">
      <formula>$A151="Inrvlv"</formula>
    </cfRule>
  </conditionalFormatting>
  <conditionalFormatting sqref="K151">
    <cfRule type="expression" dxfId="3946" priority="4089" stopIfTrue="1">
      <formula>$A151="Tmdpjun"</formula>
    </cfRule>
  </conditionalFormatting>
  <conditionalFormatting sqref="K151">
    <cfRule type="expression" dxfId="3945" priority="4090" stopIfTrue="1">
      <formula>$A151="Pump"</formula>
    </cfRule>
  </conditionalFormatting>
  <conditionalFormatting sqref="K151">
    <cfRule type="expression" dxfId="3944" priority="4091" stopIfTrue="1">
      <formula>$A151="Tmdpvol"</formula>
    </cfRule>
  </conditionalFormatting>
  <conditionalFormatting sqref="K151">
    <cfRule type="expression" dxfId="3943" priority="4092" stopIfTrue="1">
      <formula>$A151="Sngljun"</formula>
    </cfRule>
  </conditionalFormatting>
  <conditionalFormatting sqref="K151">
    <cfRule type="expression" dxfId="3942" priority="4093" stopIfTrue="1">
      <formula>$A151="Chkvlv"</formula>
    </cfRule>
    <cfRule type="expression" dxfId="3941" priority="4094" stopIfTrue="1">
      <formula>$A151="Snglvol"</formula>
    </cfRule>
  </conditionalFormatting>
  <conditionalFormatting sqref="U147:V147 Q147 A147:D147 F147:J147 L147">
    <cfRule type="expression" dxfId="3940" priority="4016" stopIfTrue="1">
      <formula>$A147="Pipe"</formula>
    </cfRule>
  </conditionalFormatting>
  <conditionalFormatting sqref="M147:P147 U147:V147 A147:B147 H147:J147">
    <cfRule type="expression" dxfId="3939" priority="4017" stopIfTrue="1">
      <formula>$A147="Junction"</formula>
    </cfRule>
  </conditionalFormatting>
  <conditionalFormatting sqref="M147:P147 T147:V147 A147:B147 H147:J147">
    <cfRule type="expression" dxfId="3938" priority="4018" stopIfTrue="1">
      <formula>$A147="Mtrvlv"</formula>
    </cfRule>
  </conditionalFormatting>
  <conditionalFormatting sqref="M147:P147 T147:V147 B147 H147:J147">
    <cfRule type="expression" dxfId="3937" priority="4019" stopIfTrue="1">
      <formula>$A147="Srvvlv"</formula>
    </cfRule>
  </conditionalFormatting>
  <conditionalFormatting sqref="V147 T147 N147:P147 A147 H147:J147">
    <cfRule type="expression" dxfId="3936" priority="4020" stopIfTrue="1">
      <formula>$A147="Chkvlv"</formula>
    </cfRule>
  </conditionalFormatting>
  <conditionalFormatting sqref="M147:P147 T147:V147 A147:B147 H147:J147">
    <cfRule type="expression" dxfId="3935" priority="4021" stopIfTrue="1">
      <formula>$A147="Inrvlv"</formula>
    </cfRule>
  </conditionalFormatting>
  <conditionalFormatting sqref="M147:P147 T147:V147 B147 H147:J147">
    <cfRule type="expression" dxfId="3934" priority="4022" stopIfTrue="1">
      <formula>$A147="Tmdpjun"</formula>
    </cfRule>
  </conditionalFormatting>
  <conditionalFormatting sqref="M147:P147 T147:V147 A147:C147 F147:J147">
    <cfRule type="expression" dxfId="3933" priority="4023" stopIfTrue="1">
      <formula>$A147="Pump"</formula>
    </cfRule>
  </conditionalFormatting>
  <conditionalFormatting sqref="U147:V147 Q147 F147:G147 A147:C147 J147">
    <cfRule type="expression" dxfId="3932" priority="4024" stopIfTrue="1">
      <formula>$A147="Tmdpvol"</formula>
    </cfRule>
  </conditionalFormatting>
  <conditionalFormatting sqref="V147 J147 F147:G147 A147">
    <cfRule type="expression" dxfId="3931" priority="4025" stopIfTrue="1">
      <formula>$A147="Snglvol"</formula>
    </cfRule>
  </conditionalFormatting>
  <conditionalFormatting sqref="M147:P147 U147:V147 A147:B147 H147:J147">
    <cfRule type="expression" dxfId="3930" priority="4026" stopIfTrue="1">
      <formula>$A147="Sngljun"</formula>
    </cfRule>
  </conditionalFormatting>
  <conditionalFormatting sqref="M147:P147 R147:T147">
    <cfRule type="expression" dxfId="3929" priority="4027" stopIfTrue="1">
      <formula>$A147="Pipe"</formula>
    </cfRule>
  </conditionalFormatting>
  <conditionalFormatting sqref="C147">
    <cfRule type="expression" dxfId="3928" priority="4028" stopIfTrue="1">
      <formula>$A147="Junction"</formula>
    </cfRule>
    <cfRule type="expression" dxfId="3927" priority="4054" stopIfTrue="1">
      <formula>$A147="Snglvol"</formula>
    </cfRule>
    <cfRule type="expression" dxfId="3926" priority="4067" stopIfTrue="1">
      <formula>$A147="InitGas"</formula>
    </cfRule>
    <cfRule type="expression" dxfId="3925" priority="4079" stopIfTrue="1">
      <formula>$A147="Tripvar"</formula>
    </cfRule>
  </conditionalFormatting>
  <conditionalFormatting sqref="Q147:T147 L147 F147:G147 D147">
    <cfRule type="expression" dxfId="3924" priority="4029" stopIfTrue="1">
      <formula>$A147="Junction"</formula>
    </cfRule>
  </conditionalFormatting>
  <conditionalFormatting sqref="Q147:T147 L147 F147:G147 C147:D147">
    <cfRule type="expression" dxfId="3923" priority="4030" stopIfTrue="1">
      <formula>$A147="Sngljun"</formula>
    </cfRule>
  </conditionalFormatting>
  <conditionalFormatting sqref="Q147:S147 L147 F147:G147 C147:D147">
    <cfRule type="expression" dxfId="3922" priority="4031" stopIfTrue="1">
      <formula>$A147="Mtrvlv"</formula>
    </cfRule>
  </conditionalFormatting>
  <conditionalFormatting sqref="A147">
    <cfRule type="expression" dxfId="3921" priority="4032" stopIfTrue="1">
      <formula>$A147="Srvvlv"</formula>
    </cfRule>
    <cfRule type="expression" dxfId="3920" priority="4043" stopIfTrue="1">
      <formula>$A147="Tmdpjun"</formula>
    </cfRule>
  </conditionalFormatting>
  <conditionalFormatting sqref="S147 Q147 L147 F147:G147 C147:D147">
    <cfRule type="expression" dxfId="3919" priority="4033" stopIfTrue="1">
      <formula>$A147="Srvvlv"</formula>
    </cfRule>
  </conditionalFormatting>
  <conditionalFormatting sqref="R147">
    <cfRule type="expression" dxfId="3918" priority="4034" stopIfTrue="1">
      <formula>$A147="Srvvlv"</formula>
    </cfRule>
    <cfRule type="expression" dxfId="3917" priority="4045" stopIfTrue="1">
      <formula>$A147="Tmdpjun"</formula>
    </cfRule>
    <cfRule type="expression" dxfId="3916" priority="4048" stopIfTrue="1">
      <formula>$A147="Pump"</formula>
    </cfRule>
    <cfRule type="expression" dxfId="3915" priority="4051" stopIfTrue="1">
      <formula>$A147="Tmdpvol"</formula>
    </cfRule>
    <cfRule type="expression" dxfId="3914" priority="4058" stopIfTrue="1">
      <formula>$A147="Snglvol"</formula>
    </cfRule>
  </conditionalFormatting>
  <conditionalFormatting sqref="B147">
    <cfRule type="expression" dxfId="3913" priority="4035" stopIfTrue="1">
      <formula>$A147="Chkvlv"</formula>
    </cfRule>
    <cfRule type="expression" dxfId="3912" priority="4061" stopIfTrue="1">
      <formula>$A147="Relapnr"</formula>
    </cfRule>
    <cfRule type="expression" dxfId="3911" priority="4066" stopIfTrue="1">
      <formula>$A147="InitGas"</formula>
    </cfRule>
    <cfRule type="expression" dxfId="3910" priority="4072" stopIfTrue="1">
      <formula>$A147="Replacements"</formula>
    </cfRule>
    <cfRule type="expression" dxfId="3909" priority="4076" stopIfTrue="1">
      <formula>$A147="Custom"</formula>
    </cfRule>
    <cfRule type="expression" dxfId="3908" priority="4081" stopIfTrue="1">
      <formula>$A147="Triplog"</formula>
    </cfRule>
  </conditionalFormatting>
  <conditionalFormatting sqref="C147 Q147:S147 L147 F147:G147">
    <cfRule type="expression" dxfId="3907" priority="4036" stopIfTrue="1">
      <formula>$A147="Chkvlv"</formula>
    </cfRule>
  </conditionalFormatting>
  <conditionalFormatting sqref="D147">
    <cfRule type="expression" dxfId="3906" priority="4037" stopIfTrue="1">
      <formula>$A147="Chkvlv"</formula>
    </cfRule>
    <cfRule type="expression" dxfId="3905" priority="4083" stopIfTrue="1">
      <formula>$A147="Triplog"</formula>
    </cfRule>
  </conditionalFormatting>
  <conditionalFormatting sqref="U147">
    <cfRule type="expression" dxfId="3904" priority="4038" stopIfTrue="1">
      <formula>$A147="Chkvlv"</formula>
    </cfRule>
    <cfRule type="expression" dxfId="3903" priority="4056" stopIfTrue="1">
      <formula>$A147="Snglvol"</formula>
    </cfRule>
  </conditionalFormatting>
  <conditionalFormatting sqref="M147">
    <cfRule type="expression" dxfId="3902" priority="4039" stopIfTrue="1">
      <formula>$A147="Chkvlv"</formula>
    </cfRule>
    <cfRule type="expression" dxfId="3901" priority="4057" stopIfTrue="1">
      <formula>$A147="Snglvol"</formula>
    </cfRule>
  </conditionalFormatting>
  <conditionalFormatting sqref="C147">
    <cfRule type="expression" dxfId="3900" priority="4040" stopIfTrue="1">
      <formula>$A147="Inrvlv"</formula>
    </cfRule>
    <cfRule type="expression" dxfId="3899" priority="4064" stopIfTrue="1">
      <formula>$A147="Init"</formula>
    </cfRule>
    <cfRule type="expression" dxfId="3898" priority="4070" stopIfTrue="1">
      <formula>$A147="Timestep"</formula>
    </cfRule>
    <cfRule type="expression" dxfId="3897" priority="4082" stopIfTrue="1">
      <formula>$A147="Triplog"</formula>
    </cfRule>
  </conditionalFormatting>
  <conditionalFormatting sqref="Q147:R147 L147 F147:G147 D147">
    <cfRule type="expression" dxfId="3896" priority="4041" stopIfTrue="1">
      <formula>$A147="Inrvlv"</formula>
    </cfRule>
  </conditionalFormatting>
  <conditionalFormatting sqref="S147">
    <cfRule type="expression" dxfId="3895" priority="4042" stopIfTrue="1">
      <formula>$A147="Inrvlv"</formula>
    </cfRule>
    <cfRule type="expression" dxfId="3894" priority="4046" stopIfTrue="1">
      <formula>$A147="Tmdpjun"</formula>
    </cfRule>
    <cfRule type="expression" dxfId="3893" priority="4049" stopIfTrue="1">
      <formula>$A147="Pump"</formula>
    </cfRule>
    <cfRule type="expression" dxfId="3892" priority="4052" stopIfTrue="1">
      <formula>$A147="Tmdpvol"</formula>
    </cfRule>
    <cfRule type="expression" dxfId="3891" priority="4059" stopIfTrue="1">
      <formula>$A147="Snglvol"</formula>
    </cfRule>
  </conditionalFormatting>
  <conditionalFormatting sqref="Q147 L147 F147:G147 C147:D147">
    <cfRule type="expression" dxfId="3890" priority="4044" stopIfTrue="1">
      <formula>$A147="Tmdpjun"</formula>
    </cfRule>
  </conditionalFormatting>
  <conditionalFormatting sqref="Q147 L147 D147">
    <cfRule type="expression" dxfId="3889" priority="4047" stopIfTrue="1">
      <formula>$A147="Pump"</formula>
    </cfRule>
  </conditionalFormatting>
  <conditionalFormatting sqref="L147:P147 T147 H147:I147 D147">
    <cfRule type="expression" dxfId="3888" priority="4050" stopIfTrue="1">
      <formula>$A147="Tmdpvol"</formula>
    </cfRule>
  </conditionalFormatting>
  <conditionalFormatting sqref="B147">
    <cfRule type="expression" dxfId="3887" priority="4053" stopIfTrue="1">
      <formula>$A147="Snglvol"</formula>
    </cfRule>
    <cfRule type="expression" dxfId="3886" priority="4063" stopIfTrue="1">
      <formula>$A147="Init"</formula>
    </cfRule>
    <cfRule type="expression" dxfId="3885" priority="4069" stopIfTrue="1">
      <formula>$A147="Timestep"</formula>
    </cfRule>
    <cfRule type="expression" dxfId="3884" priority="4074" stopIfTrue="1">
      <formula>$A147="Triggerwords"</formula>
    </cfRule>
    <cfRule type="expression" dxfId="3883" priority="4078" stopIfTrue="1">
      <formula>$A147="Tripvar"</formula>
    </cfRule>
  </conditionalFormatting>
  <conditionalFormatting sqref="T147 N147:Q147 L147 H147:I147 D147">
    <cfRule type="expression" dxfId="3882" priority="4055" stopIfTrue="1">
      <formula>$A147="Snglvol"</formula>
    </cfRule>
  </conditionalFormatting>
  <conditionalFormatting sqref="A147">
    <cfRule type="expression" dxfId="3881" priority="4060" stopIfTrue="1">
      <formula>$A147="Relapnr"</formula>
    </cfRule>
  </conditionalFormatting>
  <conditionalFormatting sqref="A147">
    <cfRule type="expression" dxfId="3880" priority="4062" stopIfTrue="1">
      <formula>$A147="Init"</formula>
    </cfRule>
  </conditionalFormatting>
  <conditionalFormatting sqref="A147">
    <cfRule type="expression" dxfId="3879" priority="4065" stopIfTrue="1">
      <formula>$A147="InitGas"</formula>
    </cfRule>
  </conditionalFormatting>
  <conditionalFormatting sqref="A147 D147">
    <cfRule type="expression" dxfId="3878" priority="4068" stopIfTrue="1">
      <formula>$A147="Timestep"</formula>
    </cfRule>
  </conditionalFormatting>
  <conditionalFormatting sqref="A147">
    <cfRule type="expression" dxfId="3877" priority="4071" stopIfTrue="1">
      <formula>$A147="Replacements"</formula>
    </cfRule>
  </conditionalFormatting>
  <conditionalFormatting sqref="A147">
    <cfRule type="expression" dxfId="3876" priority="4073" stopIfTrue="1">
      <formula>$A147="Triggerwords"</formula>
    </cfRule>
  </conditionalFormatting>
  <conditionalFormatting sqref="A147">
    <cfRule type="expression" dxfId="3875" priority="4075" stopIfTrue="1">
      <formula>$A147="Custom"</formula>
    </cfRule>
  </conditionalFormatting>
  <conditionalFormatting sqref="A147 F147:I147 D147">
    <cfRule type="expression" dxfId="3874" priority="4077" stopIfTrue="1">
      <formula>$A147="Tripvar"</formula>
    </cfRule>
  </conditionalFormatting>
  <conditionalFormatting sqref="A147 F147">
    <cfRule type="expression" dxfId="3873" priority="4080" stopIfTrue="1">
      <formula>$A147="Triplog"</formula>
    </cfRule>
  </conditionalFormatting>
  <conditionalFormatting sqref="E147">
    <cfRule type="expression" dxfId="3872" priority="4002" stopIfTrue="1">
      <formula>$A147="Pipe"</formula>
    </cfRule>
  </conditionalFormatting>
  <conditionalFormatting sqref="E147">
    <cfRule type="expression" dxfId="3871" priority="4003" stopIfTrue="1">
      <formula>$A147="Junction"</formula>
    </cfRule>
  </conditionalFormatting>
  <conditionalFormatting sqref="E147">
    <cfRule type="expression" dxfId="3870" priority="4004" stopIfTrue="1">
      <formula>$A147="Sngljun"</formula>
    </cfRule>
  </conditionalFormatting>
  <conditionalFormatting sqref="E147">
    <cfRule type="expression" dxfId="3869" priority="4005" stopIfTrue="1">
      <formula>$A147="Mtrvlv"</formula>
    </cfRule>
  </conditionalFormatting>
  <conditionalFormatting sqref="E147">
    <cfRule type="expression" dxfId="3868" priority="4006" stopIfTrue="1">
      <formula>$A147="Srvvlv"</formula>
    </cfRule>
  </conditionalFormatting>
  <conditionalFormatting sqref="E147">
    <cfRule type="expression" dxfId="3867" priority="4007" stopIfTrue="1">
      <formula>$A147="Chkvlv"</formula>
    </cfRule>
  </conditionalFormatting>
  <conditionalFormatting sqref="E147">
    <cfRule type="expression" dxfId="3866" priority="4008" stopIfTrue="1">
      <formula>$A147="Inrvlv"</formula>
    </cfRule>
  </conditionalFormatting>
  <conditionalFormatting sqref="E147">
    <cfRule type="expression" dxfId="3865" priority="4009" stopIfTrue="1">
      <formula>$A147="Tmdpjun"</formula>
    </cfRule>
  </conditionalFormatting>
  <conditionalFormatting sqref="E147">
    <cfRule type="expression" dxfId="3864" priority="4010" stopIfTrue="1">
      <formula>$A147="Pump"</formula>
    </cfRule>
  </conditionalFormatting>
  <conditionalFormatting sqref="E147">
    <cfRule type="expression" dxfId="3863" priority="4011" stopIfTrue="1">
      <formula>$A147="Tmdpvol"</formula>
    </cfRule>
  </conditionalFormatting>
  <conditionalFormatting sqref="E147">
    <cfRule type="expression" dxfId="3862" priority="4012" stopIfTrue="1">
      <formula>$A147="Snglvol"</formula>
    </cfRule>
  </conditionalFormatting>
  <conditionalFormatting sqref="E147">
    <cfRule type="expression" dxfId="3861" priority="4013" stopIfTrue="1">
      <formula>$A147="Timestep"</formula>
    </cfRule>
  </conditionalFormatting>
  <conditionalFormatting sqref="E147">
    <cfRule type="expression" dxfId="3860" priority="4014" stopIfTrue="1">
      <formula>$A147="Tripvar"</formula>
    </cfRule>
  </conditionalFormatting>
  <conditionalFormatting sqref="E147">
    <cfRule type="expression" dxfId="3859" priority="4015" stopIfTrue="1">
      <formula>$A147="Triplog"</formula>
    </cfRule>
  </conditionalFormatting>
  <conditionalFormatting sqref="K147">
    <cfRule type="expression" dxfId="3858" priority="3991" stopIfTrue="1">
      <formula>$A147="Pipe"</formula>
    </cfRule>
  </conditionalFormatting>
  <conditionalFormatting sqref="K147">
    <cfRule type="expression" dxfId="3857" priority="3992" stopIfTrue="1">
      <formula>$A147="Junction"</formula>
    </cfRule>
  </conditionalFormatting>
  <conditionalFormatting sqref="K147">
    <cfRule type="expression" dxfId="3856" priority="3993" stopIfTrue="1">
      <formula>$A147="Mtrvlv"</formula>
    </cfRule>
  </conditionalFormatting>
  <conditionalFormatting sqref="K147">
    <cfRule type="expression" dxfId="3855" priority="3994" stopIfTrue="1">
      <formula>$A147="Srvvlv"</formula>
    </cfRule>
  </conditionalFormatting>
  <conditionalFormatting sqref="K147">
    <cfRule type="expression" dxfId="3854" priority="3995" stopIfTrue="1">
      <formula>$A147="Inrvlv"</formula>
    </cfRule>
  </conditionalFormatting>
  <conditionalFormatting sqref="K147">
    <cfRule type="expression" dxfId="3853" priority="3996" stopIfTrue="1">
      <formula>$A147="Tmdpjun"</formula>
    </cfRule>
  </conditionalFormatting>
  <conditionalFormatting sqref="K147">
    <cfRule type="expression" dxfId="3852" priority="3997" stopIfTrue="1">
      <formula>$A147="Pump"</formula>
    </cfRule>
  </conditionalFormatting>
  <conditionalFormatting sqref="K147">
    <cfRule type="expression" dxfId="3851" priority="3998" stopIfTrue="1">
      <formula>$A147="Tmdpvol"</formula>
    </cfRule>
  </conditionalFormatting>
  <conditionalFormatting sqref="K147">
    <cfRule type="expression" dxfId="3850" priority="3999" stopIfTrue="1">
      <formula>$A147="Sngljun"</formula>
    </cfRule>
  </conditionalFormatting>
  <conditionalFormatting sqref="K147">
    <cfRule type="expression" dxfId="3849" priority="4000" stopIfTrue="1">
      <formula>$A147="Chkvlv"</formula>
    </cfRule>
    <cfRule type="expression" dxfId="3848" priority="4001" stopIfTrue="1">
      <formula>$A147="Snglvol"</formula>
    </cfRule>
  </conditionalFormatting>
  <conditionalFormatting sqref="U148:V148 Q148 A148:D148 F148:J148 L148">
    <cfRule type="expression" dxfId="3847" priority="3923" stopIfTrue="1">
      <formula>$A148="Pipe"</formula>
    </cfRule>
  </conditionalFormatting>
  <conditionalFormatting sqref="M148:P148 U148:V148 A148:B148 H148:J148">
    <cfRule type="expression" dxfId="3846" priority="3924" stopIfTrue="1">
      <formula>$A148="Junction"</formula>
    </cfRule>
  </conditionalFormatting>
  <conditionalFormatting sqref="M148:P148 T148:V148 A148:B148 H148:J148">
    <cfRule type="expression" dxfId="3845" priority="3925" stopIfTrue="1">
      <formula>$A148="Mtrvlv"</formula>
    </cfRule>
  </conditionalFormatting>
  <conditionalFormatting sqref="M148:P148 T148:V148 B148 H148:J148">
    <cfRule type="expression" dxfId="3844" priority="3926" stopIfTrue="1">
      <formula>$A148="Srvvlv"</formula>
    </cfRule>
  </conditionalFormatting>
  <conditionalFormatting sqref="V148 T148 N148:P148 A148 H148:J148">
    <cfRule type="expression" dxfId="3843" priority="3927" stopIfTrue="1">
      <formula>$A148="Chkvlv"</formula>
    </cfRule>
  </conditionalFormatting>
  <conditionalFormatting sqref="M148:P148 T148:V148 A148:B148 H148:J148">
    <cfRule type="expression" dxfId="3842" priority="3928" stopIfTrue="1">
      <formula>$A148="Inrvlv"</formula>
    </cfRule>
  </conditionalFormatting>
  <conditionalFormatting sqref="M148:P148 T148:V148 B148 H148:J148">
    <cfRule type="expression" dxfId="3841" priority="3929" stopIfTrue="1">
      <formula>$A148="Tmdpjun"</formula>
    </cfRule>
  </conditionalFormatting>
  <conditionalFormatting sqref="M148:P148 T148:V148 A148:C148 F148:J148">
    <cfRule type="expression" dxfId="3840" priority="3930" stopIfTrue="1">
      <formula>$A148="Pump"</formula>
    </cfRule>
  </conditionalFormatting>
  <conditionalFormatting sqref="U148:V148 Q148 F148:G148 A148:C148 J148">
    <cfRule type="expression" dxfId="3839" priority="3931" stopIfTrue="1">
      <formula>$A148="Tmdpvol"</formula>
    </cfRule>
  </conditionalFormatting>
  <conditionalFormatting sqref="V148 J148 F148:G148 A148">
    <cfRule type="expression" dxfId="3838" priority="3932" stopIfTrue="1">
      <formula>$A148="Snglvol"</formula>
    </cfRule>
  </conditionalFormatting>
  <conditionalFormatting sqref="M148:P148 U148:V148 A148:B148 H148:J148">
    <cfRule type="expression" dxfId="3837" priority="3933" stopIfTrue="1">
      <formula>$A148="Sngljun"</formula>
    </cfRule>
  </conditionalFormatting>
  <conditionalFormatting sqref="M148:P148 R148:T148">
    <cfRule type="expression" dxfId="3836" priority="3934" stopIfTrue="1">
      <formula>$A148="Pipe"</formula>
    </cfRule>
  </conditionalFormatting>
  <conditionalFormatting sqref="C148">
    <cfRule type="expression" dxfId="3835" priority="3935" stopIfTrue="1">
      <formula>$A148="Junction"</formula>
    </cfRule>
    <cfRule type="expression" dxfId="3834" priority="3961" stopIfTrue="1">
      <formula>$A148="Snglvol"</formula>
    </cfRule>
    <cfRule type="expression" dxfId="3833" priority="3974" stopIfTrue="1">
      <formula>$A148="InitGas"</formula>
    </cfRule>
    <cfRule type="expression" dxfId="3832" priority="3986" stopIfTrue="1">
      <formula>$A148="Tripvar"</formula>
    </cfRule>
  </conditionalFormatting>
  <conditionalFormatting sqref="Q148:T148 L148 F148:G148 D148">
    <cfRule type="expression" dxfId="3831" priority="3936" stopIfTrue="1">
      <formula>$A148="Junction"</formula>
    </cfRule>
  </conditionalFormatting>
  <conditionalFormatting sqref="Q148:T148 L148 F148:G148 C148:D148">
    <cfRule type="expression" dxfId="3830" priority="3937" stopIfTrue="1">
      <formula>$A148="Sngljun"</formula>
    </cfRule>
  </conditionalFormatting>
  <conditionalFormatting sqref="Q148:S148 L148 F148:G148 C148:D148">
    <cfRule type="expression" dxfId="3829" priority="3938" stopIfTrue="1">
      <formula>$A148="Mtrvlv"</formula>
    </cfRule>
  </conditionalFormatting>
  <conditionalFormatting sqref="A148">
    <cfRule type="expression" dxfId="3828" priority="3939" stopIfTrue="1">
      <formula>$A148="Srvvlv"</formula>
    </cfRule>
    <cfRule type="expression" dxfId="3827" priority="3950" stopIfTrue="1">
      <formula>$A148="Tmdpjun"</formula>
    </cfRule>
  </conditionalFormatting>
  <conditionalFormatting sqref="S148 Q148 L148 F148:G148 C148:D148">
    <cfRule type="expression" dxfId="3826" priority="3940" stopIfTrue="1">
      <formula>$A148="Srvvlv"</formula>
    </cfRule>
  </conditionalFormatting>
  <conditionalFormatting sqref="R148">
    <cfRule type="expression" dxfId="3825" priority="3941" stopIfTrue="1">
      <formula>$A148="Srvvlv"</formula>
    </cfRule>
    <cfRule type="expression" dxfId="3824" priority="3952" stopIfTrue="1">
      <formula>$A148="Tmdpjun"</formula>
    </cfRule>
    <cfRule type="expression" dxfId="3823" priority="3955" stopIfTrue="1">
      <formula>$A148="Pump"</formula>
    </cfRule>
    <cfRule type="expression" dxfId="3822" priority="3958" stopIfTrue="1">
      <formula>$A148="Tmdpvol"</formula>
    </cfRule>
    <cfRule type="expression" dxfId="3821" priority="3965" stopIfTrue="1">
      <formula>$A148="Snglvol"</formula>
    </cfRule>
  </conditionalFormatting>
  <conditionalFormatting sqref="B148">
    <cfRule type="expression" dxfId="3820" priority="3942" stopIfTrue="1">
      <formula>$A148="Chkvlv"</formula>
    </cfRule>
    <cfRule type="expression" dxfId="3819" priority="3968" stopIfTrue="1">
      <formula>$A148="Relapnr"</formula>
    </cfRule>
    <cfRule type="expression" dxfId="3818" priority="3973" stopIfTrue="1">
      <formula>$A148="InitGas"</formula>
    </cfRule>
    <cfRule type="expression" dxfId="3817" priority="3979" stopIfTrue="1">
      <formula>$A148="Replacements"</formula>
    </cfRule>
    <cfRule type="expression" dxfId="3816" priority="3983" stopIfTrue="1">
      <formula>$A148="Custom"</formula>
    </cfRule>
    <cfRule type="expression" dxfId="3815" priority="3988" stopIfTrue="1">
      <formula>$A148="Triplog"</formula>
    </cfRule>
  </conditionalFormatting>
  <conditionalFormatting sqref="C148 Q148:S148 L148 F148:G148">
    <cfRule type="expression" dxfId="3814" priority="3943" stopIfTrue="1">
      <formula>$A148="Chkvlv"</formula>
    </cfRule>
  </conditionalFormatting>
  <conditionalFormatting sqref="D148">
    <cfRule type="expression" dxfId="3813" priority="3944" stopIfTrue="1">
      <formula>$A148="Chkvlv"</formula>
    </cfRule>
    <cfRule type="expression" dxfId="3812" priority="3990" stopIfTrue="1">
      <formula>$A148="Triplog"</formula>
    </cfRule>
  </conditionalFormatting>
  <conditionalFormatting sqref="U148">
    <cfRule type="expression" dxfId="3811" priority="3945" stopIfTrue="1">
      <formula>$A148="Chkvlv"</formula>
    </cfRule>
    <cfRule type="expression" dxfId="3810" priority="3963" stopIfTrue="1">
      <formula>$A148="Snglvol"</formula>
    </cfRule>
  </conditionalFormatting>
  <conditionalFormatting sqref="M148">
    <cfRule type="expression" dxfId="3809" priority="3946" stopIfTrue="1">
      <formula>$A148="Chkvlv"</formula>
    </cfRule>
    <cfRule type="expression" dxfId="3808" priority="3964" stopIfTrue="1">
      <formula>$A148="Snglvol"</formula>
    </cfRule>
  </conditionalFormatting>
  <conditionalFormatting sqref="C148">
    <cfRule type="expression" dxfId="3807" priority="3947" stopIfTrue="1">
      <formula>$A148="Inrvlv"</formula>
    </cfRule>
    <cfRule type="expression" dxfId="3806" priority="3971" stopIfTrue="1">
      <formula>$A148="Init"</formula>
    </cfRule>
    <cfRule type="expression" dxfId="3805" priority="3977" stopIfTrue="1">
      <formula>$A148="Timestep"</formula>
    </cfRule>
    <cfRule type="expression" dxfId="3804" priority="3989" stopIfTrue="1">
      <formula>$A148="Triplog"</formula>
    </cfRule>
  </conditionalFormatting>
  <conditionalFormatting sqref="Q148:R148 L148 F148:G148 D148">
    <cfRule type="expression" dxfId="3803" priority="3948" stopIfTrue="1">
      <formula>$A148="Inrvlv"</formula>
    </cfRule>
  </conditionalFormatting>
  <conditionalFormatting sqref="S148">
    <cfRule type="expression" dxfId="3802" priority="3949" stopIfTrue="1">
      <formula>$A148="Inrvlv"</formula>
    </cfRule>
    <cfRule type="expression" dxfId="3801" priority="3953" stopIfTrue="1">
      <formula>$A148="Tmdpjun"</formula>
    </cfRule>
    <cfRule type="expression" dxfId="3800" priority="3956" stopIfTrue="1">
      <formula>$A148="Pump"</formula>
    </cfRule>
    <cfRule type="expression" dxfId="3799" priority="3959" stopIfTrue="1">
      <formula>$A148="Tmdpvol"</formula>
    </cfRule>
    <cfRule type="expression" dxfId="3798" priority="3966" stopIfTrue="1">
      <formula>$A148="Snglvol"</formula>
    </cfRule>
  </conditionalFormatting>
  <conditionalFormatting sqref="Q148 L148 F148:G148 C148:D148">
    <cfRule type="expression" dxfId="3797" priority="3951" stopIfTrue="1">
      <formula>$A148="Tmdpjun"</formula>
    </cfRule>
  </conditionalFormatting>
  <conditionalFormatting sqref="Q148 L148 D148">
    <cfRule type="expression" dxfId="3796" priority="3954" stopIfTrue="1">
      <formula>$A148="Pump"</formula>
    </cfRule>
  </conditionalFormatting>
  <conditionalFormatting sqref="L148:P148 T148 H148:I148 D148">
    <cfRule type="expression" dxfId="3795" priority="3957" stopIfTrue="1">
      <formula>$A148="Tmdpvol"</formula>
    </cfRule>
  </conditionalFormatting>
  <conditionalFormatting sqref="B148">
    <cfRule type="expression" dxfId="3794" priority="3960" stopIfTrue="1">
      <formula>$A148="Snglvol"</formula>
    </cfRule>
    <cfRule type="expression" dxfId="3793" priority="3970" stopIfTrue="1">
      <formula>$A148="Init"</formula>
    </cfRule>
    <cfRule type="expression" dxfId="3792" priority="3976" stopIfTrue="1">
      <formula>$A148="Timestep"</formula>
    </cfRule>
    <cfRule type="expression" dxfId="3791" priority="3981" stopIfTrue="1">
      <formula>$A148="Triggerwords"</formula>
    </cfRule>
    <cfRule type="expression" dxfId="3790" priority="3985" stopIfTrue="1">
      <formula>$A148="Tripvar"</formula>
    </cfRule>
  </conditionalFormatting>
  <conditionalFormatting sqref="T148 N148:Q148 L148 H148:I148 D148">
    <cfRule type="expression" dxfId="3789" priority="3962" stopIfTrue="1">
      <formula>$A148="Snglvol"</formula>
    </cfRule>
  </conditionalFormatting>
  <conditionalFormatting sqref="A148">
    <cfRule type="expression" dxfId="3788" priority="3967" stopIfTrue="1">
      <formula>$A148="Relapnr"</formula>
    </cfRule>
  </conditionalFormatting>
  <conditionalFormatting sqref="A148">
    <cfRule type="expression" dxfId="3787" priority="3969" stopIfTrue="1">
      <formula>$A148="Init"</formula>
    </cfRule>
  </conditionalFormatting>
  <conditionalFormatting sqref="A148">
    <cfRule type="expression" dxfId="3786" priority="3972" stopIfTrue="1">
      <formula>$A148="InitGas"</formula>
    </cfRule>
  </conditionalFormatting>
  <conditionalFormatting sqref="A148 D148">
    <cfRule type="expression" dxfId="3785" priority="3975" stopIfTrue="1">
      <formula>$A148="Timestep"</formula>
    </cfRule>
  </conditionalFormatting>
  <conditionalFormatting sqref="A148">
    <cfRule type="expression" dxfId="3784" priority="3978" stopIfTrue="1">
      <formula>$A148="Replacements"</formula>
    </cfRule>
  </conditionalFormatting>
  <conditionalFormatting sqref="A148">
    <cfRule type="expression" dxfId="3783" priority="3980" stopIfTrue="1">
      <formula>$A148="Triggerwords"</formula>
    </cfRule>
  </conditionalFormatting>
  <conditionalFormatting sqref="A148">
    <cfRule type="expression" dxfId="3782" priority="3982" stopIfTrue="1">
      <formula>$A148="Custom"</formula>
    </cfRule>
  </conditionalFormatting>
  <conditionalFormatting sqref="A148 F148:I148 D148">
    <cfRule type="expression" dxfId="3781" priority="3984" stopIfTrue="1">
      <formula>$A148="Tripvar"</formula>
    </cfRule>
  </conditionalFormatting>
  <conditionalFormatting sqref="A148 F148">
    <cfRule type="expression" dxfId="3780" priority="3987" stopIfTrue="1">
      <formula>$A148="Triplog"</formula>
    </cfRule>
  </conditionalFormatting>
  <conditionalFormatting sqref="E148">
    <cfRule type="expression" dxfId="3779" priority="3909" stopIfTrue="1">
      <formula>$A148="Pipe"</formula>
    </cfRule>
  </conditionalFormatting>
  <conditionalFormatting sqref="E148">
    <cfRule type="expression" dxfId="3778" priority="3910" stopIfTrue="1">
      <formula>$A148="Junction"</formula>
    </cfRule>
  </conditionalFormatting>
  <conditionalFormatting sqref="E148">
    <cfRule type="expression" dxfId="3777" priority="3911" stopIfTrue="1">
      <formula>$A148="Sngljun"</formula>
    </cfRule>
  </conditionalFormatting>
  <conditionalFormatting sqref="E148">
    <cfRule type="expression" dxfId="3776" priority="3912" stopIfTrue="1">
      <formula>$A148="Mtrvlv"</formula>
    </cfRule>
  </conditionalFormatting>
  <conditionalFormatting sqref="E148">
    <cfRule type="expression" dxfId="3775" priority="3913" stopIfTrue="1">
      <formula>$A148="Srvvlv"</formula>
    </cfRule>
  </conditionalFormatting>
  <conditionalFormatting sqref="E148">
    <cfRule type="expression" dxfId="3774" priority="3914" stopIfTrue="1">
      <formula>$A148="Chkvlv"</formula>
    </cfRule>
  </conditionalFormatting>
  <conditionalFormatting sqref="E148">
    <cfRule type="expression" dxfId="3773" priority="3915" stopIfTrue="1">
      <formula>$A148="Inrvlv"</formula>
    </cfRule>
  </conditionalFormatting>
  <conditionalFormatting sqref="E148">
    <cfRule type="expression" dxfId="3772" priority="3916" stopIfTrue="1">
      <formula>$A148="Tmdpjun"</formula>
    </cfRule>
  </conditionalFormatting>
  <conditionalFormatting sqref="E148">
    <cfRule type="expression" dxfId="3771" priority="3917" stopIfTrue="1">
      <formula>$A148="Pump"</formula>
    </cfRule>
  </conditionalFormatting>
  <conditionalFormatting sqref="E148">
    <cfRule type="expression" dxfId="3770" priority="3918" stopIfTrue="1">
      <formula>$A148="Tmdpvol"</formula>
    </cfRule>
  </conditionalFormatting>
  <conditionalFormatting sqref="E148">
    <cfRule type="expression" dxfId="3769" priority="3919" stopIfTrue="1">
      <formula>$A148="Snglvol"</formula>
    </cfRule>
  </conditionalFormatting>
  <conditionalFormatting sqref="E148">
    <cfRule type="expression" dxfId="3768" priority="3920" stopIfTrue="1">
      <formula>$A148="Timestep"</formula>
    </cfRule>
  </conditionalFormatting>
  <conditionalFormatting sqref="E148">
    <cfRule type="expression" dxfId="3767" priority="3921" stopIfTrue="1">
      <formula>$A148="Tripvar"</formula>
    </cfRule>
  </conditionalFormatting>
  <conditionalFormatting sqref="E148">
    <cfRule type="expression" dxfId="3766" priority="3922" stopIfTrue="1">
      <formula>$A148="Triplog"</formula>
    </cfRule>
  </conditionalFormatting>
  <conditionalFormatting sqref="K148">
    <cfRule type="expression" dxfId="3765" priority="3898" stopIfTrue="1">
      <formula>$A148="Pipe"</formula>
    </cfRule>
  </conditionalFormatting>
  <conditionalFormatting sqref="K148">
    <cfRule type="expression" dxfId="3764" priority="3899" stopIfTrue="1">
      <formula>$A148="Junction"</formula>
    </cfRule>
  </conditionalFormatting>
  <conditionalFormatting sqref="K148">
    <cfRule type="expression" dxfId="3763" priority="3900" stopIfTrue="1">
      <formula>$A148="Mtrvlv"</formula>
    </cfRule>
  </conditionalFormatting>
  <conditionalFormatting sqref="K148">
    <cfRule type="expression" dxfId="3762" priority="3901" stopIfTrue="1">
      <formula>$A148="Srvvlv"</formula>
    </cfRule>
  </conditionalFormatting>
  <conditionalFormatting sqref="K148">
    <cfRule type="expression" dxfId="3761" priority="3902" stopIfTrue="1">
      <formula>$A148="Inrvlv"</formula>
    </cfRule>
  </conditionalFormatting>
  <conditionalFormatting sqref="K148">
    <cfRule type="expression" dxfId="3760" priority="3903" stopIfTrue="1">
      <formula>$A148="Tmdpjun"</formula>
    </cfRule>
  </conditionalFormatting>
  <conditionalFormatting sqref="K148">
    <cfRule type="expression" dxfId="3759" priority="3904" stopIfTrue="1">
      <formula>$A148="Pump"</formula>
    </cfRule>
  </conditionalFormatting>
  <conditionalFormatting sqref="K148">
    <cfRule type="expression" dxfId="3758" priority="3905" stopIfTrue="1">
      <formula>$A148="Tmdpvol"</formula>
    </cfRule>
  </conditionalFormatting>
  <conditionalFormatting sqref="K148">
    <cfRule type="expression" dxfId="3757" priority="3906" stopIfTrue="1">
      <formula>$A148="Sngljun"</formula>
    </cfRule>
  </conditionalFormatting>
  <conditionalFormatting sqref="K148">
    <cfRule type="expression" dxfId="3756" priority="3907" stopIfTrue="1">
      <formula>$A148="Chkvlv"</formula>
    </cfRule>
    <cfRule type="expression" dxfId="3755" priority="3908" stopIfTrue="1">
      <formula>$A148="Snglvol"</formula>
    </cfRule>
  </conditionalFormatting>
  <conditionalFormatting sqref="U149:V149 Q149 A149:D149 F149:J149 L149">
    <cfRule type="expression" dxfId="3754" priority="3830" stopIfTrue="1">
      <formula>$A149="Pipe"</formula>
    </cfRule>
  </conditionalFormatting>
  <conditionalFormatting sqref="M149:P149 U149:V149 A149:B149 H149:J149">
    <cfRule type="expression" dxfId="3753" priority="3831" stopIfTrue="1">
      <formula>$A149="Junction"</formula>
    </cfRule>
  </conditionalFormatting>
  <conditionalFormatting sqref="M149:P149 T149:V149 A149:B149 H149:J149">
    <cfRule type="expression" dxfId="3752" priority="3832" stopIfTrue="1">
      <formula>$A149="Mtrvlv"</formula>
    </cfRule>
  </conditionalFormatting>
  <conditionalFormatting sqref="M149:P149 T149:V149 B149 H149:J149">
    <cfRule type="expression" dxfId="3751" priority="3833" stopIfTrue="1">
      <formula>$A149="Srvvlv"</formula>
    </cfRule>
  </conditionalFormatting>
  <conditionalFormatting sqref="V149 T149 N149:P149 A149 H149:J149">
    <cfRule type="expression" dxfId="3750" priority="3834" stopIfTrue="1">
      <formula>$A149="Chkvlv"</formula>
    </cfRule>
  </conditionalFormatting>
  <conditionalFormatting sqref="M149:P149 T149:V149 A149:B149 H149:J149">
    <cfRule type="expression" dxfId="3749" priority="3835" stopIfTrue="1">
      <formula>$A149="Inrvlv"</formula>
    </cfRule>
  </conditionalFormatting>
  <conditionalFormatting sqref="M149:P149 T149:V149 B149 H149:J149">
    <cfRule type="expression" dxfId="3748" priority="3836" stopIfTrue="1">
      <formula>$A149="Tmdpjun"</formula>
    </cfRule>
  </conditionalFormatting>
  <conditionalFormatting sqref="M149:P149 T149:V149 A149:C149 F149:J149">
    <cfRule type="expression" dxfId="3747" priority="3837" stopIfTrue="1">
      <formula>$A149="Pump"</formula>
    </cfRule>
  </conditionalFormatting>
  <conditionalFormatting sqref="U149:V149 Q149 F149:G149 A149:C149 J149">
    <cfRule type="expression" dxfId="3746" priority="3838" stopIfTrue="1">
      <formula>$A149="Tmdpvol"</formula>
    </cfRule>
  </conditionalFormatting>
  <conditionalFormatting sqref="V149 J149 F149:G149 A149">
    <cfRule type="expression" dxfId="3745" priority="3839" stopIfTrue="1">
      <formula>$A149="Snglvol"</formula>
    </cfRule>
  </conditionalFormatting>
  <conditionalFormatting sqref="M149:P149 U149:V149 A149:B149 H149:J149">
    <cfRule type="expression" dxfId="3744" priority="3840" stopIfTrue="1">
      <formula>$A149="Sngljun"</formula>
    </cfRule>
  </conditionalFormatting>
  <conditionalFormatting sqref="M149:P149 R149:T149">
    <cfRule type="expression" dxfId="3743" priority="3841" stopIfTrue="1">
      <formula>$A149="Pipe"</formula>
    </cfRule>
  </conditionalFormatting>
  <conditionalFormatting sqref="C149">
    <cfRule type="expression" dxfId="3742" priority="3842" stopIfTrue="1">
      <formula>$A149="Junction"</formula>
    </cfRule>
    <cfRule type="expression" dxfId="3741" priority="3868" stopIfTrue="1">
      <formula>$A149="Snglvol"</formula>
    </cfRule>
    <cfRule type="expression" dxfId="3740" priority="3881" stopIfTrue="1">
      <formula>$A149="InitGas"</formula>
    </cfRule>
    <cfRule type="expression" dxfId="3739" priority="3893" stopIfTrue="1">
      <formula>$A149="Tripvar"</formula>
    </cfRule>
  </conditionalFormatting>
  <conditionalFormatting sqref="Q149:T149 L149 F149:G149 D149">
    <cfRule type="expression" dxfId="3738" priority="3843" stopIfTrue="1">
      <formula>$A149="Junction"</formula>
    </cfRule>
  </conditionalFormatting>
  <conditionalFormatting sqref="Q149:T149 L149 F149:G149 C149:D149">
    <cfRule type="expression" dxfId="3737" priority="3844" stopIfTrue="1">
      <formula>$A149="Sngljun"</formula>
    </cfRule>
  </conditionalFormatting>
  <conditionalFormatting sqref="Q149:S149 L149 F149:G149 C149:D149">
    <cfRule type="expression" dxfId="3736" priority="3845" stopIfTrue="1">
      <formula>$A149="Mtrvlv"</formula>
    </cfRule>
  </conditionalFormatting>
  <conditionalFormatting sqref="A149">
    <cfRule type="expression" dxfId="3735" priority="3846" stopIfTrue="1">
      <formula>$A149="Srvvlv"</formula>
    </cfRule>
    <cfRule type="expression" dxfId="3734" priority="3857" stopIfTrue="1">
      <formula>$A149="Tmdpjun"</formula>
    </cfRule>
  </conditionalFormatting>
  <conditionalFormatting sqref="S149 Q149 L149 F149:G149 C149:D149">
    <cfRule type="expression" dxfId="3733" priority="3847" stopIfTrue="1">
      <formula>$A149="Srvvlv"</formula>
    </cfRule>
  </conditionalFormatting>
  <conditionalFormatting sqref="R149">
    <cfRule type="expression" dxfId="3732" priority="3848" stopIfTrue="1">
      <formula>$A149="Srvvlv"</formula>
    </cfRule>
    <cfRule type="expression" dxfId="3731" priority="3859" stopIfTrue="1">
      <formula>$A149="Tmdpjun"</formula>
    </cfRule>
    <cfRule type="expression" dxfId="3730" priority="3862" stopIfTrue="1">
      <formula>$A149="Pump"</formula>
    </cfRule>
    <cfRule type="expression" dxfId="3729" priority="3865" stopIfTrue="1">
      <formula>$A149="Tmdpvol"</formula>
    </cfRule>
    <cfRule type="expression" dxfId="3728" priority="3872" stopIfTrue="1">
      <formula>$A149="Snglvol"</formula>
    </cfRule>
  </conditionalFormatting>
  <conditionalFormatting sqref="B149">
    <cfRule type="expression" dxfId="3727" priority="3849" stopIfTrue="1">
      <formula>$A149="Chkvlv"</formula>
    </cfRule>
    <cfRule type="expression" dxfId="3726" priority="3875" stopIfTrue="1">
      <formula>$A149="Relapnr"</formula>
    </cfRule>
    <cfRule type="expression" dxfId="3725" priority="3880" stopIfTrue="1">
      <formula>$A149="InitGas"</formula>
    </cfRule>
    <cfRule type="expression" dxfId="3724" priority="3886" stopIfTrue="1">
      <formula>$A149="Replacements"</formula>
    </cfRule>
    <cfRule type="expression" dxfId="3723" priority="3890" stopIfTrue="1">
      <formula>$A149="Custom"</formula>
    </cfRule>
    <cfRule type="expression" dxfId="3722" priority="3895" stopIfTrue="1">
      <formula>$A149="Triplog"</formula>
    </cfRule>
  </conditionalFormatting>
  <conditionalFormatting sqref="C149 Q149:S149 L149 F149:G149">
    <cfRule type="expression" dxfId="3721" priority="3850" stopIfTrue="1">
      <formula>$A149="Chkvlv"</formula>
    </cfRule>
  </conditionalFormatting>
  <conditionalFormatting sqref="D149">
    <cfRule type="expression" dxfId="3720" priority="3851" stopIfTrue="1">
      <formula>$A149="Chkvlv"</formula>
    </cfRule>
    <cfRule type="expression" dxfId="3719" priority="3897" stopIfTrue="1">
      <formula>$A149="Triplog"</formula>
    </cfRule>
  </conditionalFormatting>
  <conditionalFormatting sqref="U149">
    <cfRule type="expression" dxfId="3718" priority="3852" stopIfTrue="1">
      <formula>$A149="Chkvlv"</formula>
    </cfRule>
    <cfRule type="expression" dxfId="3717" priority="3870" stopIfTrue="1">
      <formula>$A149="Snglvol"</formula>
    </cfRule>
  </conditionalFormatting>
  <conditionalFormatting sqref="M149">
    <cfRule type="expression" dxfId="3716" priority="3853" stopIfTrue="1">
      <formula>$A149="Chkvlv"</formula>
    </cfRule>
    <cfRule type="expression" dxfId="3715" priority="3871" stopIfTrue="1">
      <formula>$A149="Snglvol"</formula>
    </cfRule>
  </conditionalFormatting>
  <conditionalFormatting sqref="C149">
    <cfRule type="expression" dxfId="3714" priority="3854" stopIfTrue="1">
      <formula>$A149="Inrvlv"</formula>
    </cfRule>
    <cfRule type="expression" dxfId="3713" priority="3878" stopIfTrue="1">
      <formula>$A149="Init"</formula>
    </cfRule>
    <cfRule type="expression" dxfId="3712" priority="3884" stopIfTrue="1">
      <formula>$A149="Timestep"</formula>
    </cfRule>
    <cfRule type="expression" dxfId="3711" priority="3896" stopIfTrue="1">
      <formula>$A149="Triplog"</formula>
    </cfRule>
  </conditionalFormatting>
  <conditionalFormatting sqref="Q149:R149 L149 F149:G149 D149">
    <cfRule type="expression" dxfId="3710" priority="3855" stopIfTrue="1">
      <formula>$A149="Inrvlv"</formula>
    </cfRule>
  </conditionalFormatting>
  <conditionalFormatting sqref="S149">
    <cfRule type="expression" dxfId="3709" priority="3856" stopIfTrue="1">
      <formula>$A149="Inrvlv"</formula>
    </cfRule>
    <cfRule type="expression" dxfId="3708" priority="3860" stopIfTrue="1">
      <formula>$A149="Tmdpjun"</formula>
    </cfRule>
    <cfRule type="expression" dxfId="3707" priority="3863" stopIfTrue="1">
      <formula>$A149="Pump"</formula>
    </cfRule>
    <cfRule type="expression" dxfId="3706" priority="3866" stopIfTrue="1">
      <formula>$A149="Tmdpvol"</formula>
    </cfRule>
    <cfRule type="expression" dxfId="3705" priority="3873" stopIfTrue="1">
      <formula>$A149="Snglvol"</formula>
    </cfRule>
  </conditionalFormatting>
  <conditionalFormatting sqref="Q149 L149 F149:G149 C149:D149">
    <cfRule type="expression" dxfId="3704" priority="3858" stopIfTrue="1">
      <formula>$A149="Tmdpjun"</formula>
    </cfRule>
  </conditionalFormatting>
  <conditionalFormatting sqref="Q149 L149 D149">
    <cfRule type="expression" dxfId="3703" priority="3861" stopIfTrue="1">
      <formula>$A149="Pump"</formula>
    </cfRule>
  </conditionalFormatting>
  <conditionalFormatting sqref="L149:P149 T149 H149:I149 D149">
    <cfRule type="expression" dxfId="3702" priority="3864" stopIfTrue="1">
      <formula>$A149="Tmdpvol"</formula>
    </cfRule>
  </conditionalFormatting>
  <conditionalFormatting sqref="B149">
    <cfRule type="expression" dxfId="3701" priority="3867" stopIfTrue="1">
      <formula>$A149="Snglvol"</formula>
    </cfRule>
    <cfRule type="expression" dxfId="3700" priority="3877" stopIfTrue="1">
      <formula>$A149="Init"</formula>
    </cfRule>
    <cfRule type="expression" dxfId="3699" priority="3883" stopIfTrue="1">
      <formula>$A149="Timestep"</formula>
    </cfRule>
    <cfRule type="expression" dxfId="3698" priority="3888" stopIfTrue="1">
      <formula>$A149="Triggerwords"</formula>
    </cfRule>
    <cfRule type="expression" dxfId="3697" priority="3892" stopIfTrue="1">
      <formula>$A149="Tripvar"</formula>
    </cfRule>
  </conditionalFormatting>
  <conditionalFormatting sqref="T149 N149:Q149 L149 H149:I149 D149">
    <cfRule type="expression" dxfId="3696" priority="3869" stopIfTrue="1">
      <formula>$A149="Snglvol"</formula>
    </cfRule>
  </conditionalFormatting>
  <conditionalFormatting sqref="A149">
    <cfRule type="expression" dxfId="3695" priority="3874" stopIfTrue="1">
      <formula>$A149="Relapnr"</formula>
    </cfRule>
  </conditionalFormatting>
  <conditionalFormatting sqref="A149">
    <cfRule type="expression" dxfId="3694" priority="3876" stopIfTrue="1">
      <formula>$A149="Init"</formula>
    </cfRule>
  </conditionalFormatting>
  <conditionalFormatting sqref="A149">
    <cfRule type="expression" dxfId="3693" priority="3879" stopIfTrue="1">
      <formula>$A149="InitGas"</formula>
    </cfRule>
  </conditionalFormatting>
  <conditionalFormatting sqref="A149">
    <cfRule type="expression" dxfId="3692" priority="3885" stopIfTrue="1">
      <formula>$A149="Replacements"</formula>
    </cfRule>
  </conditionalFormatting>
  <conditionalFormatting sqref="A149">
    <cfRule type="expression" dxfId="3691" priority="3887" stopIfTrue="1">
      <formula>$A149="Triggerwords"</formula>
    </cfRule>
  </conditionalFormatting>
  <conditionalFormatting sqref="A149">
    <cfRule type="expression" dxfId="3690" priority="3889" stopIfTrue="1">
      <formula>$A149="Custom"</formula>
    </cfRule>
  </conditionalFormatting>
  <conditionalFormatting sqref="A149 F149:I149 D149">
    <cfRule type="expression" dxfId="3689" priority="3891" stopIfTrue="1">
      <formula>$A149="Tripvar"</formula>
    </cfRule>
  </conditionalFormatting>
  <conditionalFormatting sqref="A149 F149">
    <cfRule type="expression" dxfId="3688" priority="3894" stopIfTrue="1">
      <formula>$A149="Triplog"</formula>
    </cfRule>
  </conditionalFormatting>
  <conditionalFormatting sqref="E149">
    <cfRule type="expression" dxfId="3687" priority="3816" stopIfTrue="1">
      <formula>$A149="Pipe"</formula>
    </cfRule>
  </conditionalFormatting>
  <conditionalFormatting sqref="E149">
    <cfRule type="expression" dxfId="3686" priority="3817" stopIfTrue="1">
      <formula>$A149="Junction"</formula>
    </cfRule>
  </conditionalFormatting>
  <conditionalFormatting sqref="E149">
    <cfRule type="expression" dxfId="3685" priority="3818" stopIfTrue="1">
      <formula>$A149="Sngljun"</formula>
    </cfRule>
  </conditionalFormatting>
  <conditionalFormatting sqref="E149">
    <cfRule type="expression" dxfId="3684" priority="3819" stopIfTrue="1">
      <formula>$A149="Mtrvlv"</formula>
    </cfRule>
  </conditionalFormatting>
  <conditionalFormatting sqref="E149">
    <cfRule type="expression" dxfId="3683" priority="3820" stopIfTrue="1">
      <formula>$A149="Srvvlv"</formula>
    </cfRule>
  </conditionalFormatting>
  <conditionalFormatting sqref="E149">
    <cfRule type="expression" dxfId="3682" priority="3821" stopIfTrue="1">
      <formula>$A149="Chkvlv"</formula>
    </cfRule>
  </conditionalFormatting>
  <conditionalFormatting sqref="E149">
    <cfRule type="expression" dxfId="3681" priority="3822" stopIfTrue="1">
      <formula>$A149="Inrvlv"</formula>
    </cfRule>
  </conditionalFormatting>
  <conditionalFormatting sqref="E149">
    <cfRule type="expression" dxfId="3680" priority="3823" stopIfTrue="1">
      <formula>$A149="Tmdpjun"</formula>
    </cfRule>
  </conditionalFormatting>
  <conditionalFormatting sqref="E149">
    <cfRule type="expression" dxfId="3679" priority="3824" stopIfTrue="1">
      <formula>$A149="Pump"</formula>
    </cfRule>
  </conditionalFormatting>
  <conditionalFormatting sqref="E149">
    <cfRule type="expression" dxfId="3678" priority="3825" stopIfTrue="1">
      <formula>$A149="Tmdpvol"</formula>
    </cfRule>
  </conditionalFormatting>
  <conditionalFormatting sqref="E149">
    <cfRule type="expression" dxfId="3677" priority="3826" stopIfTrue="1">
      <formula>$A149="Snglvol"</formula>
    </cfRule>
  </conditionalFormatting>
  <conditionalFormatting sqref="E149">
    <cfRule type="expression" dxfId="3676" priority="3827" stopIfTrue="1">
      <formula>$A149="Timestep"</formula>
    </cfRule>
  </conditionalFormatting>
  <conditionalFormatting sqref="E149">
    <cfRule type="expression" dxfId="3675" priority="3828" stopIfTrue="1">
      <formula>$A149="Tripvar"</formula>
    </cfRule>
  </conditionalFormatting>
  <conditionalFormatting sqref="E149">
    <cfRule type="expression" dxfId="3674" priority="3829" stopIfTrue="1">
      <formula>$A149="Triplog"</formula>
    </cfRule>
  </conditionalFormatting>
  <conditionalFormatting sqref="K149">
    <cfRule type="expression" dxfId="3673" priority="3805" stopIfTrue="1">
      <formula>$A149="Pipe"</formula>
    </cfRule>
  </conditionalFormatting>
  <conditionalFormatting sqref="K149">
    <cfRule type="expression" dxfId="3672" priority="3806" stopIfTrue="1">
      <formula>$A149="Junction"</formula>
    </cfRule>
  </conditionalFormatting>
  <conditionalFormatting sqref="K149">
    <cfRule type="expression" dxfId="3671" priority="3807" stopIfTrue="1">
      <formula>$A149="Mtrvlv"</formula>
    </cfRule>
  </conditionalFormatting>
  <conditionalFormatting sqref="K149">
    <cfRule type="expression" dxfId="3670" priority="3808" stopIfTrue="1">
      <formula>$A149="Srvvlv"</formula>
    </cfRule>
  </conditionalFormatting>
  <conditionalFormatting sqref="K149">
    <cfRule type="expression" dxfId="3669" priority="3809" stopIfTrue="1">
      <formula>$A149="Inrvlv"</formula>
    </cfRule>
  </conditionalFormatting>
  <conditionalFormatting sqref="K149">
    <cfRule type="expression" dxfId="3668" priority="3810" stopIfTrue="1">
      <formula>$A149="Tmdpjun"</formula>
    </cfRule>
  </conditionalFormatting>
  <conditionalFormatting sqref="K149">
    <cfRule type="expression" dxfId="3667" priority="3811" stopIfTrue="1">
      <formula>$A149="Pump"</formula>
    </cfRule>
  </conditionalFormatting>
  <conditionalFormatting sqref="K149">
    <cfRule type="expression" dxfId="3666" priority="3812" stopIfTrue="1">
      <formula>$A149="Tmdpvol"</formula>
    </cfRule>
  </conditionalFormatting>
  <conditionalFormatting sqref="K149">
    <cfRule type="expression" dxfId="3665" priority="3813" stopIfTrue="1">
      <formula>$A149="Sngljun"</formula>
    </cfRule>
  </conditionalFormatting>
  <conditionalFormatting sqref="K149">
    <cfRule type="expression" dxfId="3664" priority="3814" stopIfTrue="1">
      <formula>$A149="Chkvlv"</formula>
    </cfRule>
    <cfRule type="expression" dxfId="3663" priority="3815" stopIfTrue="1">
      <formula>$A149="Snglvol"</formula>
    </cfRule>
  </conditionalFormatting>
  <conditionalFormatting sqref="U150:V150 Q150 A150:D150 F150:J150 L150">
    <cfRule type="expression" dxfId="3662" priority="3737" stopIfTrue="1">
      <formula>$A150="Pipe"</formula>
    </cfRule>
  </conditionalFormatting>
  <conditionalFormatting sqref="M150:P150 U150:V150 A150:B150 H150:J150">
    <cfRule type="expression" dxfId="3661" priority="3738" stopIfTrue="1">
      <formula>$A150="Junction"</formula>
    </cfRule>
  </conditionalFormatting>
  <conditionalFormatting sqref="M150:P150 T150:V150 A150:B150 H150:J150">
    <cfRule type="expression" dxfId="3660" priority="3739" stopIfTrue="1">
      <formula>$A150="Mtrvlv"</formula>
    </cfRule>
  </conditionalFormatting>
  <conditionalFormatting sqref="M150:P150 T150:V150 B150 H150:J150">
    <cfRule type="expression" dxfId="3659" priority="3740" stopIfTrue="1">
      <formula>$A150="Srvvlv"</formula>
    </cfRule>
  </conditionalFormatting>
  <conditionalFormatting sqref="V150 T150 N150:P150 A150 H150:J150">
    <cfRule type="expression" dxfId="3658" priority="3741" stopIfTrue="1">
      <formula>$A150="Chkvlv"</formula>
    </cfRule>
  </conditionalFormatting>
  <conditionalFormatting sqref="M150:P150 T150:V150 A150:B150 H150:J150">
    <cfRule type="expression" dxfId="3657" priority="3742" stopIfTrue="1">
      <formula>$A150="Inrvlv"</formula>
    </cfRule>
  </conditionalFormatting>
  <conditionalFormatting sqref="M150:P150 T150:V150 B150 H150:J150">
    <cfRule type="expression" dxfId="3656" priority="3743" stopIfTrue="1">
      <formula>$A150="Tmdpjun"</formula>
    </cfRule>
  </conditionalFormatting>
  <conditionalFormatting sqref="M150:P150 T150:V150 A150:C150 F150:J150">
    <cfRule type="expression" dxfId="3655" priority="3744" stopIfTrue="1">
      <formula>$A150="Pump"</formula>
    </cfRule>
  </conditionalFormatting>
  <conditionalFormatting sqref="U150:V150 Q150 F150:G150 A150:C150 J150">
    <cfRule type="expression" dxfId="3654" priority="3745" stopIfTrue="1">
      <formula>$A150="Tmdpvol"</formula>
    </cfRule>
  </conditionalFormatting>
  <conditionalFormatting sqref="V150 J150 F150:G150 A150">
    <cfRule type="expression" dxfId="3653" priority="3746" stopIfTrue="1">
      <formula>$A150="Snglvol"</formula>
    </cfRule>
  </conditionalFormatting>
  <conditionalFormatting sqref="M150:P150 U150:V150 A150:B150 H150:J150">
    <cfRule type="expression" dxfId="3652" priority="3747" stopIfTrue="1">
      <formula>$A150="Sngljun"</formula>
    </cfRule>
  </conditionalFormatting>
  <conditionalFormatting sqref="M150:P150 R150:T150">
    <cfRule type="expression" dxfId="3651" priority="3748" stopIfTrue="1">
      <formula>$A150="Pipe"</formula>
    </cfRule>
  </conditionalFormatting>
  <conditionalFormatting sqref="C150">
    <cfRule type="expression" dxfId="3650" priority="3749" stopIfTrue="1">
      <formula>$A150="Junction"</formula>
    </cfRule>
    <cfRule type="expression" dxfId="3649" priority="3775" stopIfTrue="1">
      <formula>$A150="Snglvol"</formula>
    </cfRule>
    <cfRule type="expression" dxfId="3648" priority="3788" stopIfTrue="1">
      <formula>$A150="InitGas"</formula>
    </cfRule>
    <cfRule type="expression" dxfId="3647" priority="3800" stopIfTrue="1">
      <formula>$A150="Tripvar"</formula>
    </cfRule>
  </conditionalFormatting>
  <conditionalFormatting sqref="Q150:T150 L150 F150:G150 D150">
    <cfRule type="expression" dxfId="3646" priority="3750" stopIfTrue="1">
      <formula>$A150="Junction"</formula>
    </cfRule>
  </conditionalFormatting>
  <conditionalFormatting sqref="Q150:T150 L150 F150:G150 C150:D150">
    <cfRule type="expression" dxfId="3645" priority="3751" stopIfTrue="1">
      <formula>$A150="Sngljun"</formula>
    </cfRule>
  </conditionalFormatting>
  <conditionalFormatting sqref="Q150:S150 L150 F150:G150 C150:D150">
    <cfRule type="expression" dxfId="3644" priority="3752" stopIfTrue="1">
      <formula>$A150="Mtrvlv"</formula>
    </cfRule>
  </conditionalFormatting>
  <conditionalFormatting sqref="A150">
    <cfRule type="expression" dxfId="3643" priority="3753" stopIfTrue="1">
      <formula>$A150="Srvvlv"</formula>
    </cfRule>
    <cfRule type="expression" dxfId="3642" priority="3764" stopIfTrue="1">
      <formula>$A150="Tmdpjun"</formula>
    </cfRule>
  </conditionalFormatting>
  <conditionalFormatting sqref="S150 Q150 L150 F150:G150 C150:D150">
    <cfRule type="expression" dxfId="3641" priority="3754" stopIfTrue="1">
      <formula>$A150="Srvvlv"</formula>
    </cfRule>
  </conditionalFormatting>
  <conditionalFormatting sqref="R150">
    <cfRule type="expression" dxfId="3640" priority="3755" stopIfTrue="1">
      <formula>$A150="Srvvlv"</formula>
    </cfRule>
    <cfRule type="expression" dxfId="3639" priority="3766" stopIfTrue="1">
      <formula>$A150="Tmdpjun"</formula>
    </cfRule>
    <cfRule type="expression" dxfId="3638" priority="3769" stopIfTrue="1">
      <formula>$A150="Pump"</formula>
    </cfRule>
    <cfRule type="expression" dxfId="3637" priority="3772" stopIfTrue="1">
      <formula>$A150="Tmdpvol"</formula>
    </cfRule>
    <cfRule type="expression" dxfId="3636" priority="3779" stopIfTrue="1">
      <formula>$A150="Snglvol"</formula>
    </cfRule>
  </conditionalFormatting>
  <conditionalFormatting sqref="B150">
    <cfRule type="expression" dxfId="3635" priority="3756" stopIfTrue="1">
      <formula>$A150="Chkvlv"</formula>
    </cfRule>
    <cfRule type="expression" dxfId="3634" priority="3782" stopIfTrue="1">
      <formula>$A150="Relapnr"</formula>
    </cfRule>
    <cfRule type="expression" dxfId="3633" priority="3787" stopIfTrue="1">
      <formula>$A150="InitGas"</formula>
    </cfRule>
    <cfRule type="expression" dxfId="3632" priority="3793" stopIfTrue="1">
      <formula>$A150="Replacements"</formula>
    </cfRule>
    <cfRule type="expression" dxfId="3631" priority="3797" stopIfTrue="1">
      <formula>$A150="Custom"</formula>
    </cfRule>
    <cfRule type="expression" dxfId="3630" priority="3802" stopIfTrue="1">
      <formula>$A150="Triplog"</formula>
    </cfRule>
  </conditionalFormatting>
  <conditionalFormatting sqref="C150 Q150:S150 L150 F150:G150">
    <cfRule type="expression" dxfId="3629" priority="3757" stopIfTrue="1">
      <formula>$A150="Chkvlv"</formula>
    </cfRule>
  </conditionalFormatting>
  <conditionalFormatting sqref="D150">
    <cfRule type="expression" dxfId="3628" priority="3758" stopIfTrue="1">
      <formula>$A150="Chkvlv"</formula>
    </cfRule>
    <cfRule type="expression" dxfId="3627" priority="3804" stopIfTrue="1">
      <formula>$A150="Triplog"</formula>
    </cfRule>
  </conditionalFormatting>
  <conditionalFormatting sqref="U150">
    <cfRule type="expression" dxfId="3626" priority="3759" stopIfTrue="1">
      <formula>$A150="Chkvlv"</formula>
    </cfRule>
    <cfRule type="expression" dxfId="3625" priority="3777" stopIfTrue="1">
      <formula>$A150="Snglvol"</formula>
    </cfRule>
  </conditionalFormatting>
  <conditionalFormatting sqref="M150">
    <cfRule type="expression" dxfId="3624" priority="3760" stopIfTrue="1">
      <formula>$A150="Chkvlv"</formula>
    </cfRule>
    <cfRule type="expression" dxfId="3623" priority="3778" stopIfTrue="1">
      <formula>$A150="Snglvol"</formula>
    </cfRule>
  </conditionalFormatting>
  <conditionalFormatting sqref="C150">
    <cfRule type="expression" dxfId="3622" priority="3761" stopIfTrue="1">
      <formula>$A150="Inrvlv"</formula>
    </cfRule>
    <cfRule type="expression" dxfId="3621" priority="3785" stopIfTrue="1">
      <formula>$A150="Init"</formula>
    </cfRule>
    <cfRule type="expression" dxfId="3620" priority="3791" stopIfTrue="1">
      <formula>$A150="Timestep"</formula>
    </cfRule>
    <cfRule type="expression" dxfId="3619" priority="3803" stopIfTrue="1">
      <formula>$A150="Triplog"</formula>
    </cfRule>
  </conditionalFormatting>
  <conditionalFormatting sqref="Q150:R150 L150 F150:G150 D150">
    <cfRule type="expression" dxfId="3618" priority="3762" stopIfTrue="1">
      <formula>$A150="Inrvlv"</formula>
    </cfRule>
  </conditionalFormatting>
  <conditionalFormatting sqref="S150">
    <cfRule type="expression" dxfId="3617" priority="3763" stopIfTrue="1">
      <formula>$A150="Inrvlv"</formula>
    </cfRule>
    <cfRule type="expression" dxfId="3616" priority="3767" stopIfTrue="1">
      <formula>$A150="Tmdpjun"</formula>
    </cfRule>
    <cfRule type="expression" dxfId="3615" priority="3770" stopIfTrue="1">
      <formula>$A150="Pump"</formula>
    </cfRule>
    <cfRule type="expression" dxfId="3614" priority="3773" stopIfTrue="1">
      <formula>$A150="Tmdpvol"</formula>
    </cfRule>
    <cfRule type="expression" dxfId="3613" priority="3780" stopIfTrue="1">
      <formula>$A150="Snglvol"</formula>
    </cfRule>
  </conditionalFormatting>
  <conditionalFormatting sqref="Q150 L150 F150:G150 C150:D150">
    <cfRule type="expression" dxfId="3612" priority="3765" stopIfTrue="1">
      <formula>$A150="Tmdpjun"</formula>
    </cfRule>
  </conditionalFormatting>
  <conditionalFormatting sqref="Q150 L150 D150">
    <cfRule type="expression" dxfId="3611" priority="3768" stopIfTrue="1">
      <formula>$A150="Pump"</formula>
    </cfRule>
  </conditionalFormatting>
  <conditionalFormatting sqref="L150:P150 T150 H150:I150 D150">
    <cfRule type="expression" dxfId="3610" priority="3771" stopIfTrue="1">
      <formula>$A150="Tmdpvol"</formula>
    </cfRule>
  </conditionalFormatting>
  <conditionalFormatting sqref="B150">
    <cfRule type="expression" dxfId="3609" priority="3774" stopIfTrue="1">
      <formula>$A150="Snglvol"</formula>
    </cfRule>
    <cfRule type="expression" dxfId="3608" priority="3784" stopIfTrue="1">
      <formula>$A150="Init"</formula>
    </cfRule>
    <cfRule type="expression" dxfId="3607" priority="3790" stopIfTrue="1">
      <formula>$A150="Timestep"</formula>
    </cfRule>
    <cfRule type="expression" dxfId="3606" priority="3795" stopIfTrue="1">
      <formula>$A150="Triggerwords"</formula>
    </cfRule>
    <cfRule type="expression" dxfId="3605" priority="3799" stopIfTrue="1">
      <formula>$A150="Tripvar"</formula>
    </cfRule>
  </conditionalFormatting>
  <conditionalFormatting sqref="T150 N150:Q150 L150 H150:I150 D150">
    <cfRule type="expression" dxfId="3604" priority="3776" stopIfTrue="1">
      <formula>$A150="Snglvol"</formula>
    </cfRule>
  </conditionalFormatting>
  <conditionalFormatting sqref="A150">
    <cfRule type="expression" dxfId="3603" priority="3781" stopIfTrue="1">
      <formula>$A150="Relapnr"</formula>
    </cfRule>
  </conditionalFormatting>
  <conditionalFormatting sqref="A150">
    <cfRule type="expression" dxfId="3602" priority="3783" stopIfTrue="1">
      <formula>$A150="Init"</formula>
    </cfRule>
  </conditionalFormatting>
  <conditionalFormatting sqref="A150">
    <cfRule type="expression" dxfId="3601" priority="3786" stopIfTrue="1">
      <formula>$A150="InitGas"</formula>
    </cfRule>
  </conditionalFormatting>
  <conditionalFormatting sqref="A150 D150">
    <cfRule type="expression" dxfId="3600" priority="3789" stopIfTrue="1">
      <formula>$A150="Timestep"</formula>
    </cfRule>
  </conditionalFormatting>
  <conditionalFormatting sqref="A150">
    <cfRule type="expression" dxfId="3599" priority="3792" stopIfTrue="1">
      <formula>$A150="Replacements"</formula>
    </cfRule>
  </conditionalFormatting>
  <conditionalFormatting sqref="A150">
    <cfRule type="expression" dxfId="3598" priority="3794" stopIfTrue="1">
      <formula>$A150="Triggerwords"</formula>
    </cfRule>
  </conditionalFormatting>
  <conditionalFormatting sqref="A150">
    <cfRule type="expression" dxfId="3597" priority="3796" stopIfTrue="1">
      <formula>$A150="Custom"</formula>
    </cfRule>
  </conditionalFormatting>
  <conditionalFormatting sqref="A150 F150:I150 D150">
    <cfRule type="expression" dxfId="3596" priority="3798" stopIfTrue="1">
      <formula>$A150="Tripvar"</formula>
    </cfRule>
  </conditionalFormatting>
  <conditionalFormatting sqref="A150 F150">
    <cfRule type="expression" dxfId="3595" priority="3801" stopIfTrue="1">
      <formula>$A150="Triplog"</formula>
    </cfRule>
  </conditionalFormatting>
  <conditionalFormatting sqref="E150">
    <cfRule type="expression" dxfId="3594" priority="3723" stopIfTrue="1">
      <formula>$A150="Pipe"</formula>
    </cfRule>
  </conditionalFormatting>
  <conditionalFormatting sqref="E150">
    <cfRule type="expression" dxfId="3593" priority="3724" stopIfTrue="1">
      <formula>$A150="Junction"</formula>
    </cfRule>
  </conditionalFormatting>
  <conditionalFormatting sqref="E150">
    <cfRule type="expression" dxfId="3592" priority="3725" stopIfTrue="1">
      <formula>$A150="Sngljun"</formula>
    </cfRule>
  </conditionalFormatting>
  <conditionalFormatting sqref="E150">
    <cfRule type="expression" dxfId="3591" priority="3726" stopIfTrue="1">
      <formula>$A150="Mtrvlv"</formula>
    </cfRule>
  </conditionalFormatting>
  <conditionalFormatting sqref="E150">
    <cfRule type="expression" dxfId="3590" priority="3727" stopIfTrue="1">
      <formula>$A150="Srvvlv"</formula>
    </cfRule>
  </conditionalFormatting>
  <conditionalFormatting sqref="E150">
    <cfRule type="expression" dxfId="3589" priority="3728" stopIfTrue="1">
      <formula>$A150="Chkvlv"</formula>
    </cfRule>
  </conditionalFormatting>
  <conditionalFormatting sqref="E150">
    <cfRule type="expression" dxfId="3588" priority="3729" stopIfTrue="1">
      <formula>$A150="Inrvlv"</formula>
    </cfRule>
  </conditionalFormatting>
  <conditionalFormatting sqref="E150">
    <cfRule type="expression" dxfId="3587" priority="3730" stopIfTrue="1">
      <formula>$A150="Tmdpjun"</formula>
    </cfRule>
  </conditionalFormatting>
  <conditionalFormatting sqref="E150">
    <cfRule type="expression" dxfId="3586" priority="3731" stopIfTrue="1">
      <formula>$A150="Pump"</formula>
    </cfRule>
  </conditionalFormatting>
  <conditionalFormatting sqref="E150">
    <cfRule type="expression" dxfId="3585" priority="3732" stopIfTrue="1">
      <formula>$A150="Tmdpvol"</formula>
    </cfRule>
  </conditionalFormatting>
  <conditionalFormatting sqref="E150">
    <cfRule type="expression" dxfId="3584" priority="3733" stopIfTrue="1">
      <formula>$A150="Snglvol"</formula>
    </cfRule>
  </conditionalFormatting>
  <conditionalFormatting sqref="E150">
    <cfRule type="expression" dxfId="3583" priority="3734" stopIfTrue="1">
      <formula>$A150="Timestep"</formula>
    </cfRule>
  </conditionalFormatting>
  <conditionalFormatting sqref="E150">
    <cfRule type="expression" dxfId="3582" priority="3735" stopIfTrue="1">
      <formula>$A150="Tripvar"</formula>
    </cfRule>
  </conditionalFormatting>
  <conditionalFormatting sqref="E150">
    <cfRule type="expression" dxfId="3581" priority="3736" stopIfTrue="1">
      <formula>$A150="Triplog"</formula>
    </cfRule>
  </conditionalFormatting>
  <conditionalFormatting sqref="K150">
    <cfRule type="expression" dxfId="3580" priority="3712" stopIfTrue="1">
      <formula>$A150="Pipe"</formula>
    </cfRule>
  </conditionalFormatting>
  <conditionalFormatting sqref="K150">
    <cfRule type="expression" dxfId="3579" priority="3713" stopIfTrue="1">
      <formula>$A150="Junction"</formula>
    </cfRule>
  </conditionalFormatting>
  <conditionalFormatting sqref="K150">
    <cfRule type="expression" dxfId="3578" priority="3714" stopIfTrue="1">
      <formula>$A150="Mtrvlv"</formula>
    </cfRule>
  </conditionalFormatting>
  <conditionalFormatting sqref="K150">
    <cfRule type="expression" dxfId="3577" priority="3715" stopIfTrue="1">
      <formula>$A150="Srvvlv"</formula>
    </cfRule>
  </conditionalFormatting>
  <conditionalFormatting sqref="K150">
    <cfRule type="expression" dxfId="3576" priority="3716" stopIfTrue="1">
      <formula>$A150="Inrvlv"</formula>
    </cfRule>
  </conditionalFormatting>
  <conditionalFormatting sqref="K150">
    <cfRule type="expression" dxfId="3575" priority="3717" stopIfTrue="1">
      <formula>$A150="Tmdpjun"</formula>
    </cfRule>
  </conditionalFormatting>
  <conditionalFormatting sqref="K150">
    <cfRule type="expression" dxfId="3574" priority="3718" stopIfTrue="1">
      <formula>$A150="Pump"</formula>
    </cfRule>
  </conditionalFormatting>
  <conditionalFormatting sqref="K150">
    <cfRule type="expression" dxfId="3573" priority="3719" stopIfTrue="1">
      <formula>$A150="Tmdpvol"</formula>
    </cfRule>
  </conditionalFormatting>
  <conditionalFormatting sqref="K150">
    <cfRule type="expression" dxfId="3572" priority="3720" stopIfTrue="1">
      <formula>$A150="Sngljun"</formula>
    </cfRule>
  </conditionalFormatting>
  <conditionalFormatting sqref="K150">
    <cfRule type="expression" dxfId="3571" priority="3721" stopIfTrue="1">
      <formula>$A150="Chkvlv"</formula>
    </cfRule>
    <cfRule type="expression" dxfId="3570" priority="3722" stopIfTrue="1">
      <formula>$A150="Snglvol"</formula>
    </cfRule>
  </conditionalFormatting>
  <conditionalFormatting sqref="E159">
    <cfRule type="expression" dxfId="3569" priority="3698" stopIfTrue="1">
      <formula>$A159="Pipe"</formula>
    </cfRule>
  </conditionalFormatting>
  <conditionalFormatting sqref="E159">
    <cfRule type="expression" dxfId="3568" priority="3699" stopIfTrue="1">
      <formula>$A159="Junction"</formula>
    </cfRule>
  </conditionalFormatting>
  <conditionalFormatting sqref="E159">
    <cfRule type="expression" dxfId="3567" priority="3700" stopIfTrue="1">
      <formula>$A159="Sngljun"</formula>
    </cfRule>
  </conditionalFormatting>
  <conditionalFormatting sqref="E159">
    <cfRule type="expression" dxfId="3566" priority="3701" stopIfTrue="1">
      <formula>$A159="Mtrvlv"</formula>
    </cfRule>
  </conditionalFormatting>
  <conditionalFormatting sqref="E159">
    <cfRule type="expression" dxfId="3565" priority="3702" stopIfTrue="1">
      <formula>$A159="Srvvlv"</formula>
    </cfRule>
  </conditionalFormatting>
  <conditionalFormatting sqref="E159">
    <cfRule type="expression" dxfId="3564" priority="3703" stopIfTrue="1">
      <formula>$A159="Chkvlv"</formula>
    </cfRule>
  </conditionalFormatting>
  <conditionalFormatting sqref="E159">
    <cfRule type="expression" dxfId="3563" priority="3704" stopIfTrue="1">
      <formula>$A159="Inrvlv"</formula>
    </cfRule>
  </conditionalFormatting>
  <conditionalFormatting sqref="E159">
    <cfRule type="expression" dxfId="3562" priority="3705" stopIfTrue="1">
      <formula>$A159="Tmdpjun"</formula>
    </cfRule>
  </conditionalFormatting>
  <conditionalFormatting sqref="E159">
    <cfRule type="expression" dxfId="3561" priority="3706" stopIfTrue="1">
      <formula>$A159="Pump"</formula>
    </cfRule>
  </conditionalFormatting>
  <conditionalFormatting sqref="E159">
    <cfRule type="expression" dxfId="3560" priority="3707" stopIfTrue="1">
      <formula>$A159="Tmdpvol"</formula>
    </cfRule>
  </conditionalFormatting>
  <conditionalFormatting sqref="E159">
    <cfRule type="expression" dxfId="3559" priority="3708" stopIfTrue="1">
      <formula>$A159="Snglvol"</formula>
    </cfRule>
  </conditionalFormatting>
  <conditionalFormatting sqref="E159">
    <cfRule type="expression" dxfId="3558" priority="3709" stopIfTrue="1">
      <formula>$A159="Timestep"</formula>
    </cfRule>
  </conditionalFormatting>
  <conditionalFormatting sqref="E159">
    <cfRule type="expression" dxfId="3557" priority="3710" stopIfTrue="1">
      <formula>$A159="Tripvar"</formula>
    </cfRule>
  </conditionalFormatting>
  <conditionalFormatting sqref="E159">
    <cfRule type="expression" dxfId="3556" priority="3711" stopIfTrue="1">
      <formula>$A159="Triplog"</formula>
    </cfRule>
  </conditionalFormatting>
  <conditionalFormatting sqref="U160:V160 Q160 A160:D160 F160:L160">
    <cfRule type="expression" dxfId="3555" priority="3630" stopIfTrue="1">
      <formula>$A160="Pipe"</formula>
    </cfRule>
  </conditionalFormatting>
  <conditionalFormatting sqref="M160:P160 U160:V160 A160:B160 H160:K160">
    <cfRule type="expression" dxfId="3554" priority="3631" stopIfTrue="1">
      <formula>$A160="Junction"</formula>
    </cfRule>
  </conditionalFormatting>
  <conditionalFormatting sqref="M160:P160 T160:V160 A160:B160 H160:K160">
    <cfRule type="expression" dxfId="3553" priority="3632" stopIfTrue="1">
      <formula>$A160="Mtrvlv"</formula>
    </cfRule>
  </conditionalFormatting>
  <conditionalFormatting sqref="M160:P160 T160:V160 B160 H160:K160">
    <cfRule type="expression" dxfId="3552" priority="3633" stopIfTrue="1">
      <formula>$A160="Srvvlv"</formula>
    </cfRule>
  </conditionalFormatting>
  <conditionalFormatting sqref="V160 T160 N160:P160 A160 H160:J160">
    <cfRule type="expression" dxfId="3551" priority="3634" stopIfTrue="1">
      <formula>$A160="Chkvlv"</formula>
    </cfRule>
  </conditionalFormatting>
  <conditionalFormatting sqref="M160:P160 T160:V160 A160:B160 H160:K160">
    <cfRule type="expression" dxfId="3550" priority="3635" stopIfTrue="1">
      <formula>$A160="Inrvlv"</formula>
    </cfRule>
  </conditionalFormatting>
  <conditionalFormatting sqref="M160:P160 T160:V160 B160 H160:K160">
    <cfRule type="expression" dxfId="3549" priority="3636" stopIfTrue="1">
      <formula>$A160="Tmdpjun"</formula>
    </cfRule>
  </conditionalFormatting>
  <conditionalFormatting sqref="M160:P160 T160:V160 A160:C160 F160:K160">
    <cfRule type="expression" dxfId="3548" priority="3637" stopIfTrue="1">
      <formula>$A160="Pump"</formula>
    </cfRule>
  </conditionalFormatting>
  <conditionalFormatting sqref="U160:V160 Q160 J160:K160 F160:G160 A160:C160">
    <cfRule type="expression" dxfId="3547" priority="3638" stopIfTrue="1">
      <formula>$A160="Tmdpvol"</formula>
    </cfRule>
  </conditionalFormatting>
  <conditionalFormatting sqref="V160 J160 F160:G160 A160">
    <cfRule type="expression" dxfId="3546" priority="3639" stopIfTrue="1">
      <formula>$A160="Snglvol"</formula>
    </cfRule>
  </conditionalFormatting>
  <conditionalFormatting sqref="M160:P160 U160:V160 A160:B160 H160:K160">
    <cfRule type="expression" dxfId="3545" priority="3640" stopIfTrue="1">
      <formula>$A160="Sngljun"</formula>
    </cfRule>
  </conditionalFormatting>
  <conditionalFormatting sqref="M160:P160 R160:T160">
    <cfRule type="expression" dxfId="3544" priority="3641" stopIfTrue="1">
      <formula>$A160="Pipe"</formula>
    </cfRule>
  </conditionalFormatting>
  <conditionalFormatting sqref="C160">
    <cfRule type="expression" dxfId="3543" priority="3642" stopIfTrue="1">
      <formula>$A160="Junction"</formula>
    </cfRule>
    <cfRule type="expression" dxfId="3542" priority="3668" stopIfTrue="1">
      <formula>$A160="Snglvol"</formula>
    </cfRule>
    <cfRule type="expression" dxfId="3541" priority="3681" stopIfTrue="1">
      <formula>$A160="InitGas"</formula>
    </cfRule>
    <cfRule type="expression" dxfId="3540" priority="3693" stopIfTrue="1">
      <formula>$A160="Tripvar"</formula>
    </cfRule>
  </conditionalFormatting>
  <conditionalFormatting sqref="Q160:T160 L160 F160:G160 D160">
    <cfRule type="expression" dxfId="3539" priority="3643" stopIfTrue="1">
      <formula>$A160="Junction"</formula>
    </cfRule>
  </conditionalFormatting>
  <conditionalFormatting sqref="Q160:T160 L160 F160:G160 C160:D160">
    <cfRule type="expression" dxfId="3538" priority="3644" stopIfTrue="1">
      <formula>$A160="Sngljun"</formula>
    </cfRule>
  </conditionalFormatting>
  <conditionalFormatting sqref="Q160:S160 L160 F160:G160 C160:D160">
    <cfRule type="expression" dxfId="3537" priority="3645" stopIfTrue="1">
      <formula>$A160="Mtrvlv"</formula>
    </cfRule>
  </conditionalFormatting>
  <conditionalFormatting sqref="A160">
    <cfRule type="expression" dxfId="3536" priority="3646" stopIfTrue="1">
      <formula>$A160="Srvvlv"</formula>
    </cfRule>
    <cfRule type="expression" dxfId="3535" priority="3657" stopIfTrue="1">
      <formula>$A160="Tmdpjun"</formula>
    </cfRule>
  </conditionalFormatting>
  <conditionalFormatting sqref="S160 Q160 L160 F160:G160 C160:D160">
    <cfRule type="expression" dxfId="3534" priority="3647" stopIfTrue="1">
      <formula>$A160="Srvvlv"</formula>
    </cfRule>
  </conditionalFormatting>
  <conditionalFormatting sqref="R160">
    <cfRule type="expression" dxfId="3533" priority="3648" stopIfTrue="1">
      <formula>$A160="Srvvlv"</formula>
    </cfRule>
    <cfRule type="expression" dxfId="3532" priority="3659" stopIfTrue="1">
      <formula>$A160="Tmdpjun"</formula>
    </cfRule>
    <cfRule type="expression" dxfId="3531" priority="3662" stopIfTrue="1">
      <formula>$A160="Pump"</formula>
    </cfRule>
    <cfRule type="expression" dxfId="3530" priority="3665" stopIfTrue="1">
      <formula>$A160="Tmdpvol"</formula>
    </cfRule>
    <cfRule type="expression" dxfId="3529" priority="3672" stopIfTrue="1">
      <formula>$A160="Snglvol"</formula>
    </cfRule>
  </conditionalFormatting>
  <conditionalFormatting sqref="B160">
    <cfRule type="expression" dxfId="3528" priority="3649" stopIfTrue="1">
      <formula>$A160="Chkvlv"</formula>
    </cfRule>
    <cfRule type="expression" dxfId="3527" priority="3675" stopIfTrue="1">
      <formula>$A160="Relapnr"</formula>
    </cfRule>
    <cfRule type="expression" dxfId="3526" priority="3680" stopIfTrue="1">
      <formula>$A160="InitGas"</formula>
    </cfRule>
    <cfRule type="expression" dxfId="3525" priority="3686" stopIfTrue="1">
      <formula>$A160="Replacements"</formula>
    </cfRule>
    <cfRule type="expression" dxfId="3524" priority="3690" stopIfTrue="1">
      <formula>$A160="Custom"</formula>
    </cfRule>
    <cfRule type="expression" dxfId="3523" priority="3695" stopIfTrue="1">
      <formula>$A160="Triplog"</formula>
    </cfRule>
  </conditionalFormatting>
  <conditionalFormatting sqref="C160 Q160:S160 L160 F160:G160">
    <cfRule type="expression" dxfId="3522" priority="3650" stopIfTrue="1">
      <formula>$A160="Chkvlv"</formula>
    </cfRule>
  </conditionalFormatting>
  <conditionalFormatting sqref="D160">
    <cfRule type="expression" dxfId="3521" priority="3651" stopIfTrue="1">
      <formula>$A160="Chkvlv"</formula>
    </cfRule>
    <cfRule type="expression" dxfId="3520" priority="3697" stopIfTrue="1">
      <formula>$A160="Triplog"</formula>
    </cfRule>
  </conditionalFormatting>
  <conditionalFormatting sqref="U160 K160">
    <cfRule type="expression" dxfId="3519" priority="3652" stopIfTrue="1">
      <formula>$A160="Chkvlv"</formula>
    </cfRule>
    <cfRule type="expression" dxfId="3518" priority="3670" stopIfTrue="1">
      <formula>$A160="Snglvol"</formula>
    </cfRule>
  </conditionalFormatting>
  <conditionalFormatting sqref="M160">
    <cfRule type="expression" dxfId="3517" priority="3653" stopIfTrue="1">
      <formula>$A160="Chkvlv"</formula>
    </cfRule>
    <cfRule type="expression" dxfId="3516" priority="3671" stopIfTrue="1">
      <formula>$A160="Snglvol"</formula>
    </cfRule>
  </conditionalFormatting>
  <conditionalFormatting sqref="C160">
    <cfRule type="expression" dxfId="3515" priority="3654" stopIfTrue="1">
      <formula>$A160="Inrvlv"</formula>
    </cfRule>
    <cfRule type="expression" dxfId="3514" priority="3678" stopIfTrue="1">
      <formula>$A160="Init"</formula>
    </cfRule>
    <cfRule type="expression" dxfId="3513" priority="3684" stopIfTrue="1">
      <formula>$A160="Timestep"</formula>
    </cfRule>
    <cfRule type="expression" dxfId="3512" priority="3696" stopIfTrue="1">
      <formula>$A160="Triplog"</formula>
    </cfRule>
  </conditionalFormatting>
  <conditionalFormatting sqref="Q160:R160 L160 F160:G160 D160">
    <cfRule type="expression" dxfId="3511" priority="3655" stopIfTrue="1">
      <formula>$A160="Inrvlv"</formula>
    </cfRule>
  </conditionalFormatting>
  <conditionalFormatting sqref="S160">
    <cfRule type="expression" dxfId="3510" priority="3656" stopIfTrue="1">
      <formula>$A160="Inrvlv"</formula>
    </cfRule>
    <cfRule type="expression" dxfId="3509" priority="3660" stopIfTrue="1">
      <formula>$A160="Tmdpjun"</formula>
    </cfRule>
    <cfRule type="expression" dxfId="3508" priority="3663" stopIfTrue="1">
      <formula>$A160="Pump"</formula>
    </cfRule>
    <cfRule type="expression" dxfId="3507" priority="3666" stopIfTrue="1">
      <formula>$A160="Tmdpvol"</formula>
    </cfRule>
    <cfRule type="expression" dxfId="3506" priority="3673" stopIfTrue="1">
      <formula>$A160="Snglvol"</formula>
    </cfRule>
  </conditionalFormatting>
  <conditionalFormatting sqref="Q160 L160 F160:G160 C160:D160">
    <cfRule type="expression" dxfId="3505" priority="3658" stopIfTrue="1">
      <formula>$A160="Tmdpjun"</formula>
    </cfRule>
  </conditionalFormatting>
  <conditionalFormatting sqref="Q160 L160 D160">
    <cfRule type="expression" dxfId="3504" priority="3661" stopIfTrue="1">
      <formula>$A160="Pump"</formula>
    </cfRule>
  </conditionalFormatting>
  <conditionalFormatting sqref="L160:P160 T160 H160:I160 D160">
    <cfRule type="expression" dxfId="3503" priority="3664" stopIfTrue="1">
      <formula>$A160="Tmdpvol"</formula>
    </cfRule>
  </conditionalFormatting>
  <conditionalFormatting sqref="B160">
    <cfRule type="expression" dxfId="3502" priority="3667" stopIfTrue="1">
      <formula>$A160="Snglvol"</formula>
    </cfRule>
    <cfRule type="expression" dxfId="3501" priority="3677" stopIfTrue="1">
      <formula>$A160="Init"</formula>
    </cfRule>
    <cfRule type="expression" dxfId="3500" priority="3683" stopIfTrue="1">
      <formula>$A160="Timestep"</formula>
    </cfRule>
    <cfRule type="expression" dxfId="3499" priority="3688" stopIfTrue="1">
      <formula>$A160="Triggerwords"</formula>
    </cfRule>
    <cfRule type="expression" dxfId="3498" priority="3692" stopIfTrue="1">
      <formula>$A160="Tripvar"</formula>
    </cfRule>
  </conditionalFormatting>
  <conditionalFormatting sqref="T160 N160:Q160 L160 H160:I160 D160">
    <cfRule type="expression" dxfId="3497" priority="3669" stopIfTrue="1">
      <formula>$A160="Snglvol"</formula>
    </cfRule>
  </conditionalFormatting>
  <conditionalFormatting sqref="A160">
    <cfRule type="expression" dxfId="3496" priority="3674" stopIfTrue="1">
      <formula>$A160="Relapnr"</formula>
    </cfRule>
  </conditionalFormatting>
  <conditionalFormatting sqref="A160">
    <cfRule type="expression" dxfId="3495" priority="3676" stopIfTrue="1">
      <formula>$A160="Init"</formula>
    </cfRule>
  </conditionalFormatting>
  <conditionalFormatting sqref="A160">
    <cfRule type="expression" dxfId="3494" priority="3679" stopIfTrue="1">
      <formula>$A160="InitGas"</formula>
    </cfRule>
  </conditionalFormatting>
  <conditionalFormatting sqref="A160 D160">
    <cfRule type="expression" dxfId="3493" priority="3682" stopIfTrue="1">
      <formula>$A160="Timestep"</formula>
    </cfRule>
  </conditionalFormatting>
  <conditionalFormatting sqref="A160">
    <cfRule type="expression" dxfId="3492" priority="3685" stopIfTrue="1">
      <formula>$A160="Replacements"</formula>
    </cfRule>
  </conditionalFormatting>
  <conditionalFormatting sqref="A160">
    <cfRule type="expression" dxfId="3491" priority="3687" stopIfTrue="1">
      <formula>$A160="Triggerwords"</formula>
    </cfRule>
  </conditionalFormatting>
  <conditionalFormatting sqref="A160">
    <cfRule type="expression" dxfId="3490" priority="3689" stopIfTrue="1">
      <formula>$A160="Custom"</formula>
    </cfRule>
  </conditionalFormatting>
  <conditionalFormatting sqref="A160 F160:I160 D160">
    <cfRule type="expression" dxfId="3489" priority="3691" stopIfTrue="1">
      <formula>$A160="Tripvar"</formula>
    </cfRule>
  </conditionalFormatting>
  <conditionalFormatting sqref="A160 F160">
    <cfRule type="expression" dxfId="3488" priority="3694" stopIfTrue="1">
      <formula>$A160="Triplog"</formula>
    </cfRule>
  </conditionalFormatting>
  <conditionalFormatting sqref="E160">
    <cfRule type="expression" dxfId="3487" priority="3616" stopIfTrue="1">
      <formula>$A160="Pipe"</formula>
    </cfRule>
  </conditionalFormatting>
  <conditionalFormatting sqref="E160">
    <cfRule type="expression" dxfId="3486" priority="3617" stopIfTrue="1">
      <formula>$A160="Junction"</formula>
    </cfRule>
  </conditionalFormatting>
  <conditionalFormatting sqref="E160">
    <cfRule type="expression" dxfId="3485" priority="3618" stopIfTrue="1">
      <formula>$A160="Sngljun"</formula>
    </cfRule>
  </conditionalFormatting>
  <conditionalFormatting sqref="E160">
    <cfRule type="expression" dxfId="3484" priority="3619" stopIfTrue="1">
      <formula>$A160="Mtrvlv"</formula>
    </cfRule>
  </conditionalFormatting>
  <conditionalFormatting sqref="E160">
    <cfRule type="expression" dxfId="3483" priority="3620" stopIfTrue="1">
      <formula>$A160="Srvvlv"</formula>
    </cfRule>
  </conditionalFormatting>
  <conditionalFormatting sqref="E160">
    <cfRule type="expression" dxfId="3482" priority="3621" stopIfTrue="1">
      <formula>$A160="Chkvlv"</formula>
    </cfRule>
  </conditionalFormatting>
  <conditionalFormatting sqref="E160">
    <cfRule type="expression" dxfId="3481" priority="3622" stopIfTrue="1">
      <formula>$A160="Inrvlv"</formula>
    </cfRule>
  </conditionalFormatting>
  <conditionalFormatting sqref="E160">
    <cfRule type="expression" dxfId="3480" priority="3623" stopIfTrue="1">
      <formula>$A160="Tmdpjun"</formula>
    </cfRule>
  </conditionalFormatting>
  <conditionalFormatting sqref="E160">
    <cfRule type="expression" dxfId="3479" priority="3624" stopIfTrue="1">
      <formula>$A160="Pump"</formula>
    </cfRule>
  </conditionalFormatting>
  <conditionalFormatting sqref="E160">
    <cfRule type="expression" dxfId="3478" priority="3625" stopIfTrue="1">
      <formula>$A160="Tmdpvol"</formula>
    </cfRule>
  </conditionalFormatting>
  <conditionalFormatting sqref="E160">
    <cfRule type="expression" dxfId="3477" priority="3626" stopIfTrue="1">
      <formula>$A160="Snglvol"</formula>
    </cfRule>
  </conditionalFormatting>
  <conditionalFormatting sqref="E160">
    <cfRule type="expression" dxfId="3476" priority="3627" stopIfTrue="1">
      <formula>$A160="Timestep"</formula>
    </cfRule>
  </conditionalFormatting>
  <conditionalFormatting sqref="E160">
    <cfRule type="expression" dxfId="3475" priority="3628" stopIfTrue="1">
      <formula>$A160="Tripvar"</formula>
    </cfRule>
  </conditionalFormatting>
  <conditionalFormatting sqref="E160">
    <cfRule type="expression" dxfId="3474" priority="3629" stopIfTrue="1">
      <formula>$A160="Triplog"</formula>
    </cfRule>
  </conditionalFormatting>
  <conditionalFormatting sqref="U161:V161 Q161 A161:D161 F161:L161">
    <cfRule type="expression" dxfId="3473" priority="3548" stopIfTrue="1">
      <formula>$A161="Pipe"</formula>
    </cfRule>
  </conditionalFormatting>
  <conditionalFormatting sqref="M161:P161 U161:V161 A161:B161 H161:K161">
    <cfRule type="expression" dxfId="3472" priority="3549" stopIfTrue="1">
      <formula>$A161="Junction"</formula>
    </cfRule>
  </conditionalFormatting>
  <conditionalFormatting sqref="M161:P161 T161:V161 A161:B161 H161:K161">
    <cfRule type="expression" dxfId="3471" priority="3550" stopIfTrue="1">
      <formula>$A161="Mtrvlv"</formula>
    </cfRule>
  </conditionalFormatting>
  <conditionalFormatting sqref="M161:P161 T161:V161 B161 H161:K161">
    <cfRule type="expression" dxfId="3470" priority="3551" stopIfTrue="1">
      <formula>$A161="Srvvlv"</formula>
    </cfRule>
  </conditionalFormatting>
  <conditionalFormatting sqref="V161 T161 N161:P161 A161 H161:J161">
    <cfRule type="expression" dxfId="3469" priority="3552" stopIfTrue="1">
      <formula>$A161="Chkvlv"</formula>
    </cfRule>
  </conditionalFormatting>
  <conditionalFormatting sqref="M161:P161 T161:V161 A161:B161 H161:K161">
    <cfRule type="expression" dxfId="3468" priority="3553" stopIfTrue="1">
      <formula>$A161="Inrvlv"</formula>
    </cfRule>
  </conditionalFormatting>
  <conditionalFormatting sqref="M161:P161 T161:V161 B161 H161:K161">
    <cfRule type="expression" dxfId="3467" priority="3554" stopIfTrue="1">
      <formula>$A161="Tmdpjun"</formula>
    </cfRule>
  </conditionalFormatting>
  <conditionalFormatting sqref="M161:P161 T161:V161 A161:C161 F161:K161">
    <cfRule type="expression" dxfId="3466" priority="3555" stopIfTrue="1">
      <formula>$A161="Pump"</formula>
    </cfRule>
  </conditionalFormatting>
  <conditionalFormatting sqref="U161:V161 Q161 J161:K161 F161:G161 A161:C161">
    <cfRule type="expression" dxfId="3465" priority="3556" stopIfTrue="1">
      <formula>$A161="Tmdpvol"</formula>
    </cfRule>
  </conditionalFormatting>
  <conditionalFormatting sqref="V161 J161 F161:G161 A161">
    <cfRule type="expression" dxfId="3464" priority="3557" stopIfTrue="1">
      <formula>$A161="Snglvol"</formula>
    </cfRule>
  </conditionalFormatting>
  <conditionalFormatting sqref="M161:P161 U161:V161 A161:B161 H161:K161">
    <cfRule type="expression" dxfId="3463" priority="3558" stopIfTrue="1">
      <formula>$A161="Sngljun"</formula>
    </cfRule>
  </conditionalFormatting>
  <conditionalFormatting sqref="M161:P161 R161:T161">
    <cfRule type="expression" dxfId="3462" priority="3559" stopIfTrue="1">
      <formula>$A161="Pipe"</formula>
    </cfRule>
  </conditionalFormatting>
  <conditionalFormatting sqref="C161">
    <cfRule type="expression" dxfId="3461" priority="3560" stopIfTrue="1">
      <formula>$A161="Junction"</formula>
    </cfRule>
    <cfRule type="expression" dxfId="3460" priority="3586" stopIfTrue="1">
      <formula>$A161="Snglvol"</formula>
    </cfRule>
    <cfRule type="expression" dxfId="3459" priority="3599" stopIfTrue="1">
      <formula>$A161="InitGas"</formula>
    </cfRule>
    <cfRule type="expression" dxfId="3458" priority="3611" stopIfTrue="1">
      <formula>$A161="Tripvar"</formula>
    </cfRule>
  </conditionalFormatting>
  <conditionalFormatting sqref="Q161:T161 L161 F161:G161 D161">
    <cfRule type="expression" dxfId="3457" priority="3561" stopIfTrue="1">
      <formula>$A161="Junction"</formula>
    </cfRule>
  </conditionalFormatting>
  <conditionalFormatting sqref="Q161:T161 L161 F161:G161 C161:D161">
    <cfRule type="expression" dxfId="3456" priority="3562" stopIfTrue="1">
      <formula>$A161="Sngljun"</formula>
    </cfRule>
  </conditionalFormatting>
  <conditionalFormatting sqref="Q161:S161 L161 F161:G161 C161:D161">
    <cfRule type="expression" dxfId="3455" priority="3563" stopIfTrue="1">
      <formula>$A161="Mtrvlv"</formula>
    </cfRule>
  </conditionalFormatting>
  <conditionalFormatting sqref="A161">
    <cfRule type="expression" dxfId="3454" priority="3564" stopIfTrue="1">
      <formula>$A161="Srvvlv"</formula>
    </cfRule>
    <cfRule type="expression" dxfId="3453" priority="3575" stopIfTrue="1">
      <formula>$A161="Tmdpjun"</formula>
    </cfRule>
  </conditionalFormatting>
  <conditionalFormatting sqref="S161 Q161 L161 F161:G161 C161:D161">
    <cfRule type="expression" dxfId="3452" priority="3565" stopIfTrue="1">
      <formula>$A161="Srvvlv"</formula>
    </cfRule>
  </conditionalFormatting>
  <conditionalFormatting sqref="R161">
    <cfRule type="expression" dxfId="3451" priority="3566" stopIfTrue="1">
      <formula>$A161="Srvvlv"</formula>
    </cfRule>
    <cfRule type="expression" dxfId="3450" priority="3577" stopIfTrue="1">
      <formula>$A161="Tmdpjun"</formula>
    </cfRule>
    <cfRule type="expression" dxfId="3449" priority="3580" stopIfTrue="1">
      <formula>$A161="Pump"</formula>
    </cfRule>
    <cfRule type="expression" dxfId="3448" priority="3583" stopIfTrue="1">
      <formula>$A161="Tmdpvol"</formula>
    </cfRule>
    <cfRule type="expression" dxfId="3447" priority="3590" stopIfTrue="1">
      <formula>$A161="Snglvol"</formula>
    </cfRule>
  </conditionalFormatting>
  <conditionalFormatting sqref="B161">
    <cfRule type="expression" dxfId="3446" priority="3567" stopIfTrue="1">
      <formula>$A161="Chkvlv"</formula>
    </cfRule>
    <cfRule type="expression" dxfId="3445" priority="3593" stopIfTrue="1">
      <formula>$A161="Relapnr"</formula>
    </cfRule>
    <cfRule type="expression" dxfId="3444" priority="3598" stopIfTrue="1">
      <formula>$A161="InitGas"</formula>
    </cfRule>
    <cfRule type="expression" dxfId="3443" priority="3604" stopIfTrue="1">
      <formula>$A161="Replacements"</formula>
    </cfRule>
    <cfRule type="expression" dxfId="3442" priority="3608" stopIfTrue="1">
      <formula>$A161="Custom"</formula>
    </cfRule>
    <cfRule type="expression" dxfId="3441" priority="3613" stopIfTrue="1">
      <formula>$A161="Triplog"</formula>
    </cfRule>
  </conditionalFormatting>
  <conditionalFormatting sqref="C161 Q161:S161 L161 F161:G161">
    <cfRule type="expression" dxfId="3440" priority="3568" stopIfTrue="1">
      <formula>$A161="Chkvlv"</formula>
    </cfRule>
  </conditionalFormatting>
  <conditionalFormatting sqref="D161">
    <cfRule type="expression" dxfId="3439" priority="3569" stopIfTrue="1">
      <formula>$A161="Chkvlv"</formula>
    </cfRule>
    <cfRule type="expression" dxfId="3438" priority="3615" stopIfTrue="1">
      <formula>$A161="Triplog"</formula>
    </cfRule>
  </conditionalFormatting>
  <conditionalFormatting sqref="U161 K161">
    <cfRule type="expression" dxfId="3437" priority="3570" stopIfTrue="1">
      <formula>$A161="Chkvlv"</formula>
    </cfRule>
    <cfRule type="expression" dxfId="3436" priority="3588" stopIfTrue="1">
      <formula>$A161="Snglvol"</formula>
    </cfRule>
  </conditionalFormatting>
  <conditionalFormatting sqref="M161">
    <cfRule type="expression" dxfId="3435" priority="3571" stopIfTrue="1">
      <formula>$A161="Chkvlv"</formula>
    </cfRule>
    <cfRule type="expression" dxfId="3434" priority="3589" stopIfTrue="1">
      <formula>$A161="Snglvol"</formula>
    </cfRule>
  </conditionalFormatting>
  <conditionalFormatting sqref="C161">
    <cfRule type="expression" dxfId="3433" priority="3572" stopIfTrue="1">
      <formula>$A161="Inrvlv"</formula>
    </cfRule>
    <cfRule type="expression" dxfId="3432" priority="3596" stopIfTrue="1">
      <formula>$A161="Init"</formula>
    </cfRule>
    <cfRule type="expression" dxfId="3431" priority="3602" stopIfTrue="1">
      <formula>$A161="Timestep"</formula>
    </cfRule>
    <cfRule type="expression" dxfId="3430" priority="3614" stopIfTrue="1">
      <formula>$A161="Triplog"</formula>
    </cfRule>
  </conditionalFormatting>
  <conditionalFormatting sqref="Q161:R161 L161 F161:G161 D161">
    <cfRule type="expression" dxfId="3429" priority="3573" stopIfTrue="1">
      <formula>$A161="Inrvlv"</formula>
    </cfRule>
  </conditionalFormatting>
  <conditionalFormatting sqref="S161">
    <cfRule type="expression" dxfId="3428" priority="3574" stopIfTrue="1">
      <formula>$A161="Inrvlv"</formula>
    </cfRule>
    <cfRule type="expression" dxfId="3427" priority="3578" stopIfTrue="1">
      <formula>$A161="Tmdpjun"</formula>
    </cfRule>
    <cfRule type="expression" dxfId="3426" priority="3581" stopIfTrue="1">
      <formula>$A161="Pump"</formula>
    </cfRule>
    <cfRule type="expression" dxfId="3425" priority="3584" stopIfTrue="1">
      <formula>$A161="Tmdpvol"</formula>
    </cfRule>
    <cfRule type="expression" dxfId="3424" priority="3591" stopIfTrue="1">
      <formula>$A161="Snglvol"</formula>
    </cfRule>
  </conditionalFormatting>
  <conditionalFormatting sqref="Q161 L161 F161:G161 C161:D161">
    <cfRule type="expression" dxfId="3423" priority="3576" stopIfTrue="1">
      <formula>$A161="Tmdpjun"</formula>
    </cfRule>
  </conditionalFormatting>
  <conditionalFormatting sqref="Q161 L161 D161">
    <cfRule type="expression" dxfId="3422" priority="3579" stopIfTrue="1">
      <formula>$A161="Pump"</formula>
    </cfRule>
  </conditionalFormatting>
  <conditionalFormatting sqref="L161:P161 T161 H161:I161 D161">
    <cfRule type="expression" dxfId="3421" priority="3582" stopIfTrue="1">
      <formula>$A161="Tmdpvol"</formula>
    </cfRule>
  </conditionalFormatting>
  <conditionalFormatting sqref="B161">
    <cfRule type="expression" dxfId="3420" priority="3585" stopIfTrue="1">
      <formula>$A161="Snglvol"</formula>
    </cfRule>
    <cfRule type="expression" dxfId="3419" priority="3595" stopIfTrue="1">
      <formula>$A161="Init"</formula>
    </cfRule>
    <cfRule type="expression" dxfId="3418" priority="3601" stopIfTrue="1">
      <formula>$A161="Timestep"</formula>
    </cfRule>
    <cfRule type="expression" dxfId="3417" priority="3606" stopIfTrue="1">
      <formula>$A161="Triggerwords"</formula>
    </cfRule>
    <cfRule type="expression" dxfId="3416" priority="3610" stopIfTrue="1">
      <formula>$A161="Tripvar"</formula>
    </cfRule>
  </conditionalFormatting>
  <conditionalFormatting sqref="T161 N161:Q161 L161 H161:I161 D161">
    <cfRule type="expression" dxfId="3415" priority="3587" stopIfTrue="1">
      <formula>$A161="Snglvol"</formula>
    </cfRule>
  </conditionalFormatting>
  <conditionalFormatting sqref="A161">
    <cfRule type="expression" dxfId="3414" priority="3592" stopIfTrue="1">
      <formula>$A161="Relapnr"</formula>
    </cfRule>
  </conditionalFormatting>
  <conditionalFormatting sqref="A161">
    <cfRule type="expression" dxfId="3413" priority="3594" stopIfTrue="1">
      <formula>$A161="Init"</formula>
    </cfRule>
  </conditionalFormatting>
  <conditionalFormatting sqref="A161">
    <cfRule type="expression" dxfId="3412" priority="3597" stopIfTrue="1">
      <formula>$A161="InitGas"</formula>
    </cfRule>
  </conditionalFormatting>
  <conditionalFormatting sqref="A161 D161">
    <cfRule type="expression" dxfId="3411" priority="3600" stopIfTrue="1">
      <formula>$A161="Timestep"</formula>
    </cfRule>
  </conditionalFormatting>
  <conditionalFormatting sqref="A161">
    <cfRule type="expression" dxfId="3410" priority="3603" stopIfTrue="1">
      <formula>$A161="Replacements"</formula>
    </cfRule>
  </conditionalFormatting>
  <conditionalFormatting sqref="A161">
    <cfRule type="expression" dxfId="3409" priority="3605" stopIfTrue="1">
      <formula>$A161="Triggerwords"</formula>
    </cfRule>
  </conditionalFormatting>
  <conditionalFormatting sqref="A161">
    <cfRule type="expression" dxfId="3408" priority="3607" stopIfTrue="1">
      <formula>$A161="Custom"</formula>
    </cfRule>
  </conditionalFormatting>
  <conditionalFormatting sqref="A161 F161:I161 D161">
    <cfRule type="expression" dxfId="3407" priority="3609" stopIfTrue="1">
      <formula>$A161="Tripvar"</formula>
    </cfRule>
  </conditionalFormatting>
  <conditionalFormatting sqref="A161 F161">
    <cfRule type="expression" dxfId="3406" priority="3612" stopIfTrue="1">
      <formula>$A161="Triplog"</formula>
    </cfRule>
  </conditionalFormatting>
  <conditionalFormatting sqref="E161">
    <cfRule type="expression" dxfId="3405" priority="3534" stopIfTrue="1">
      <formula>$A161="Pipe"</formula>
    </cfRule>
  </conditionalFormatting>
  <conditionalFormatting sqref="E161">
    <cfRule type="expression" dxfId="3404" priority="3535" stopIfTrue="1">
      <formula>$A161="Junction"</formula>
    </cfRule>
  </conditionalFormatting>
  <conditionalFormatting sqref="E161">
    <cfRule type="expression" dxfId="3403" priority="3536" stopIfTrue="1">
      <formula>$A161="Sngljun"</formula>
    </cfRule>
  </conditionalFormatting>
  <conditionalFormatting sqref="E161">
    <cfRule type="expression" dxfId="3402" priority="3537" stopIfTrue="1">
      <formula>$A161="Mtrvlv"</formula>
    </cfRule>
  </conditionalFormatting>
  <conditionalFormatting sqref="E161">
    <cfRule type="expression" dxfId="3401" priority="3538" stopIfTrue="1">
      <formula>$A161="Srvvlv"</formula>
    </cfRule>
  </conditionalFormatting>
  <conditionalFormatting sqref="E161">
    <cfRule type="expression" dxfId="3400" priority="3539" stopIfTrue="1">
      <formula>$A161="Chkvlv"</formula>
    </cfRule>
  </conditionalFormatting>
  <conditionalFormatting sqref="E161">
    <cfRule type="expression" dxfId="3399" priority="3540" stopIfTrue="1">
      <formula>$A161="Inrvlv"</formula>
    </cfRule>
  </conditionalFormatting>
  <conditionalFormatting sqref="E161">
    <cfRule type="expression" dxfId="3398" priority="3541" stopIfTrue="1">
      <formula>$A161="Tmdpjun"</formula>
    </cfRule>
  </conditionalFormatting>
  <conditionalFormatting sqref="E161">
    <cfRule type="expression" dxfId="3397" priority="3542" stopIfTrue="1">
      <formula>$A161="Pump"</formula>
    </cfRule>
  </conditionalFormatting>
  <conditionalFormatting sqref="E161">
    <cfRule type="expression" dxfId="3396" priority="3543" stopIfTrue="1">
      <formula>$A161="Tmdpvol"</formula>
    </cfRule>
  </conditionalFormatting>
  <conditionalFormatting sqref="E161">
    <cfRule type="expression" dxfId="3395" priority="3544" stopIfTrue="1">
      <formula>$A161="Snglvol"</formula>
    </cfRule>
  </conditionalFormatting>
  <conditionalFormatting sqref="E161">
    <cfRule type="expression" dxfId="3394" priority="3545" stopIfTrue="1">
      <formula>$A161="Timestep"</formula>
    </cfRule>
  </conditionalFormatting>
  <conditionalFormatting sqref="E161">
    <cfRule type="expression" dxfId="3393" priority="3546" stopIfTrue="1">
      <formula>$A161="Tripvar"</formula>
    </cfRule>
  </conditionalFormatting>
  <conditionalFormatting sqref="E161">
    <cfRule type="expression" dxfId="3392" priority="3547" stopIfTrue="1">
      <formula>$A161="Triplog"</formula>
    </cfRule>
  </conditionalFormatting>
  <conditionalFormatting sqref="U165:V165 Q165 A165:D165 F165:L165">
    <cfRule type="expression" dxfId="3391" priority="3466" stopIfTrue="1">
      <formula>$A165="Pipe"</formula>
    </cfRule>
  </conditionalFormatting>
  <conditionalFormatting sqref="M165:P165 U165:V165 A165:B165 H165:K165">
    <cfRule type="expression" dxfId="3390" priority="3467" stopIfTrue="1">
      <formula>$A165="Junction"</formula>
    </cfRule>
  </conditionalFormatting>
  <conditionalFormatting sqref="M165:P165 T165:V165 A165:B165 H165:K165">
    <cfRule type="expression" dxfId="3389" priority="3468" stopIfTrue="1">
      <formula>$A165="Mtrvlv"</formula>
    </cfRule>
  </conditionalFormatting>
  <conditionalFormatting sqref="M165:P165 T165:V165 B165 H165:K165">
    <cfRule type="expression" dxfId="3388" priority="3469" stopIfTrue="1">
      <formula>$A165="Srvvlv"</formula>
    </cfRule>
  </conditionalFormatting>
  <conditionalFormatting sqref="V165 T165 N165:P165 A165 H165:J165">
    <cfRule type="expression" dxfId="3387" priority="3470" stopIfTrue="1">
      <formula>$A165="Chkvlv"</formula>
    </cfRule>
  </conditionalFormatting>
  <conditionalFormatting sqref="M165:P165 T165:V165 A165:B165 H165:K165">
    <cfRule type="expression" dxfId="3386" priority="3471" stopIfTrue="1">
      <formula>$A165="Inrvlv"</formula>
    </cfRule>
  </conditionalFormatting>
  <conditionalFormatting sqref="M165:P165 T165:V165 B165 H165:K165">
    <cfRule type="expression" dxfId="3385" priority="3472" stopIfTrue="1">
      <formula>$A165="Tmdpjun"</formula>
    </cfRule>
  </conditionalFormatting>
  <conditionalFormatting sqref="M165:P165 T165:V165 A165:C165 F165:K165">
    <cfRule type="expression" dxfId="3384" priority="3473" stopIfTrue="1">
      <formula>$A165="Pump"</formula>
    </cfRule>
  </conditionalFormatting>
  <conditionalFormatting sqref="U165:V165 Q165 J165:K165 F165:G165 A165:C165">
    <cfRule type="expression" dxfId="3383" priority="3474" stopIfTrue="1">
      <formula>$A165="Tmdpvol"</formula>
    </cfRule>
  </conditionalFormatting>
  <conditionalFormatting sqref="V165 J165 F165:G165 A165">
    <cfRule type="expression" dxfId="3382" priority="3475" stopIfTrue="1">
      <formula>$A165="Snglvol"</formula>
    </cfRule>
  </conditionalFormatting>
  <conditionalFormatting sqref="M165:P165 U165:V165 A165:B165 H165:K165">
    <cfRule type="expression" dxfId="3381" priority="3476" stopIfTrue="1">
      <formula>$A165="Sngljun"</formula>
    </cfRule>
  </conditionalFormatting>
  <conditionalFormatting sqref="M165:P165 R165:T165">
    <cfRule type="expression" dxfId="3380" priority="3477" stopIfTrue="1">
      <formula>$A165="Pipe"</formula>
    </cfRule>
  </conditionalFormatting>
  <conditionalFormatting sqref="C165">
    <cfRule type="expression" dxfId="3379" priority="3478" stopIfTrue="1">
      <formula>$A165="Junction"</formula>
    </cfRule>
    <cfRule type="expression" dxfId="3378" priority="3504" stopIfTrue="1">
      <formula>$A165="Snglvol"</formula>
    </cfRule>
    <cfRule type="expression" dxfId="3377" priority="3517" stopIfTrue="1">
      <formula>$A165="InitGas"</formula>
    </cfRule>
    <cfRule type="expression" dxfId="3376" priority="3529" stopIfTrue="1">
      <formula>$A165="Tripvar"</formula>
    </cfRule>
  </conditionalFormatting>
  <conditionalFormatting sqref="Q165:T165 L165 F165:G165 D165">
    <cfRule type="expression" dxfId="3375" priority="3479" stopIfTrue="1">
      <formula>$A165="Junction"</formula>
    </cfRule>
  </conditionalFormatting>
  <conditionalFormatting sqref="Q165:T165 L165 F165:G165 C165:D165">
    <cfRule type="expression" dxfId="3374" priority="3480" stopIfTrue="1">
      <formula>$A165="Sngljun"</formula>
    </cfRule>
  </conditionalFormatting>
  <conditionalFormatting sqref="Q165:S165 L165 F165:G165 C165:D165">
    <cfRule type="expression" dxfId="3373" priority="3481" stopIfTrue="1">
      <formula>$A165="Mtrvlv"</formula>
    </cfRule>
  </conditionalFormatting>
  <conditionalFormatting sqref="A165">
    <cfRule type="expression" dxfId="3372" priority="3482" stopIfTrue="1">
      <formula>$A165="Srvvlv"</formula>
    </cfRule>
    <cfRule type="expression" dxfId="3371" priority="3493" stopIfTrue="1">
      <formula>$A165="Tmdpjun"</formula>
    </cfRule>
  </conditionalFormatting>
  <conditionalFormatting sqref="S165 Q165 L165 F165:G165 C165:D165">
    <cfRule type="expression" dxfId="3370" priority="3483" stopIfTrue="1">
      <formula>$A165="Srvvlv"</formula>
    </cfRule>
  </conditionalFormatting>
  <conditionalFormatting sqref="R165">
    <cfRule type="expression" dxfId="3369" priority="3484" stopIfTrue="1">
      <formula>$A165="Srvvlv"</formula>
    </cfRule>
    <cfRule type="expression" dxfId="3368" priority="3495" stopIfTrue="1">
      <formula>$A165="Tmdpjun"</formula>
    </cfRule>
    <cfRule type="expression" dxfId="3367" priority="3498" stopIfTrue="1">
      <formula>$A165="Pump"</formula>
    </cfRule>
    <cfRule type="expression" dxfId="3366" priority="3501" stopIfTrue="1">
      <formula>$A165="Tmdpvol"</formula>
    </cfRule>
    <cfRule type="expression" dxfId="3365" priority="3508" stopIfTrue="1">
      <formula>$A165="Snglvol"</formula>
    </cfRule>
  </conditionalFormatting>
  <conditionalFormatting sqref="B165">
    <cfRule type="expression" dxfId="3364" priority="3485" stopIfTrue="1">
      <formula>$A165="Chkvlv"</formula>
    </cfRule>
    <cfRule type="expression" dxfId="3363" priority="3511" stopIfTrue="1">
      <formula>$A165="Relapnr"</formula>
    </cfRule>
    <cfRule type="expression" dxfId="3362" priority="3516" stopIfTrue="1">
      <formula>$A165="InitGas"</formula>
    </cfRule>
    <cfRule type="expression" dxfId="3361" priority="3522" stopIfTrue="1">
      <formula>$A165="Replacements"</formula>
    </cfRule>
    <cfRule type="expression" dxfId="3360" priority="3526" stopIfTrue="1">
      <formula>$A165="Custom"</formula>
    </cfRule>
    <cfRule type="expression" dxfId="3359" priority="3531" stopIfTrue="1">
      <formula>$A165="Triplog"</formula>
    </cfRule>
  </conditionalFormatting>
  <conditionalFormatting sqref="C165 Q165:S165 L165 F165:G165">
    <cfRule type="expression" dxfId="3358" priority="3486" stopIfTrue="1">
      <formula>$A165="Chkvlv"</formula>
    </cfRule>
  </conditionalFormatting>
  <conditionalFormatting sqref="D165">
    <cfRule type="expression" dxfId="3357" priority="3487" stopIfTrue="1">
      <formula>$A165="Chkvlv"</formula>
    </cfRule>
    <cfRule type="expression" dxfId="3356" priority="3533" stopIfTrue="1">
      <formula>$A165="Triplog"</formula>
    </cfRule>
  </conditionalFormatting>
  <conditionalFormatting sqref="U165 K165">
    <cfRule type="expression" dxfId="3355" priority="3488" stopIfTrue="1">
      <formula>$A165="Chkvlv"</formula>
    </cfRule>
    <cfRule type="expression" dxfId="3354" priority="3506" stopIfTrue="1">
      <formula>$A165="Snglvol"</formula>
    </cfRule>
  </conditionalFormatting>
  <conditionalFormatting sqref="M165">
    <cfRule type="expression" dxfId="3353" priority="3489" stopIfTrue="1">
      <formula>$A165="Chkvlv"</formula>
    </cfRule>
    <cfRule type="expression" dxfId="3352" priority="3507" stopIfTrue="1">
      <formula>$A165="Snglvol"</formula>
    </cfRule>
  </conditionalFormatting>
  <conditionalFormatting sqref="C165">
    <cfRule type="expression" dxfId="3351" priority="3490" stopIfTrue="1">
      <formula>$A165="Inrvlv"</formula>
    </cfRule>
    <cfRule type="expression" dxfId="3350" priority="3514" stopIfTrue="1">
      <formula>$A165="Init"</formula>
    </cfRule>
    <cfRule type="expression" dxfId="3349" priority="3520" stopIfTrue="1">
      <formula>$A165="Timestep"</formula>
    </cfRule>
    <cfRule type="expression" dxfId="3348" priority="3532" stopIfTrue="1">
      <formula>$A165="Triplog"</formula>
    </cfRule>
  </conditionalFormatting>
  <conditionalFormatting sqref="Q165:R165 L165 F165:G165 D165">
    <cfRule type="expression" dxfId="3347" priority="3491" stopIfTrue="1">
      <formula>$A165="Inrvlv"</formula>
    </cfRule>
  </conditionalFormatting>
  <conditionalFormatting sqref="S165">
    <cfRule type="expression" dxfId="3346" priority="3492" stopIfTrue="1">
      <formula>$A165="Inrvlv"</formula>
    </cfRule>
    <cfRule type="expression" dxfId="3345" priority="3496" stopIfTrue="1">
      <formula>$A165="Tmdpjun"</formula>
    </cfRule>
    <cfRule type="expression" dxfId="3344" priority="3499" stopIfTrue="1">
      <formula>$A165="Pump"</formula>
    </cfRule>
    <cfRule type="expression" dxfId="3343" priority="3502" stopIfTrue="1">
      <formula>$A165="Tmdpvol"</formula>
    </cfRule>
    <cfRule type="expression" dxfId="3342" priority="3509" stopIfTrue="1">
      <formula>$A165="Snglvol"</formula>
    </cfRule>
  </conditionalFormatting>
  <conditionalFormatting sqref="Q165 L165 F165:G165 C165:D165">
    <cfRule type="expression" dxfId="3341" priority="3494" stopIfTrue="1">
      <formula>$A165="Tmdpjun"</formula>
    </cfRule>
  </conditionalFormatting>
  <conditionalFormatting sqref="Q165 L165 D165">
    <cfRule type="expression" dxfId="3340" priority="3497" stopIfTrue="1">
      <formula>$A165="Pump"</formula>
    </cfRule>
  </conditionalFormatting>
  <conditionalFormatting sqref="L165:P165 T165 H165:I165 D165">
    <cfRule type="expression" dxfId="3339" priority="3500" stopIfTrue="1">
      <formula>$A165="Tmdpvol"</formula>
    </cfRule>
  </conditionalFormatting>
  <conditionalFormatting sqref="B165">
    <cfRule type="expression" dxfId="3338" priority="3503" stopIfTrue="1">
      <formula>$A165="Snglvol"</formula>
    </cfRule>
    <cfRule type="expression" dxfId="3337" priority="3513" stopIfTrue="1">
      <formula>$A165="Init"</formula>
    </cfRule>
    <cfRule type="expression" dxfId="3336" priority="3519" stopIfTrue="1">
      <formula>$A165="Timestep"</formula>
    </cfRule>
    <cfRule type="expression" dxfId="3335" priority="3524" stopIfTrue="1">
      <formula>$A165="Triggerwords"</formula>
    </cfRule>
    <cfRule type="expression" dxfId="3334" priority="3528" stopIfTrue="1">
      <formula>$A165="Tripvar"</formula>
    </cfRule>
  </conditionalFormatting>
  <conditionalFormatting sqref="T165 N165:Q165 L165 H165:I165 D165">
    <cfRule type="expression" dxfId="3333" priority="3505" stopIfTrue="1">
      <formula>$A165="Snglvol"</formula>
    </cfRule>
  </conditionalFormatting>
  <conditionalFormatting sqref="A165">
    <cfRule type="expression" dxfId="3332" priority="3510" stopIfTrue="1">
      <formula>$A165="Relapnr"</formula>
    </cfRule>
  </conditionalFormatting>
  <conditionalFormatting sqref="A165">
    <cfRule type="expression" dxfId="3331" priority="3512" stopIfTrue="1">
      <formula>$A165="Init"</formula>
    </cfRule>
  </conditionalFormatting>
  <conditionalFormatting sqref="A165">
    <cfRule type="expression" dxfId="3330" priority="3515" stopIfTrue="1">
      <formula>$A165="InitGas"</formula>
    </cfRule>
  </conditionalFormatting>
  <conditionalFormatting sqref="A165 D165">
    <cfRule type="expression" dxfId="3329" priority="3518" stopIfTrue="1">
      <formula>$A165="Timestep"</formula>
    </cfRule>
  </conditionalFormatting>
  <conditionalFormatting sqref="A165">
    <cfRule type="expression" dxfId="3328" priority="3521" stopIfTrue="1">
      <formula>$A165="Replacements"</formula>
    </cfRule>
  </conditionalFormatting>
  <conditionalFormatting sqref="A165">
    <cfRule type="expression" dxfId="3327" priority="3523" stopIfTrue="1">
      <formula>$A165="Triggerwords"</formula>
    </cfRule>
  </conditionalFormatting>
  <conditionalFormatting sqref="A165">
    <cfRule type="expression" dxfId="3326" priority="3525" stopIfTrue="1">
      <formula>$A165="Custom"</formula>
    </cfRule>
  </conditionalFormatting>
  <conditionalFormatting sqref="A165 F165:I165 D165">
    <cfRule type="expression" dxfId="3325" priority="3527" stopIfTrue="1">
      <formula>$A165="Tripvar"</formula>
    </cfRule>
  </conditionalFormatting>
  <conditionalFormatting sqref="A165 F165">
    <cfRule type="expression" dxfId="3324" priority="3530" stopIfTrue="1">
      <formula>$A165="Triplog"</formula>
    </cfRule>
  </conditionalFormatting>
  <conditionalFormatting sqref="E165">
    <cfRule type="expression" dxfId="3323" priority="3452" stopIfTrue="1">
      <formula>$A165="Pipe"</formula>
    </cfRule>
  </conditionalFormatting>
  <conditionalFormatting sqref="E165">
    <cfRule type="expression" dxfId="3322" priority="3453" stopIfTrue="1">
      <formula>$A165="Junction"</formula>
    </cfRule>
  </conditionalFormatting>
  <conditionalFormatting sqref="E165">
    <cfRule type="expression" dxfId="3321" priority="3454" stopIfTrue="1">
      <formula>$A165="Sngljun"</formula>
    </cfRule>
  </conditionalFormatting>
  <conditionalFormatting sqref="E165">
    <cfRule type="expression" dxfId="3320" priority="3455" stopIfTrue="1">
      <formula>$A165="Mtrvlv"</formula>
    </cfRule>
  </conditionalFormatting>
  <conditionalFormatting sqref="E165">
    <cfRule type="expression" dxfId="3319" priority="3456" stopIfTrue="1">
      <formula>$A165="Srvvlv"</formula>
    </cfRule>
  </conditionalFormatting>
  <conditionalFormatting sqref="E165">
    <cfRule type="expression" dxfId="3318" priority="3457" stopIfTrue="1">
      <formula>$A165="Chkvlv"</formula>
    </cfRule>
  </conditionalFormatting>
  <conditionalFormatting sqref="E165">
    <cfRule type="expression" dxfId="3317" priority="3458" stopIfTrue="1">
      <formula>$A165="Inrvlv"</formula>
    </cfRule>
  </conditionalFormatting>
  <conditionalFormatting sqref="E165">
    <cfRule type="expression" dxfId="3316" priority="3459" stopIfTrue="1">
      <formula>$A165="Tmdpjun"</formula>
    </cfRule>
  </conditionalFormatting>
  <conditionalFormatting sqref="E165">
    <cfRule type="expression" dxfId="3315" priority="3460" stopIfTrue="1">
      <formula>$A165="Pump"</formula>
    </cfRule>
  </conditionalFormatting>
  <conditionalFormatting sqref="E165">
    <cfRule type="expression" dxfId="3314" priority="3461" stopIfTrue="1">
      <formula>$A165="Tmdpvol"</formula>
    </cfRule>
  </conditionalFormatting>
  <conditionalFormatting sqref="E165">
    <cfRule type="expression" dxfId="3313" priority="3462" stopIfTrue="1">
      <formula>$A165="Snglvol"</formula>
    </cfRule>
  </conditionalFormatting>
  <conditionalFormatting sqref="E165">
    <cfRule type="expression" dxfId="3312" priority="3463" stopIfTrue="1">
      <formula>$A165="Timestep"</formula>
    </cfRule>
  </conditionalFormatting>
  <conditionalFormatting sqref="E165">
    <cfRule type="expression" dxfId="3311" priority="3464" stopIfTrue="1">
      <formula>$A165="Tripvar"</formula>
    </cfRule>
  </conditionalFormatting>
  <conditionalFormatting sqref="E165">
    <cfRule type="expression" dxfId="3310" priority="3465" stopIfTrue="1">
      <formula>$A165="Triplog"</formula>
    </cfRule>
  </conditionalFormatting>
  <conditionalFormatting sqref="U169:V169 Q169 A169:D169 F169:L169">
    <cfRule type="expression" dxfId="3309" priority="3384" stopIfTrue="1">
      <formula>$A169="Pipe"</formula>
    </cfRule>
  </conditionalFormatting>
  <conditionalFormatting sqref="M169:P169 U169:V169 A169:B169 H169:K169">
    <cfRule type="expression" dxfId="3308" priority="3385" stopIfTrue="1">
      <formula>$A169="Junction"</formula>
    </cfRule>
  </conditionalFormatting>
  <conditionalFormatting sqref="M169:P169 T169:V169 A169:B169 H169:K169">
    <cfRule type="expression" dxfId="3307" priority="3386" stopIfTrue="1">
      <formula>$A169="Mtrvlv"</formula>
    </cfRule>
  </conditionalFormatting>
  <conditionalFormatting sqref="M169:P169 T169:V169 B169 H169:K169">
    <cfRule type="expression" dxfId="3306" priority="3387" stopIfTrue="1">
      <formula>$A169="Srvvlv"</formula>
    </cfRule>
  </conditionalFormatting>
  <conditionalFormatting sqref="V169 T169 N169:P169 A169 H169:J169">
    <cfRule type="expression" dxfId="3305" priority="3388" stopIfTrue="1">
      <formula>$A169="Chkvlv"</formula>
    </cfRule>
  </conditionalFormatting>
  <conditionalFormatting sqref="M169:P169 T169:V169 A169:B169 H169:K169">
    <cfRule type="expression" dxfId="3304" priority="3389" stopIfTrue="1">
      <formula>$A169="Inrvlv"</formula>
    </cfRule>
  </conditionalFormatting>
  <conditionalFormatting sqref="M169:P169 T169:V169 B169 H169:K169">
    <cfRule type="expression" dxfId="3303" priority="3390" stopIfTrue="1">
      <formula>$A169="Tmdpjun"</formula>
    </cfRule>
  </conditionalFormatting>
  <conditionalFormatting sqref="M169:P169 T169:V169 A169:C169 F169:K169">
    <cfRule type="expression" dxfId="3302" priority="3391" stopIfTrue="1">
      <formula>$A169="Pump"</formula>
    </cfRule>
  </conditionalFormatting>
  <conditionalFormatting sqref="U169:V169 Q169 J169:K169 F169:G169 A169:C169">
    <cfRule type="expression" dxfId="3301" priority="3392" stopIfTrue="1">
      <formula>$A169="Tmdpvol"</formula>
    </cfRule>
  </conditionalFormatting>
  <conditionalFormatting sqref="V169 J169 F169:G169 A169">
    <cfRule type="expression" dxfId="3300" priority="3393" stopIfTrue="1">
      <formula>$A169="Snglvol"</formula>
    </cfRule>
  </conditionalFormatting>
  <conditionalFormatting sqref="M169:P169 U169:V169 A169:B169 H169:K169">
    <cfRule type="expression" dxfId="3299" priority="3394" stopIfTrue="1">
      <formula>$A169="Sngljun"</formula>
    </cfRule>
  </conditionalFormatting>
  <conditionalFormatting sqref="M169:P169 R169:T169">
    <cfRule type="expression" dxfId="3298" priority="3395" stopIfTrue="1">
      <formula>$A169="Pipe"</formula>
    </cfRule>
  </conditionalFormatting>
  <conditionalFormatting sqref="C169">
    <cfRule type="expression" dxfId="3297" priority="3396" stopIfTrue="1">
      <formula>$A169="Junction"</formula>
    </cfRule>
    <cfRule type="expression" dxfId="3296" priority="3422" stopIfTrue="1">
      <formula>$A169="Snglvol"</formula>
    </cfRule>
    <cfRule type="expression" dxfId="3295" priority="3435" stopIfTrue="1">
      <formula>$A169="InitGas"</formula>
    </cfRule>
    <cfRule type="expression" dxfId="3294" priority="3447" stopIfTrue="1">
      <formula>$A169="Tripvar"</formula>
    </cfRule>
  </conditionalFormatting>
  <conditionalFormatting sqref="Q169:T169 L169 F169:G169 D169">
    <cfRule type="expression" dxfId="3293" priority="3397" stopIfTrue="1">
      <formula>$A169="Junction"</formula>
    </cfRule>
  </conditionalFormatting>
  <conditionalFormatting sqref="Q169:T169 L169 F169:G169 C169:D169">
    <cfRule type="expression" dxfId="3292" priority="3398" stopIfTrue="1">
      <formula>$A169="Sngljun"</formula>
    </cfRule>
  </conditionalFormatting>
  <conditionalFormatting sqref="Q169:S169 L169 F169:G169 C169:D169">
    <cfRule type="expression" dxfId="3291" priority="3399" stopIfTrue="1">
      <formula>$A169="Mtrvlv"</formula>
    </cfRule>
  </conditionalFormatting>
  <conditionalFormatting sqref="A169">
    <cfRule type="expression" dxfId="3290" priority="3400" stopIfTrue="1">
      <formula>$A169="Srvvlv"</formula>
    </cfRule>
    <cfRule type="expression" dxfId="3289" priority="3411" stopIfTrue="1">
      <formula>$A169="Tmdpjun"</formula>
    </cfRule>
  </conditionalFormatting>
  <conditionalFormatting sqref="S169 Q169 L169 F169:G169 C169:D169">
    <cfRule type="expression" dxfId="3288" priority="3401" stopIfTrue="1">
      <formula>$A169="Srvvlv"</formula>
    </cfRule>
  </conditionalFormatting>
  <conditionalFormatting sqref="R169">
    <cfRule type="expression" dxfId="3287" priority="3402" stopIfTrue="1">
      <formula>$A169="Srvvlv"</formula>
    </cfRule>
    <cfRule type="expression" dxfId="3286" priority="3413" stopIfTrue="1">
      <formula>$A169="Tmdpjun"</formula>
    </cfRule>
    <cfRule type="expression" dxfId="3285" priority="3416" stopIfTrue="1">
      <formula>$A169="Pump"</formula>
    </cfRule>
    <cfRule type="expression" dxfId="3284" priority="3419" stopIfTrue="1">
      <formula>$A169="Tmdpvol"</formula>
    </cfRule>
    <cfRule type="expression" dxfId="3283" priority="3426" stopIfTrue="1">
      <formula>$A169="Snglvol"</formula>
    </cfRule>
  </conditionalFormatting>
  <conditionalFormatting sqref="B169">
    <cfRule type="expression" dxfId="3282" priority="3403" stopIfTrue="1">
      <formula>$A169="Chkvlv"</formula>
    </cfRule>
    <cfRule type="expression" dxfId="3281" priority="3429" stopIfTrue="1">
      <formula>$A169="Relapnr"</formula>
    </cfRule>
    <cfRule type="expression" dxfId="3280" priority="3434" stopIfTrue="1">
      <formula>$A169="InitGas"</formula>
    </cfRule>
    <cfRule type="expression" dxfId="3279" priority="3440" stopIfTrue="1">
      <formula>$A169="Replacements"</formula>
    </cfRule>
    <cfRule type="expression" dxfId="3278" priority="3444" stopIfTrue="1">
      <formula>$A169="Custom"</formula>
    </cfRule>
    <cfRule type="expression" dxfId="3277" priority="3449" stopIfTrue="1">
      <formula>$A169="Triplog"</formula>
    </cfRule>
  </conditionalFormatting>
  <conditionalFormatting sqref="C169 Q169:S169 L169 F169:G169">
    <cfRule type="expression" dxfId="3276" priority="3404" stopIfTrue="1">
      <formula>$A169="Chkvlv"</formula>
    </cfRule>
  </conditionalFormatting>
  <conditionalFormatting sqref="D169">
    <cfRule type="expression" dxfId="3275" priority="3405" stopIfTrue="1">
      <formula>$A169="Chkvlv"</formula>
    </cfRule>
    <cfRule type="expression" dxfId="3274" priority="3451" stopIfTrue="1">
      <formula>$A169="Triplog"</formula>
    </cfRule>
  </conditionalFormatting>
  <conditionalFormatting sqref="U169 K169">
    <cfRule type="expression" dxfId="3273" priority="3406" stopIfTrue="1">
      <formula>$A169="Chkvlv"</formula>
    </cfRule>
    <cfRule type="expression" dxfId="3272" priority="3424" stopIfTrue="1">
      <formula>$A169="Snglvol"</formula>
    </cfRule>
  </conditionalFormatting>
  <conditionalFormatting sqref="M169">
    <cfRule type="expression" dxfId="3271" priority="3407" stopIfTrue="1">
      <formula>$A169="Chkvlv"</formula>
    </cfRule>
    <cfRule type="expression" dxfId="3270" priority="3425" stopIfTrue="1">
      <formula>$A169="Snglvol"</formula>
    </cfRule>
  </conditionalFormatting>
  <conditionalFormatting sqref="C169">
    <cfRule type="expression" dxfId="3269" priority="3408" stopIfTrue="1">
      <formula>$A169="Inrvlv"</formula>
    </cfRule>
    <cfRule type="expression" dxfId="3268" priority="3432" stopIfTrue="1">
      <formula>$A169="Init"</formula>
    </cfRule>
    <cfRule type="expression" dxfId="3267" priority="3438" stopIfTrue="1">
      <formula>$A169="Timestep"</formula>
    </cfRule>
    <cfRule type="expression" dxfId="3266" priority="3450" stopIfTrue="1">
      <formula>$A169="Triplog"</formula>
    </cfRule>
  </conditionalFormatting>
  <conditionalFormatting sqref="Q169:R169 L169 F169:G169 D169">
    <cfRule type="expression" dxfId="3265" priority="3409" stopIfTrue="1">
      <formula>$A169="Inrvlv"</formula>
    </cfRule>
  </conditionalFormatting>
  <conditionalFormatting sqref="S169">
    <cfRule type="expression" dxfId="3264" priority="3410" stopIfTrue="1">
      <formula>$A169="Inrvlv"</formula>
    </cfRule>
    <cfRule type="expression" dxfId="3263" priority="3414" stopIfTrue="1">
      <formula>$A169="Tmdpjun"</formula>
    </cfRule>
    <cfRule type="expression" dxfId="3262" priority="3417" stopIfTrue="1">
      <formula>$A169="Pump"</formula>
    </cfRule>
    <cfRule type="expression" dxfId="3261" priority="3420" stopIfTrue="1">
      <formula>$A169="Tmdpvol"</formula>
    </cfRule>
    <cfRule type="expression" dxfId="3260" priority="3427" stopIfTrue="1">
      <formula>$A169="Snglvol"</formula>
    </cfRule>
  </conditionalFormatting>
  <conditionalFormatting sqref="Q169 L169 F169:G169 C169:D169">
    <cfRule type="expression" dxfId="3259" priority="3412" stopIfTrue="1">
      <formula>$A169="Tmdpjun"</formula>
    </cfRule>
  </conditionalFormatting>
  <conditionalFormatting sqref="Q169 L169 D169">
    <cfRule type="expression" dxfId="3258" priority="3415" stopIfTrue="1">
      <formula>$A169="Pump"</formula>
    </cfRule>
  </conditionalFormatting>
  <conditionalFormatting sqref="L169:P169 T169 H169:I169 D169">
    <cfRule type="expression" dxfId="3257" priority="3418" stopIfTrue="1">
      <formula>$A169="Tmdpvol"</formula>
    </cfRule>
  </conditionalFormatting>
  <conditionalFormatting sqref="B169">
    <cfRule type="expression" dxfId="3256" priority="3421" stopIfTrue="1">
      <formula>$A169="Snglvol"</formula>
    </cfRule>
    <cfRule type="expression" dxfId="3255" priority="3431" stopIfTrue="1">
      <formula>$A169="Init"</formula>
    </cfRule>
    <cfRule type="expression" dxfId="3254" priority="3437" stopIfTrue="1">
      <formula>$A169="Timestep"</formula>
    </cfRule>
    <cfRule type="expression" dxfId="3253" priority="3442" stopIfTrue="1">
      <formula>$A169="Triggerwords"</formula>
    </cfRule>
    <cfRule type="expression" dxfId="3252" priority="3446" stopIfTrue="1">
      <formula>$A169="Tripvar"</formula>
    </cfRule>
  </conditionalFormatting>
  <conditionalFormatting sqref="T169 N169:Q169 L169 H169:I169 D169">
    <cfRule type="expression" dxfId="3251" priority="3423" stopIfTrue="1">
      <formula>$A169="Snglvol"</formula>
    </cfRule>
  </conditionalFormatting>
  <conditionalFormatting sqref="A169">
    <cfRule type="expression" dxfId="3250" priority="3428" stopIfTrue="1">
      <formula>$A169="Relapnr"</formula>
    </cfRule>
  </conditionalFormatting>
  <conditionalFormatting sqref="A169">
    <cfRule type="expression" dxfId="3249" priority="3430" stopIfTrue="1">
      <formula>$A169="Init"</formula>
    </cfRule>
  </conditionalFormatting>
  <conditionalFormatting sqref="A169">
    <cfRule type="expression" dxfId="3248" priority="3433" stopIfTrue="1">
      <formula>$A169="InitGas"</formula>
    </cfRule>
  </conditionalFormatting>
  <conditionalFormatting sqref="A169 D169">
    <cfRule type="expression" dxfId="3247" priority="3436" stopIfTrue="1">
      <formula>$A169="Timestep"</formula>
    </cfRule>
  </conditionalFormatting>
  <conditionalFormatting sqref="A169">
    <cfRule type="expression" dxfId="3246" priority="3439" stopIfTrue="1">
      <formula>$A169="Replacements"</formula>
    </cfRule>
  </conditionalFormatting>
  <conditionalFormatting sqref="A169">
    <cfRule type="expression" dxfId="3245" priority="3441" stopIfTrue="1">
      <formula>$A169="Triggerwords"</formula>
    </cfRule>
  </conditionalFormatting>
  <conditionalFormatting sqref="A169">
    <cfRule type="expression" dxfId="3244" priority="3443" stopIfTrue="1">
      <formula>$A169="Custom"</formula>
    </cfRule>
  </conditionalFormatting>
  <conditionalFormatting sqref="A169 F169:I169 D169">
    <cfRule type="expression" dxfId="3243" priority="3445" stopIfTrue="1">
      <formula>$A169="Tripvar"</formula>
    </cfRule>
  </conditionalFormatting>
  <conditionalFormatting sqref="A169 F169">
    <cfRule type="expression" dxfId="3242" priority="3448" stopIfTrue="1">
      <formula>$A169="Triplog"</formula>
    </cfRule>
  </conditionalFormatting>
  <conditionalFormatting sqref="E169">
    <cfRule type="expression" dxfId="3241" priority="3370" stopIfTrue="1">
      <formula>$A169="Pipe"</formula>
    </cfRule>
  </conditionalFormatting>
  <conditionalFormatting sqref="E169">
    <cfRule type="expression" dxfId="3240" priority="3371" stopIfTrue="1">
      <formula>$A169="Junction"</formula>
    </cfRule>
  </conditionalFormatting>
  <conditionalFormatting sqref="E169">
    <cfRule type="expression" dxfId="3239" priority="3372" stopIfTrue="1">
      <formula>$A169="Sngljun"</formula>
    </cfRule>
  </conditionalFormatting>
  <conditionalFormatting sqref="E169">
    <cfRule type="expression" dxfId="3238" priority="3373" stopIfTrue="1">
      <formula>$A169="Mtrvlv"</formula>
    </cfRule>
  </conditionalFormatting>
  <conditionalFormatting sqref="E169">
    <cfRule type="expression" dxfId="3237" priority="3374" stopIfTrue="1">
      <formula>$A169="Srvvlv"</formula>
    </cfRule>
  </conditionalFormatting>
  <conditionalFormatting sqref="E169">
    <cfRule type="expression" dxfId="3236" priority="3375" stopIfTrue="1">
      <formula>$A169="Chkvlv"</formula>
    </cfRule>
  </conditionalFormatting>
  <conditionalFormatting sqref="E169">
    <cfRule type="expression" dxfId="3235" priority="3376" stopIfTrue="1">
      <formula>$A169="Inrvlv"</formula>
    </cfRule>
  </conditionalFormatting>
  <conditionalFormatting sqref="E169">
    <cfRule type="expression" dxfId="3234" priority="3377" stopIfTrue="1">
      <formula>$A169="Tmdpjun"</formula>
    </cfRule>
  </conditionalFormatting>
  <conditionalFormatting sqref="E169">
    <cfRule type="expression" dxfId="3233" priority="3378" stopIfTrue="1">
      <formula>$A169="Pump"</formula>
    </cfRule>
  </conditionalFormatting>
  <conditionalFormatting sqref="E169">
    <cfRule type="expression" dxfId="3232" priority="3379" stopIfTrue="1">
      <formula>$A169="Tmdpvol"</formula>
    </cfRule>
  </conditionalFormatting>
  <conditionalFormatting sqref="E169">
    <cfRule type="expression" dxfId="3231" priority="3380" stopIfTrue="1">
      <formula>$A169="Snglvol"</formula>
    </cfRule>
  </conditionalFormatting>
  <conditionalFormatting sqref="E169">
    <cfRule type="expression" dxfId="3230" priority="3381" stopIfTrue="1">
      <formula>$A169="Timestep"</formula>
    </cfRule>
  </conditionalFormatting>
  <conditionalFormatting sqref="E169">
    <cfRule type="expression" dxfId="3229" priority="3382" stopIfTrue="1">
      <formula>$A169="Tripvar"</formula>
    </cfRule>
  </conditionalFormatting>
  <conditionalFormatting sqref="E169">
    <cfRule type="expression" dxfId="3228" priority="3383" stopIfTrue="1">
      <formula>$A169="Triplog"</formula>
    </cfRule>
  </conditionalFormatting>
  <conditionalFormatting sqref="U170:V170 Q170 A170:D170 F170:L170">
    <cfRule type="expression" dxfId="3227" priority="3302" stopIfTrue="1">
      <formula>$A170="Pipe"</formula>
    </cfRule>
  </conditionalFormatting>
  <conditionalFormatting sqref="M170:P170 U170:V170 A170:B170 H170:K170">
    <cfRule type="expression" dxfId="3226" priority="3303" stopIfTrue="1">
      <formula>$A170="Junction"</formula>
    </cfRule>
  </conditionalFormatting>
  <conditionalFormatting sqref="M170:P170 T170:V170 A170:B170 H170:K170">
    <cfRule type="expression" dxfId="3225" priority="3304" stopIfTrue="1">
      <formula>$A170="Mtrvlv"</formula>
    </cfRule>
  </conditionalFormatting>
  <conditionalFormatting sqref="M170:P170 T170:V170 B170 H170:K170">
    <cfRule type="expression" dxfId="3224" priority="3305" stopIfTrue="1">
      <formula>$A170="Srvvlv"</formula>
    </cfRule>
  </conditionalFormatting>
  <conditionalFormatting sqref="V170 T170 N170:P170 A170 H170:J170">
    <cfRule type="expression" dxfId="3223" priority="3306" stopIfTrue="1">
      <formula>$A170="Chkvlv"</formula>
    </cfRule>
  </conditionalFormatting>
  <conditionalFormatting sqref="M170:P170 T170:V170 A170:B170 H170:K170">
    <cfRule type="expression" dxfId="3222" priority="3307" stopIfTrue="1">
      <formula>$A170="Inrvlv"</formula>
    </cfRule>
  </conditionalFormatting>
  <conditionalFormatting sqref="M170:P170 T170:V170 B170 H170:K170">
    <cfRule type="expression" dxfId="3221" priority="3308" stopIfTrue="1">
      <formula>$A170="Tmdpjun"</formula>
    </cfRule>
  </conditionalFormatting>
  <conditionalFormatting sqref="M170:P170 T170:V170 A170:C170 F170:K170">
    <cfRule type="expression" dxfId="3220" priority="3309" stopIfTrue="1">
      <formula>$A170="Pump"</formula>
    </cfRule>
  </conditionalFormatting>
  <conditionalFormatting sqref="U170:V170 Q170 J170:K170 F170:G170 A170:C170">
    <cfRule type="expression" dxfId="3219" priority="3310" stopIfTrue="1">
      <formula>$A170="Tmdpvol"</formula>
    </cfRule>
  </conditionalFormatting>
  <conditionalFormatting sqref="V170 J170 F170:G170 A170">
    <cfRule type="expression" dxfId="3218" priority="3311" stopIfTrue="1">
      <formula>$A170="Snglvol"</formula>
    </cfRule>
  </conditionalFormatting>
  <conditionalFormatting sqref="M170:P170 U170:V170 A170:B170 H170:K170">
    <cfRule type="expression" dxfId="3217" priority="3312" stopIfTrue="1">
      <formula>$A170="Sngljun"</formula>
    </cfRule>
  </conditionalFormatting>
  <conditionalFormatting sqref="M170:P170 R170:T170">
    <cfRule type="expression" dxfId="3216" priority="3313" stopIfTrue="1">
      <formula>$A170="Pipe"</formula>
    </cfRule>
  </conditionalFormatting>
  <conditionalFormatting sqref="C170">
    <cfRule type="expression" dxfId="3215" priority="3314" stopIfTrue="1">
      <formula>$A170="Junction"</formula>
    </cfRule>
    <cfRule type="expression" dxfId="3214" priority="3340" stopIfTrue="1">
      <formula>$A170="Snglvol"</formula>
    </cfRule>
    <cfRule type="expression" dxfId="3213" priority="3353" stopIfTrue="1">
      <formula>$A170="InitGas"</formula>
    </cfRule>
    <cfRule type="expression" dxfId="3212" priority="3365" stopIfTrue="1">
      <formula>$A170="Tripvar"</formula>
    </cfRule>
  </conditionalFormatting>
  <conditionalFormatting sqref="Q170:T170 L170 F170:G170 D170">
    <cfRule type="expression" dxfId="3211" priority="3315" stopIfTrue="1">
      <formula>$A170="Junction"</formula>
    </cfRule>
  </conditionalFormatting>
  <conditionalFormatting sqref="Q170:T170 L170 F170:G170 C170:D170">
    <cfRule type="expression" dxfId="3210" priority="3316" stopIfTrue="1">
      <formula>$A170="Sngljun"</formula>
    </cfRule>
  </conditionalFormatting>
  <conditionalFormatting sqref="Q170:S170 L170 F170:G170 C170:D170">
    <cfRule type="expression" dxfId="3209" priority="3317" stopIfTrue="1">
      <formula>$A170="Mtrvlv"</formula>
    </cfRule>
  </conditionalFormatting>
  <conditionalFormatting sqref="A170">
    <cfRule type="expression" dxfId="3208" priority="3318" stopIfTrue="1">
      <formula>$A170="Srvvlv"</formula>
    </cfRule>
    <cfRule type="expression" dxfId="3207" priority="3329" stopIfTrue="1">
      <formula>$A170="Tmdpjun"</formula>
    </cfRule>
  </conditionalFormatting>
  <conditionalFormatting sqref="S170 Q170 L170 F170:G170 C170:D170">
    <cfRule type="expression" dxfId="3206" priority="3319" stopIfTrue="1">
      <formula>$A170="Srvvlv"</formula>
    </cfRule>
  </conditionalFormatting>
  <conditionalFormatting sqref="R170">
    <cfRule type="expression" dxfId="3205" priority="3320" stopIfTrue="1">
      <formula>$A170="Srvvlv"</formula>
    </cfRule>
    <cfRule type="expression" dxfId="3204" priority="3331" stopIfTrue="1">
      <formula>$A170="Tmdpjun"</formula>
    </cfRule>
    <cfRule type="expression" dxfId="3203" priority="3334" stopIfTrue="1">
      <formula>$A170="Pump"</formula>
    </cfRule>
    <cfRule type="expression" dxfId="3202" priority="3337" stopIfTrue="1">
      <formula>$A170="Tmdpvol"</formula>
    </cfRule>
    <cfRule type="expression" dxfId="3201" priority="3344" stopIfTrue="1">
      <formula>$A170="Snglvol"</formula>
    </cfRule>
  </conditionalFormatting>
  <conditionalFormatting sqref="B170">
    <cfRule type="expression" dxfId="3200" priority="3321" stopIfTrue="1">
      <formula>$A170="Chkvlv"</formula>
    </cfRule>
    <cfRule type="expression" dxfId="3199" priority="3347" stopIfTrue="1">
      <formula>$A170="Relapnr"</formula>
    </cfRule>
    <cfRule type="expression" dxfId="3198" priority="3352" stopIfTrue="1">
      <formula>$A170="InitGas"</formula>
    </cfRule>
    <cfRule type="expression" dxfId="3197" priority="3358" stopIfTrue="1">
      <formula>$A170="Replacements"</formula>
    </cfRule>
    <cfRule type="expression" dxfId="3196" priority="3362" stopIfTrue="1">
      <formula>$A170="Custom"</formula>
    </cfRule>
    <cfRule type="expression" dxfId="3195" priority="3367" stopIfTrue="1">
      <formula>$A170="Triplog"</formula>
    </cfRule>
  </conditionalFormatting>
  <conditionalFormatting sqref="C170 Q170:S170 L170 F170:G170">
    <cfRule type="expression" dxfId="3194" priority="3322" stopIfTrue="1">
      <formula>$A170="Chkvlv"</formula>
    </cfRule>
  </conditionalFormatting>
  <conditionalFormatting sqref="D170">
    <cfRule type="expression" dxfId="3193" priority="3323" stopIfTrue="1">
      <formula>$A170="Chkvlv"</formula>
    </cfRule>
    <cfRule type="expression" dxfId="3192" priority="3369" stopIfTrue="1">
      <formula>$A170="Triplog"</formula>
    </cfRule>
  </conditionalFormatting>
  <conditionalFormatting sqref="U170 K170">
    <cfRule type="expression" dxfId="3191" priority="3324" stopIfTrue="1">
      <formula>$A170="Chkvlv"</formula>
    </cfRule>
    <cfRule type="expression" dxfId="3190" priority="3342" stopIfTrue="1">
      <formula>$A170="Snglvol"</formula>
    </cfRule>
  </conditionalFormatting>
  <conditionalFormatting sqref="M170">
    <cfRule type="expression" dxfId="3189" priority="3325" stopIfTrue="1">
      <formula>$A170="Chkvlv"</formula>
    </cfRule>
    <cfRule type="expression" dxfId="3188" priority="3343" stopIfTrue="1">
      <formula>$A170="Snglvol"</formula>
    </cfRule>
  </conditionalFormatting>
  <conditionalFormatting sqref="C170">
    <cfRule type="expression" dxfId="3187" priority="3326" stopIfTrue="1">
      <formula>$A170="Inrvlv"</formula>
    </cfRule>
    <cfRule type="expression" dxfId="3186" priority="3350" stopIfTrue="1">
      <formula>$A170="Init"</formula>
    </cfRule>
    <cfRule type="expression" dxfId="3185" priority="3356" stopIfTrue="1">
      <formula>$A170="Timestep"</formula>
    </cfRule>
    <cfRule type="expression" dxfId="3184" priority="3368" stopIfTrue="1">
      <formula>$A170="Triplog"</formula>
    </cfRule>
  </conditionalFormatting>
  <conditionalFormatting sqref="Q170:R170 L170 F170:G170 D170">
    <cfRule type="expression" dxfId="3183" priority="3327" stopIfTrue="1">
      <formula>$A170="Inrvlv"</formula>
    </cfRule>
  </conditionalFormatting>
  <conditionalFormatting sqref="S170">
    <cfRule type="expression" dxfId="3182" priority="3328" stopIfTrue="1">
      <formula>$A170="Inrvlv"</formula>
    </cfRule>
    <cfRule type="expression" dxfId="3181" priority="3332" stopIfTrue="1">
      <formula>$A170="Tmdpjun"</formula>
    </cfRule>
    <cfRule type="expression" dxfId="3180" priority="3335" stopIfTrue="1">
      <formula>$A170="Pump"</formula>
    </cfRule>
    <cfRule type="expression" dxfId="3179" priority="3338" stopIfTrue="1">
      <formula>$A170="Tmdpvol"</formula>
    </cfRule>
    <cfRule type="expression" dxfId="3178" priority="3345" stopIfTrue="1">
      <formula>$A170="Snglvol"</formula>
    </cfRule>
  </conditionalFormatting>
  <conditionalFormatting sqref="Q170 L170 F170:G170 C170:D170">
    <cfRule type="expression" dxfId="3177" priority="3330" stopIfTrue="1">
      <formula>$A170="Tmdpjun"</formula>
    </cfRule>
  </conditionalFormatting>
  <conditionalFormatting sqref="Q170 L170 D170">
    <cfRule type="expression" dxfId="3176" priority="3333" stopIfTrue="1">
      <formula>$A170="Pump"</formula>
    </cfRule>
  </conditionalFormatting>
  <conditionalFormatting sqref="L170:P170 T170 H170:I170 D170">
    <cfRule type="expression" dxfId="3175" priority="3336" stopIfTrue="1">
      <formula>$A170="Tmdpvol"</formula>
    </cfRule>
  </conditionalFormatting>
  <conditionalFormatting sqref="B170">
    <cfRule type="expression" dxfId="3174" priority="3339" stopIfTrue="1">
      <formula>$A170="Snglvol"</formula>
    </cfRule>
    <cfRule type="expression" dxfId="3173" priority="3349" stopIfTrue="1">
      <formula>$A170="Init"</formula>
    </cfRule>
    <cfRule type="expression" dxfId="3172" priority="3355" stopIfTrue="1">
      <formula>$A170="Timestep"</formula>
    </cfRule>
    <cfRule type="expression" dxfId="3171" priority="3360" stopIfTrue="1">
      <formula>$A170="Triggerwords"</formula>
    </cfRule>
    <cfRule type="expression" dxfId="3170" priority="3364" stopIfTrue="1">
      <formula>$A170="Tripvar"</formula>
    </cfRule>
  </conditionalFormatting>
  <conditionalFormatting sqref="T170 N170:Q170 L170 H170:I170 D170">
    <cfRule type="expression" dxfId="3169" priority="3341" stopIfTrue="1">
      <formula>$A170="Snglvol"</formula>
    </cfRule>
  </conditionalFormatting>
  <conditionalFormatting sqref="A170">
    <cfRule type="expression" dxfId="3168" priority="3346" stopIfTrue="1">
      <formula>$A170="Relapnr"</formula>
    </cfRule>
  </conditionalFormatting>
  <conditionalFormatting sqref="A170">
    <cfRule type="expression" dxfId="3167" priority="3348" stopIfTrue="1">
      <formula>$A170="Init"</formula>
    </cfRule>
  </conditionalFormatting>
  <conditionalFormatting sqref="A170">
    <cfRule type="expression" dxfId="3166" priority="3351" stopIfTrue="1">
      <formula>$A170="InitGas"</formula>
    </cfRule>
  </conditionalFormatting>
  <conditionalFormatting sqref="A170 D170">
    <cfRule type="expression" dxfId="3165" priority="3354" stopIfTrue="1">
      <formula>$A170="Timestep"</formula>
    </cfRule>
  </conditionalFormatting>
  <conditionalFormatting sqref="A170">
    <cfRule type="expression" dxfId="3164" priority="3357" stopIfTrue="1">
      <formula>$A170="Replacements"</formula>
    </cfRule>
  </conditionalFormatting>
  <conditionalFormatting sqref="A170">
    <cfRule type="expression" dxfId="3163" priority="3359" stopIfTrue="1">
      <formula>$A170="Triggerwords"</formula>
    </cfRule>
  </conditionalFormatting>
  <conditionalFormatting sqref="A170">
    <cfRule type="expression" dxfId="3162" priority="3361" stopIfTrue="1">
      <formula>$A170="Custom"</formula>
    </cfRule>
  </conditionalFormatting>
  <conditionalFormatting sqref="A170 F170:I170 D170">
    <cfRule type="expression" dxfId="3161" priority="3363" stopIfTrue="1">
      <formula>$A170="Tripvar"</formula>
    </cfRule>
  </conditionalFormatting>
  <conditionalFormatting sqref="A170 F170">
    <cfRule type="expression" dxfId="3160" priority="3366" stopIfTrue="1">
      <formula>$A170="Triplog"</formula>
    </cfRule>
  </conditionalFormatting>
  <conditionalFormatting sqref="E170">
    <cfRule type="expression" dxfId="3159" priority="3288" stopIfTrue="1">
      <formula>$A170="Pipe"</formula>
    </cfRule>
  </conditionalFormatting>
  <conditionalFormatting sqref="E170">
    <cfRule type="expression" dxfId="3158" priority="3289" stopIfTrue="1">
      <formula>$A170="Junction"</formula>
    </cfRule>
  </conditionalFormatting>
  <conditionalFormatting sqref="E170">
    <cfRule type="expression" dxfId="3157" priority="3290" stopIfTrue="1">
      <formula>$A170="Sngljun"</formula>
    </cfRule>
  </conditionalFormatting>
  <conditionalFormatting sqref="E170">
    <cfRule type="expression" dxfId="3156" priority="3291" stopIfTrue="1">
      <formula>$A170="Mtrvlv"</formula>
    </cfRule>
  </conditionalFormatting>
  <conditionalFormatting sqref="E170">
    <cfRule type="expression" dxfId="3155" priority="3292" stopIfTrue="1">
      <formula>$A170="Srvvlv"</formula>
    </cfRule>
  </conditionalFormatting>
  <conditionalFormatting sqref="E170">
    <cfRule type="expression" dxfId="3154" priority="3293" stopIfTrue="1">
      <formula>$A170="Chkvlv"</formula>
    </cfRule>
  </conditionalFormatting>
  <conditionalFormatting sqref="E170">
    <cfRule type="expression" dxfId="3153" priority="3294" stopIfTrue="1">
      <formula>$A170="Inrvlv"</formula>
    </cfRule>
  </conditionalFormatting>
  <conditionalFormatting sqref="E170">
    <cfRule type="expression" dxfId="3152" priority="3295" stopIfTrue="1">
      <formula>$A170="Tmdpjun"</formula>
    </cfRule>
  </conditionalFormatting>
  <conditionalFormatting sqref="E170">
    <cfRule type="expression" dxfId="3151" priority="3296" stopIfTrue="1">
      <formula>$A170="Pump"</formula>
    </cfRule>
  </conditionalFormatting>
  <conditionalFormatting sqref="E170">
    <cfRule type="expression" dxfId="3150" priority="3297" stopIfTrue="1">
      <formula>$A170="Tmdpvol"</formula>
    </cfRule>
  </conditionalFormatting>
  <conditionalFormatting sqref="E170">
    <cfRule type="expression" dxfId="3149" priority="3298" stopIfTrue="1">
      <formula>$A170="Snglvol"</formula>
    </cfRule>
  </conditionalFormatting>
  <conditionalFormatting sqref="E170">
    <cfRule type="expression" dxfId="3148" priority="3299" stopIfTrue="1">
      <formula>$A170="Timestep"</formula>
    </cfRule>
  </conditionalFormatting>
  <conditionalFormatting sqref="E170">
    <cfRule type="expression" dxfId="3147" priority="3300" stopIfTrue="1">
      <formula>$A170="Tripvar"</formula>
    </cfRule>
  </conditionalFormatting>
  <conditionalFormatting sqref="E170">
    <cfRule type="expression" dxfId="3146" priority="3301" stopIfTrue="1">
      <formula>$A170="Triplog"</formula>
    </cfRule>
  </conditionalFormatting>
  <conditionalFormatting sqref="A178:A180">
    <cfRule type="expression" dxfId="3145" priority="3232" stopIfTrue="1">
      <formula>$A178="Pipe"</formula>
    </cfRule>
  </conditionalFormatting>
  <conditionalFormatting sqref="B178:B179">
    <cfRule type="expression" dxfId="3144" priority="3233" stopIfTrue="1">
      <formula>$A178="Pipe"</formula>
    </cfRule>
  </conditionalFormatting>
  <conditionalFormatting sqref="C178:C180">
    <cfRule type="expression" dxfId="3143" priority="3234" stopIfTrue="1">
      <formula>$A178="Pipe"</formula>
    </cfRule>
  </conditionalFormatting>
  <conditionalFormatting sqref="A178:A180">
    <cfRule type="expression" dxfId="3142" priority="3235" stopIfTrue="1">
      <formula>$A178="Junction"</formula>
    </cfRule>
  </conditionalFormatting>
  <conditionalFormatting sqref="B178:B179">
    <cfRule type="expression" dxfId="3141" priority="3236" stopIfTrue="1">
      <formula>$A178="Junction"</formula>
    </cfRule>
  </conditionalFormatting>
  <conditionalFormatting sqref="C178:C180">
    <cfRule type="expression" dxfId="3140" priority="3237" stopIfTrue="1">
      <formula>$A178="Junction"</formula>
    </cfRule>
    <cfRule type="expression" dxfId="3139" priority="3264" stopIfTrue="1">
      <formula>$A178="Snglvol"</formula>
    </cfRule>
    <cfRule type="expression" dxfId="3138" priority="3272" stopIfTrue="1">
      <formula>$A178="InitGas"</formula>
    </cfRule>
    <cfRule type="expression" dxfId="3137" priority="3284" stopIfTrue="1">
      <formula>$A178="Tripvar"</formula>
    </cfRule>
  </conditionalFormatting>
  <conditionalFormatting sqref="A178:A180">
    <cfRule type="expression" dxfId="3136" priority="3238" stopIfTrue="1">
      <formula>$A178="Sngljun"</formula>
    </cfRule>
  </conditionalFormatting>
  <conditionalFormatting sqref="B178:B179">
    <cfRule type="expression" dxfId="3135" priority="3239" stopIfTrue="1">
      <formula>$A178="Sngljun"</formula>
    </cfRule>
  </conditionalFormatting>
  <conditionalFormatting sqref="C178:C180">
    <cfRule type="expression" dxfId="3134" priority="3240" stopIfTrue="1">
      <formula>$A178="Sngljun"</formula>
    </cfRule>
  </conditionalFormatting>
  <conditionalFormatting sqref="A178:A180">
    <cfRule type="expression" dxfId="3133" priority="3241" stopIfTrue="1">
      <formula>$A178="Mtrvlv"</formula>
    </cfRule>
  </conditionalFormatting>
  <conditionalFormatting sqref="B178:B179">
    <cfRule type="expression" dxfId="3132" priority="3242" stopIfTrue="1">
      <formula>$A178="Mtrvlv"</formula>
    </cfRule>
  </conditionalFormatting>
  <conditionalFormatting sqref="C178:C180">
    <cfRule type="expression" dxfId="3131" priority="3243" stopIfTrue="1">
      <formula>$A178="Mtrvlv"</formula>
    </cfRule>
  </conditionalFormatting>
  <conditionalFormatting sqref="A178:A180">
    <cfRule type="expression" dxfId="3130" priority="3244" stopIfTrue="1">
      <formula>$A178="Srvvlv"</formula>
    </cfRule>
    <cfRule type="expression" dxfId="3129" priority="3253" stopIfTrue="1">
      <formula>$A178="Tmdpjun"</formula>
    </cfRule>
  </conditionalFormatting>
  <conditionalFormatting sqref="B178:B179">
    <cfRule type="expression" dxfId="3128" priority="3245" stopIfTrue="1">
      <formula>$A178="Srvvlv"</formula>
    </cfRule>
  </conditionalFormatting>
  <conditionalFormatting sqref="C178:C180">
    <cfRule type="expression" dxfId="3127" priority="3246" stopIfTrue="1">
      <formula>$A178="Srvvlv"</formula>
    </cfRule>
  </conditionalFormatting>
  <conditionalFormatting sqref="A178:A180">
    <cfRule type="expression" dxfId="3126" priority="3247" stopIfTrue="1">
      <formula>$A178="Chkvlv"</formula>
    </cfRule>
  </conditionalFormatting>
  <conditionalFormatting sqref="B178:B179">
    <cfRule type="expression" dxfId="3125" priority="3248" stopIfTrue="1">
      <formula>$A178="Chkvlv"</formula>
    </cfRule>
    <cfRule type="expression" dxfId="3124" priority="3266" stopIfTrue="1">
      <formula>$A178="Relapnr"</formula>
    </cfRule>
    <cfRule type="expression" dxfId="3123" priority="3271" stopIfTrue="1">
      <formula>$A178="InitGas"</formula>
    </cfRule>
    <cfRule type="expression" dxfId="3122" priority="3277" stopIfTrue="1">
      <formula>$A178="Replacements"</formula>
    </cfRule>
    <cfRule type="expression" dxfId="3121" priority="3281" stopIfTrue="1">
      <formula>$A178="Custom"</formula>
    </cfRule>
    <cfRule type="expression" dxfId="3120" priority="3286" stopIfTrue="1">
      <formula>$A178="Triplog"</formula>
    </cfRule>
  </conditionalFormatting>
  <conditionalFormatting sqref="C178:C180">
    <cfRule type="expression" dxfId="3119" priority="3249" stopIfTrue="1">
      <formula>$A178="Chkvlv"</formula>
    </cfRule>
  </conditionalFormatting>
  <conditionalFormatting sqref="A178:A180">
    <cfRule type="expression" dxfId="3118" priority="3250" stopIfTrue="1">
      <formula>$A178="Inrvlv"</formula>
    </cfRule>
  </conditionalFormatting>
  <conditionalFormatting sqref="B178:B179">
    <cfRule type="expression" dxfId="3117" priority="3251" stopIfTrue="1">
      <formula>$A178="Inrvlv"</formula>
    </cfRule>
  </conditionalFormatting>
  <conditionalFormatting sqref="C178:C180">
    <cfRule type="expression" dxfId="3116" priority="3252" stopIfTrue="1">
      <formula>$A178="Inrvlv"</formula>
    </cfRule>
    <cfRule type="expression" dxfId="3115" priority="3269" stopIfTrue="1">
      <formula>$A178="Init"</formula>
    </cfRule>
    <cfRule type="expression" dxfId="3114" priority="3275" stopIfTrue="1">
      <formula>$A178="Timestep"</formula>
    </cfRule>
    <cfRule type="expression" dxfId="3113" priority="3287" stopIfTrue="1">
      <formula>$A178="Triplog"</formula>
    </cfRule>
  </conditionalFormatting>
  <conditionalFormatting sqref="B178:B179">
    <cfRule type="expression" dxfId="3112" priority="3254" stopIfTrue="1">
      <formula>$A178="Tmdpjun"</formula>
    </cfRule>
  </conditionalFormatting>
  <conditionalFormatting sqref="C178:C180">
    <cfRule type="expression" dxfId="3111" priority="3255" stopIfTrue="1">
      <formula>$A178="Tmdpjun"</formula>
    </cfRule>
  </conditionalFormatting>
  <conditionalFormatting sqref="A178:A180">
    <cfRule type="expression" dxfId="3110" priority="3256" stopIfTrue="1">
      <formula>$A178="Pump"</formula>
    </cfRule>
  </conditionalFormatting>
  <conditionalFormatting sqref="B178:B179">
    <cfRule type="expression" dxfId="3109" priority="3257" stopIfTrue="1">
      <formula>$A178="Pump"</formula>
    </cfRule>
  </conditionalFormatting>
  <conditionalFormatting sqref="C178:C180">
    <cfRule type="expression" dxfId="3108" priority="3258" stopIfTrue="1">
      <formula>$A178="Pump"</formula>
    </cfRule>
  </conditionalFormatting>
  <conditionalFormatting sqref="A178:A180">
    <cfRule type="expression" dxfId="3107" priority="3259" stopIfTrue="1">
      <formula>$A178="Tmdpvol"</formula>
    </cfRule>
  </conditionalFormatting>
  <conditionalFormatting sqref="B178:B179">
    <cfRule type="expression" dxfId="3106" priority="3260" stopIfTrue="1">
      <formula>$A178="Tmdpvol"</formula>
    </cfRule>
  </conditionalFormatting>
  <conditionalFormatting sqref="C178:C180">
    <cfRule type="expression" dxfId="3105" priority="3261" stopIfTrue="1">
      <formula>$A178="Tmdpvol"</formula>
    </cfRule>
  </conditionalFormatting>
  <conditionalFormatting sqref="A178:A180">
    <cfRule type="expression" dxfId="3104" priority="3262" stopIfTrue="1">
      <formula>$A178="Snglvol"</formula>
    </cfRule>
  </conditionalFormatting>
  <conditionalFormatting sqref="B178:B179">
    <cfRule type="expression" dxfId="3103" priority="3263" stopIfTrue="1">
      <formula>$A178="Snglvol"</formula>
    </cfRule>
    <cfRule type="expression" dxfId="3102" priority="3268" stopIfTrue="1">
      <formula>$A178="Init"</formula>
    </cfRule>
    <cfRule type="expression" dxfId="3101" priority="3274" stopIfTrue="1">
      <formula>$A178="Timestep"</formula>
    </cfRule>
    <cfRule type="expression" dxfId="3100" priority="3279" stopIfTrue="1">
      <formula>$A178="Triggerwords"</formula>
    </cfRule>
    <cfRule type="expression" dxfId="3099" priority="3283" stopIfTrue="1">
      <formula>$A178="Tripvar"</formula>
    </cfRule>
  </conditionalFormatting>
  <conditionalFormatting sqref="A178:A180">
    <cfRule type="expression" dxfId="3098" priority="3265" stopIfTrue="1">
      <formula>$A178="Relapnr"</formula>
    </cfRule>
  </conditionalFormatting>
  <conditionalFormatting sqref="A178:A180">
    <cfRule type="expression" dxfId="3097" priority="3267" stopIfTrue="1">
      <formula>$A178="Init"</formula>
    </cfRule>
  </conditionalFormatting>
  <conditionalFormatting sqref="A178:A180">
    <cfRule type="expression" dxfId="3096" priority="3270" stopIfTrue="1">
      <formula>$A178="InitGas"</formula>
    </cfRule>
  </conditionalFormatting>
  <conditionalFormatting sqref="A178:A180">
    <cfRule type="expression" dxfId="3095" priority="3273" stopIfTrue="1">
      <formula>$A178="Timestep"</formula>
    </cfRule>
  </conditionalFormatting>
  <conditionalFormatting sqref="A178:A180">
    <cfRule type="expression" dxfId="3094" priority="3276" stopIfTrue="1">
      <formula>$A178="Replacements"</formula>
    </cfRule>
  </conditionalFormatting>
  <conditionalFormatting sqref="A178:A180">
    <cfRule type="expression" dxfId="3093" priority="3278" stopIfTrue="1">
      <formula>$A178="Triggerwords"</formula>
    </cfRule>
  </conditionalFormatting>
  <conditionalFormatting sqref="A178:A180">
    <cfRule type="expression" dxfId="3092" priority="3280" stopIfTrue="1">
      <formula>$A178="Custom"</formula>
    </cfRule>
  </conditionalFormatting>
  <conditionalFormatting sqref="A178:A180">
    <cfRule type="expression" dxfId="3091" priority="3282" stopIfTrue="1">
      <formula>$A178="Tripvar"</formula>
    </cfRule>
  </conditionalFormatting>
  <conditionalFormatting sqref="A178:A180">
    <cfRule type="expression" dxfId="3090" priority="3285" stopIfTrue="1">
      <formula>$A178="Triplog"</formula>
    </cfRule>
  </conditionalFormatting>
  <conditionalFormatting sqref="U183:V183 Q183 A183:D183 F183:L183">
    <cfRule type="expression" dxfId="3089" priority="3164" stopIfTrue="1">
      <formula>$A183="Pipe"</formula>
    </cfRule>
  </conditionalFormatting>
  <conditionalFormatting sqref="M183:P183 U183:V183 A183:B183 H183:K183">
    <cfRule type="expression" dxfId="3088" priority="3165" stopIfTrue="1">
      <formula>$A183="Junction"</formula>
    </cfRule>
  </conditionalFormatting>
  <conditionalFormatting sqref="M183:P183 T183:V183 A183:B183 H183:K183">
    <cfRule type="expression" dxfId="3087" priority="3166" stopIfTrue="1">
      <formula>$A183="Mtrvlv"</formula>
    </cfRule>
  </conditionalFormatting>
  <conditionalFormatting sqref="M183:P183 T183:V183 B183 H183:K183">
    <cfRule type="expression" dxfId="3086" priority="3167" stopIfTrue="1">
      <formula>$A183="Srvvlv"</formula>
    </cfRule>
  </conditionalFormatting>
  <conditionalFormatting sqref="V183 T183 N183:P183 A183 H183:J183">
    <cfRule type="expression" dxfId="3085" priority="3168" stopIfTrue="1">
      <formula>$A183="Chkvlv"</formula>
    </cfRule>
  </conditionalFormatting>
  <conditionalFormatting sqref="M183:P183 T183:V183 A183:B183 H183:K183">
    <cfRule type="expression" dxfId="3084" priority="3169" stopIfTrue="1">
      <formula>$A183="Inrvlv"</formula>
    </cfRule>
  </conditionalFormatting>
  <conditionalFormatting sqref="M183:P183 T183:V183 B183 H183:K183">
    <cfRule type="expression" dxfId="3083" priority="3170" stopIfTrue="1">
      <formula>$A183="Tmdpjun"</formula>
    </cfRule>
  </conditionalFormatting>
  <conditionalFormatting sqref="M183:P183 T183:V183 A183:C183 F183:K183">
    <cfRule type="expression" dxfId="3082" priority="3171" stopIfTrue="1">
      <formula>$A183="Pump"</formula>
    </cfRule>
  </conditionalFormatting>
  <conditionalFormatting sqref="U183:V183 Q183 J183:K183 F183:G183 A183:C183">
    <cfRule type="expression" dxfId="3081" priority="3172" stopIfTrue="1">
      <formula>$A183="Tmdpvol"</formula>
    </cfRule>
  </conditionalFormatting>
  <conditionalFormatting sqref="V183 J183 F183:G183 A183">
    <cfRule type="expression" dxfId="3080" priority="3173" stopIfTrue="1">
      <formula>$A183="Snglvol"</formula>
    </cfRule>
  </conditionalFormatting>
  <conditionalFormatting sqref="M183:P183 U183:V183 A183:B183 H183:K183">
    <cfRule type="expression" dxfId="3079" priority="3174" stopIfTrue="1">
      <formula>$A183="Sngljun"</formula>
    </cfRule>
  </conditionalFormatting>
  <conditionalFormatting sqref="M183:P183 R183:T183">
    <cfRule type="expression" dxfId="3078" priority="3175" stopIfTrue="1">
      <formula>$A183="Pipe"</formula>
    </cfRule>
  </conditionalFormatting>
  <conditionalFormatting sqref="C183">
    <cfRule type="expression" dxfId="3077" priority="3176" stopIfTrue="1">
      <formula>$A183="Junction"</formula>
    </cfRule>
    <cfRule type="expression" dxfId="3076" priority="3202" stopIfTrue="1">
      <formula>$A183="Snglvol"</formula>
    </cfRule>
    <cfRule type="expression" dxfId="3075" priority="3215" stopIfTrue="1">
      <formula>$A183="InitGas"</formula>
    </cfRule>
    <cfRule type="expression" dxfId="3074" priority="3227" stopIfTrue="1">
      <formula>$A183="Tripvar"</formula>
    </cfRule>
  </conditionalFormatting>
  <conditionalFormatting sqref="Q183:T183 L183 F183:G183 D183">
    <cfRule type="expression" dxfId="3073" priority="3177" stopIfTrue="1">
      <formula>$A183="Junction"</formula>
    </cfRule>
  </conditionalFormatting>
  <conditionalFormatting sqref="Q183:T183 L183 F183:G183 C183:D183">
    <cfRule type="expression" dxfId="3072" priority="3178" stopIfTrue="1">
      <formula>$A183="Sngljun"</formula>
    </cfRule>
  </conditionalFormatting>
  <conditionalFormatting sqref="Q183:S183 L183 F183:G183 C183:D183">
    <cfRule type="expression" dxfId="3071" priority="3179" stopIfTrue="1">
      <formula>$A183="Mtrvlv"</formula>
    </cfRule>
  </conditionalFormatting>
  <conditionalFormatting sqref="A183">
    <cfRule type="expression" dxfId="3070" priority="3180" stopIfTrue="1">
      <formula>$A183="Srvvlv"</formula>
    </cfRule>
    <cfRule type="expression" dxfId="3069" priority="3191" stopIfTrue="1">
      <formula>$A183="Tmdpjun"</formula>
    </cfRule>
  </conditionalFormatting>
  <conditionalFormatting sqref="S183 Q183 L183 F183:G183 C183:D183">
    <cfRule type="expression" dxfId="3068" priority="3181" stopIfTrue="1">
      <formula>$A183="Srvvlv"</formula>
    </cfRule>
  </conditionalFormatting>
  <conditionalFormatting sqref="R183">
    <cfRule type="expression" dxfId="3067" priority="3182" stopIfTrue="1">
      <formula>$A183="Srvvlv"</formula>
    </cfRule>
    <cfRule type="expression" dxfId="3066" priority="3193" stopIfTrue="1">
      <formula>$A183="Tmdpjun"</formula>
    </cfRule>
    <cfRule type="expression" dxfId="3065" priority="3196" stopIfTrue="1">
      <formula>$A183="Pump"</formula>
    </cfRule>
    <cfRule type="expression" dxfId="3064" priority="3199" stopIfTrue="1">
      <formula>$A183="Tmdpvol"</formula>
    </cfRule>
    <cfRule type="expression" dxfId="3063" priority="3206" stopIfTrue="1">
      <formula>$A183="Snglvol"</formula>
    </cfRule>
  </conditionalFormatting>
  <conditionalFormatting sqref="B183">
    <cfRule type="expression" dxfId="3062" priority="3183" stopIfTrue="1">
      <formula>$A183="Chkvlv"</formula>
    </cfRule>
    <cfRule type="expression" dxfId="3061" priority="3209" stopIfTrue="1">
      <formula>$A183="Relapnr"</formula>
    </cfRule>
    <cfRule type="expression" dxfId="3060" priority="3214" stopIfTrue="1">
      <formula>$A183="InitGas"</formula>
    </cfRule>
    <cfRule type="expression" dxfId="3059" priority="3220" stopIfTrue="1">
      <formula>$A183="Replacements"</formula>
    </cfRule>
    <cfRule type="expression" dxfId="3058" priority="3224" stopIfTrue="1">
      <formula>$A183="Custom"</formula>
    </cfRule>
    <cfRule type="expression" dxfId="3057" priority="3229" stopIfTrue="1">
      <formula>$A183="Triplog"</formula>
    </cfRule>
  </conditionalFormatting>
  <conditionalFormatting sqref="C183 Q183:S183 L183 F183:G183">
    <cfRule type="expression" dxfId="3056" priority="3184" stopIfTrue="1">
      <formula>$A183="Chkvlv"</formula>
    </cfRule>
  </conditionalFormatting>
  <conditionalFormatting sqref="D183">
    <cfRule type="expression" dxfId="3055" priority="3185" stopIfTrue="1">
      <formula>$A183="Chkvlv"</formula>
    </cfRule>
    <cfRule type="expression" dxfId="3054" priority="3231" stopIfTrue="1">
      <formula>$A183="Triplog"</formula>
    </cfRule>
  </conditionalFormatting>
  <conditionalFormatting sqref="U183 K183">
    <cfRule type="expression" dxfId="3053" priority="3186" stopIfTrue="1">
      <formula>$A183="Chkvlv"</formula>
    </cfRule>
    <cfRule type="expression" dxfId="3052" priority="3204" stopIfTrue="1">
      <formula>$A183="Snglvol"</formula>
    </cfRule>
  </conditionalFormatting>
  <conditionalFormatting sqref="M183">
    <cfRule type="expression" dxfId="3051" priority="3187" stopIfTrue="1">
      <formula>$A183="Chkvlv"</formula>
    </cfRule>
    <cfRule type="expression" dxfId="3050" priority="3205" stopIfTrue="1">
      <formula>$A183="Snglvol"</formula>
    </cfRule>
  </conditionalFormatting>
  <conditionalFormatting sqref="C183">
    <cfRule type="expression" dxfId="3049" priority="3188" stopIfTrue="1">
      <formula>$A183="Inrvlv"</formula>
    </cfRule>
    <cfRule type="expression" dxfId="3048" priority="3212" stopIfTrue="1">
      <formula>$A183="Init"</formula>
    </cfRule>
    <cfRule type="expression" dxfId="3047" priority="3218" stopIfTrue="1">
      <formula>$A183="Timestep"</formula>
    </cfRule>
    <cfRule type="expression" dxfId="3046" priority="3230" stopIfTrue="1">
      <formula>$A183="Triplog"</formula>
    </cfRule>
  </conditionalFormatting>
  <conditionalFormatting sqref="Q183:R183 L183 F183:G183 D183">
    <cfRule type="expression" dxfId="3045" priority="3189" stopIfTrue="1">
      <formula>$A183="Inrvlv"</formula>
    </cfRule>
  </conditionalFormatting>
  <conditionalFormatting sqref="S183">
    <cfRule type="expression" dxfId="3044" priority="3190" stopIfTrue="1">
      <formula>$A183="Inrvlv"</formula>
    </cfRule>
    <cfRule type="expression" dxfId="3043" priority="3194" stopIfTrue="1">
      <formula>$A183="Tmdpjun"</formula>
    </cfRule>
    <cfRule type="expression" dxfId="3042" priority="3197" stopIfTrue="1">
      <formula>$A183="Pump"</formula>
    </cfRule>
    <cfRule type="expression" dxfId="3041" priority="3200" stopIfTrue="1">
      <formula>$A183="Tmdpvol"</formula>
    </cfRule>
    <cfRule type="expression" dxfId="3040" priority="3207" stopIfTrue="1">
      <formula>$A183="Snglvol"</formula>
    </cfRule>
  </conditionalFormatting>
  <conditionalFormatting sqref="Q183 L183 F183:G183 C183:D183">
    <cfRule type="expression" dxfId="3039" priority="3192" stopIfTrue="1">
      <formula>$A183="Tmdpjun"</formula>
    </cfRule>
  </conditionalFormatting>
  <conditionalFormatting sqref="Q183 L183 D183">
    <cfRule type="expression" dxfId="3038" priority="3195" stopIfTrue="1">
      <formula>$A183="Pump"</formula>
    </cfRule>
  </conditionalFormatting>
  <conditionalFormatting sqref="L183:P183 T183 H183:I183 D183">
    <cfRule type="expression" dxfId="3037" priority="3198" stopIfTrue="1">
      <formula>$A183="Tmdpvol"</formula>
    </cfRule>
  </conditionalFormatting>
  <conditionalFormatting sqref="B183">
    <cfRule type="expression" dxfId="3036" priority="3201" stopIfTrue="1">
      <formula>$A183="Snglvol"</formula>
    </cfRule>
    <cfRule type="expression" dxfId="3035" priority="3211" stopIfTrue="1">
      <formula>$A183="Init"</formula>
    </cfRule>
    <cfRule type="expression" dxfId="3034" priority="3217" stopIfTrue="1">
      <formula>$A183="Timestep"</formula>
    </cfRule>
    <cfRule type="expression" dxfId="3033" priority="3222" stopIfTrue="1">
      <formula>$A183="Triggerwords"</formula>
    </cfRule>
    <cfRule type="expression" dxfId="3032" priority="3226" stopIfTrue="1">
      <formula>$A183="Tripvar"</formula>
    </cfRule>
  </conditionalFormatting>
  <conditionalFormatting sqref="T183 N183:Q183 L183 H183:I183 D183">
    <cfRule type="expression" dxfId="3031" priority="3203" stopIfTrue="1">
      <formula>$A183="Snglvol"</formula>
    </cfRule>
  </conditionalFormatting>
  <conditionalFormatting sqref="A183">
    <cfRule type="expression" dxfId="3030" priority="3208" stopIfTrue="1">
      <formula>$A183="Relapnr"</formula>
    </cfRule>
  </conditionalFormatting>
  <conditionalFormatting sqref="A183">
    <cfRule type="expression" dxfId="3029" priority="3210" stopIfTrue="1">
      <formula>$A183="Init"</formula>
    </cfRule>
  </conditionalFormatting>
  <conditionalFormatting sqref="A183">
    <cfRule type="expression" dxfId="3028" priority="3213" stopIfTrue="1">
      <formula>$A183="InitGas"</formula>
    </cfRule>
  </conditionalFormatting>
  <conditionalFormatting sqref="A183 D183">
    <cfRule type="expression" dxfId="3027" priority="3216" stopIfTrue="1">
      <formula>$A183="Timestep"</formula>
    </cfRule>
  </conditionalFormatting>
  <conditionalFormatting sqref="A183">
    <cfRule type="expression" dxfId="3026" priority="3219" stopIfTrue="1">
      <formula>$A183="Replacements"</formula>
    </cfRule>
  </conditionalFormatting>
  <conditionalFormatting sqref="A183">
    <cfRule type="expression" dxfId="3025" priority="3221" stopIfTrue="1">
      <formula>$A183="Triggerwords"</formula>
    </cfRule>
  </conditionalFormatting>
  <conditionalFormatting sqref="A183">
    <cfRule type="expression" dxfId="3024" priority="3223" stopIfTrue="1">
      <formula>$A183="Custom"</formula>
    </cfRule>
  </conditionalFormatting>
  <conditionalFormatting sqref="A183 F183:I183 D183">
    <cfRule type="expression" dxfId="3023" priority="3225" stopIfTrue="1">
      <formula>$A183="Tripvar"</formula>
    </cfRule>
  </conditionalFormatting>
  <conditionalFormatting sqref="A183 F183">
    <cfRule type="expression" dxfId="3022" priority="3228" stopIfTrue="1">
      <formula>$A183="Triplog"</formula>
    </cfRule>
  </conditionalFormatting>
  <conditionalFormatting sqref="E183">
    <cfRule type="expression" dxfId="3021" priority="3150" stopIfTrue="1">
      <formula>$A183="Pipe"</formula>
    </cfRule>
  </conditionalFormatting>
  <conditionalFormatting sqref="E183">
    <cfRule type="expression" dxfId="3020" priority="3151" stopIfTrue="1">
      <formula>$A183="Junction"</formula>
    </cfRule>
  </conditionalFormatting>
  <conditionalFormatting sqref="E183">
    <cfRule type="expression" dxfId="3019" priority="3152" stopIfTrue="1">
      <formula>$A183="Sngljun"</formula>
    </cfRule>
  </conditionalFormatting>
  <conditionalFormatting sqref="E183">
    <cfRule type="expression" dxfId="3018" priority="3153" stopIfTrue="1">
      <formula>$A183="Mtrvlv"</formula>
    </cfRule>
  </conditionalFormatting>
  <conditionalFormatting sqref="E183">
    <cfRule type="expression" dxfId="3017" priority="3154" stopIfTrue="1">
      <formula>$A183="Srvvlv"</formula>
    </cfRule>
  </conditionalFormatting>
  <conditionalFormatting sqref="E183">
    <cfRule type="expression" dxfId="3016" priority="3155" stopIfTrue="1">
      <formula>$A183="Chkvlv"</formula>
    </cfRule>
  </conditionalFormatting>
  <conditionalFormatting sqref="E183">
    <cfRule type="expression" dxfId="3015" priority="3156" stopIfTrue="1">
      <formula>$A183="Inrvlv"</formula>
    </cfRule>
  </conditionalFormatting>
  <conditionalFormatting sqref="E183">
    <cfRule type="expression" dxfId="3014" priority="3157" stopIfTrue="1">
      <formula>$A183="Tmdpjun"</formula>
    </cfRule>
  </conditionalFormatting>
  <conditionalFormatting sqref="E183">
    <cfRule type="expression" dxfId="3013" priority="3158" stopIfTrue="1">
      <formula>$A183="Pump"</formula>
    </cfRule>
  </conditionalFormatting>
  <conditionalFormatting sqref="E183">
    <cfRule type="expression" dxfId="3012" priority="3159" stopIfTrue="1">
      <formula>$A183="Tmdpvol"</formula>
    </cfRule>
  </conditionalFormatting>
  <conditionalFormatting sqref="E183">
    <cfRule type="expression" dxfId="3011" priority="3160" stopIfTrue="1">
      <formula>$A183="Snglvol"</formula>
    </cfRule>
  </conditionalFormatting>
  <conditionalFormatting sqref="E183">
    <cfRule type="expression" dxfId="3010" priority="3161" stopIfTrue="1">
      <formula>$A183="Timestep"</formula>
    </cfRule>
  </conditionalFormatting>
  <conditionalFormatting sqref="E183">
    <cfRule type="expression" dxfId="3009" priority="3162" stopIfTrue="1">
      <formula>$A183="Tripvar"</formula>
    </cfRule>
  </conditionalFormatting>
  <conditionalFormatting sqref="E183">
    <cfRule type="expression" dxfId="3008" priority="3163" stopIfTrue="1">
      <formula>$A183="Triplog"</formula>
    </cfRule>
  </conditionalFormatting>
  <conditionalFormatting sqref="U184:V184 Q184 A184:D184 F184:L184">
    <cfRule type="expression" dxfId="3007" priority="3082" stopIfTrue="1">
      <formula>$A184="Pipe"</formula>
    </cfRule>
  </conditionalFormatting>
  <conditionalFormatting sqref="M184:P184 U184:V184 A184:B184 H184:K184">
    <cfRule type="expression" dxfId="3006" priority="3083" stopIfTrue="1">
      <formula>$A184="Junction"</formula>
    </cfRule>
  </conditionalFormatting>
  <conditionalFormatting sqref="M184:P184 T184:V184 A184:B184 H184:K184">
    <cfRule type="expression" dxfId="3005" priority="3084" stopIfTrue="1">
      <formula>$A184="Mtrvlv"</formula>
    </cfRule>
  </conditionalFormatting>
  <conditionalFormatting sqref="M184:P184 T184:V184 B184 H184:K184">
    <cfRule type="expression" dxfId="3004" priority="3085" stopIfTrue="1">
      <formula>$A184="Srvvlv"</formula>
    </cfRule>
  </conditionalFormatting>
  <conditionalFormatting sqref="V184 T184 N184:P184 A184 H184:J184">
    <cfRule type="expression" dxfId="3003" priority="3086" stopIfTrue="1">
      <formula>$A184="Chkvlv"</formula>
    </cfRule>
  </conditionalFormatting>
  <conditionalFormatting sqref="M184:P184 T184:V184 A184:B184 H184:K184">
    <cfRule type="expression" dxfId="3002" priority="3087" stopIfTrue="1">
      <formula>$A184="Inrvlv"</formula>
    </cfRule>
  </conditionalFormatting>
  <conditionalFormatting sqref="M184:P184 T184:V184 B184 H184:K184">
    <cfRule type="expression" dxfId="3001" priority="3088" stopIfTrue="1">
      <formula>$A184="Tmdpjun"</formula>
    </cfRule>
  </conditionalFormatting>
  <conditionalFormatting sqref="M184:P184 T184:V184 A184:C184 F184:K184">
    <cfRule type="expression" dxfId="3000" priority="3089" stopIfTrue="1">
      <formula>$A184="Pump"</formula>
    </cfRule>
  </conditionalFormatting>
  <conditionalFormatting sqref="U184:V184 Q184 J184:K184 F184:G184 A184:C184">
    <cfRule type="expression" dxfId="2999" priority="3090" stopIfTrue="1">
      <formula>$A184="Tmdpvol"</formula>
    </cfRule>
  </conditionalFormatting>
  <conditionalFormatting sqref="V184 J184 F184:G184 A184">
    <cfRule type="expression" dxfId="2998" priority="3091" stopIfTrue="1">
      <formula>$A184="Snglvol"</formula>
    </cfRule>
  </conditionalFormatting>
  <conditionalFormatting sqref="M184:P184 U184:V184 A184:B184 H184:K184">
    <cfRule type="expression" dxfId="2997" priority="3092" stopIfTrue="1">
      <formula>$A184="Sngljun"</formula>
    </cfRule>
  </conditionalFormatting>
  <conditionalFormatting sqref="M184:P184 R184:T184">
    <cfRule type="expression" dxfId="2996" priority="3093" stopIfTrue="1">
      <formula>$A184="Pipe"</formula>
    </cfRule>
  </conditionalFormatting>
  <conditionalFormatting sqref="C184">
    <cfRule type="expression" dxfId="2995" priority="3094" stopIfTrue="1">
      <formula>$A184="Junction"</formula>
    </cfRule>
    <cfRule type="expression" dxfId="2994" priority="3120" stopIfTrue="1">
      <formula>$A184="Snglvol"</formula>
    </cfRule>
    <cfRule type="expression" dxfId="2993" priority="3133" stopIfTrue="1">
      <formula>$A184="InitGas"</formula>
    </cfRule>
    <cfRule type="expression" dxfId="2992" priority="3145" stopIfTrue="1">
      <formula>$A184="Tripvar"</formula>
    </cfRule>
  </conditionalFormatting>
  <conditionalFormatting sqref="Q184:T184 L184 F184:G184 D184">
    <cfRule type="expression" dxfId="2991" priority="3095" stopIfTrue="1">
      <formula>$A184="Junction"</formula>
    </cfRule>
  </conditionalFormatting>
  <conditionalFormatting sqref="Q184:T184 L184 F184:G184 C184:D184">
    <cfRule type="expression" dxfId="2990" priority="3096" stopIfTrue="1">
      <formula>$A184="Sngljun"</formula>
    </cfRule>
  </conditionalFormatting>
  <conditionalFormatting sqref="Q184:S184 L184 F184:G184 C184:D184">
    <cfRule type="expression" dxfId="2989" priority="3097" stopIfTrue="1">
      <formula>$A184="Mtrvlv"</formula>
    </cfRule>
  </conditionalFormatting>
  <conditionalFormatting sqref="A184">
    <cfRule type="expression" dxfId="2988" priority="3098" stopIfTrue="1">
      <formula>$A184="Srvvlv"</formula>
    </cfRule>
    <cfRule type="expression" dxfId="2987" priority="3109" stopIfTrue="1">
      <formula>$A184="Tmdpjun"</formula>
    </cfRule>
  </conditionalFormatting>
  <conditionalFormatting sqref="S184 Q184 L184 F184:G184 C184:D184">
    <cfRule type="expression" dxfId="2986" priority="3099" stopIfTrue="1">
      <formula>$A184="Srvvlv"</formula>
    </cfRule>
  </conditionalFormatting>
  <conditionalFormatting sqref="R184">
    <cfRule type="expression" dxfId="2985" priority="3100" stopIfTrue="1">
      <formula>$A184="Srvvlv"</formula>
    </cfRule>
    <cfRule type="expression" dxfId="2984" priority="3111" stopIfTrue="1">
      <formula>$A184="Tmdpjun"</formula>
    </cfRule>
    <cfRule type="expression" dxfId="2983" priority="3114" stopIfTrue="1">
      <formula>$A184="Pump"</formula>
    </cfRule>
    <cfRule type="expression" dxfId="2982" priority="3117" stopIfTrue="1">
      <formula>$A184="Tmdpvol"</formula>
    </cfRule>
    <cfRule type="expression" dxfId="2981" priority="3124" stopIfTrue="1">
      <formula>$A184="Snglvol"</formula>
    </cfRule>
  </conditionalFormatting>
  <conditionalFormatting sqref="B184">
    <cfRule type="expression" dxfId="2980" priority="3101" stopIfTrue="1">
      <formula>$A184="Chkvlv"</formula>
    </cfRule>
    <cfRule type="expression" dxfId="2979" priority="3127" stopIfTrue="1">
      <formula>$A184="Relapnr"</formula>
    </cfRule>
    <cfRule type="expression" dxfId="2978" priority="3132" stopIfTrue="1">
      <formula>$A184="InitGas"</formula>
    </cfRule>
    <cfRule type="expression" dxfId="2977" priority="3138" stopIfTrue="1">
      <formula>$A184="Replacements"</formula>
    </cfRule>
    <cfRule type="expression" dxfId="2976" priority="3142" stopIfTrue="1">
      <formula>$A184="Custom"</formula>
    </cfRule>
    <cfRule type="expression" dxfId="2975" priority="3147" stopIfTrue="1">
      <formula>$A184="Triplog"</formula>
    </cfRule>
  </conditionalFormatting>
  <conditionalFormatting sqref="C184 Q184:S184 L184 F184:G184">
    <cfRule type="expression" dxfId="2974" priority="3102" stopIfTrue="1">
      <formula>$A184="Chkvlv"</formula>
    </cfRule>
  </conditionalFormatting>
  <conditionalFormatting sqref="D184">
    <cfRule type="expression" dxfId="2973" priority="3103" stopIfTrue="1">
      <formula>$A184="Chkvlv"</formula>
    </cfRule>
    <cfRule type="expression" dxfId="2972" priority="3149" stopIfTrue="1">
      <formula>$A184="Triplog"</formula>
    </cfRule>
  </conditionalFormatting>
  <conditionalFormatting sqref="U184 K184">
    <cfRule type="expression" dxfId="2971" priority="3104" stopIfTrue="1">
      <formula>$A184="Chkvlv"</formula>
    </cfRule>
    <cfRule type="expression" dxfId="2970" priority="3122" stopIfTrue="1">
      <formula>$A184="Snglvol"</formula>
    </cfRule>
  </conditionalFormatting>
  <conditionalFormatting sqref="M184">
    <cfRule type="expression" dxfId="2969" priority="3105" stopIfTrue="1">
      <formula>$A184="Chkvlv"</formula>
    </cfRule>
    <cfRule type="expression" dxfId="2968" priority="3123" stopIfTrue="1">
      <formula>$A184="Snglvol"</formula>
    </cfRule>
  </conditionalFormatting>
  <conditionalFormatting sqref="C184">
    <cfRule type="expression" dxfId="2967" priority="3106" stopIfTrue="1">
      <formula>$A184="Inrvlv"</formula>
    </cfRule>
    <cfRule type="expression" dxfId="2966" priority="3130" stopIfTrue="1">
      <formula>$A184="Init"</formula>
    </cfRule>
    <cfRule type="expression" dxfId="2965" priority="3136" stopIfTrue="1">
      <formula>$A184="Timestep"</formula>
    </cfRule>
    <cfRule type="expression" dxfId="2964" priority="3148" stopIfTrue="1">
      <formula>$A184="Triplog"</formula>
    </cfRule>
  </conditionalFormatting>
  <conditionalFormatting sqref="Q184:R184 L184 F184:G184 D184">
    <cfRule type="expression" dxfId="2963" priority="3107" stopIfTrue="1">
      <formula>$A184="Inrvlv"</formula>
    </cfRule>
  </conditionalFormatting>
  <conditionalFormatting sqref="S184">
    <cfRule type="expression" dxfId="2962" priority="3108" stopIfTrue="1">
      <formula>$A184="Inrvlv"</formula>
    </cfRule>
    <cfRule type="expression" dxfId="2961" priority="3112" stopIfTrue="1">
      <formula>$A184="Tmdpjun"</formula>
    </cfRule>
    <cfRule type="expression" dxfId="2960" priority="3115" stopIfTrue="1">
      <formula>$A184="Pump"</formula>
    </cfRule>
    <cfRule type="expression" dxfId="2959" priority="3118" stopIfTrue="1">
      <formula>$A184="Tmdpvol"</formula>
    </cfRule>
    <cfRule type="expression" dxfId="2958" priority="3125" stopIfTrue="1">
      <formula>$A184="Snglvol"</formula>
    </cfRule>
  </conditionalFormatting>
  <conditionalFormatting sqref="Q184 L184 F184:G184 C184:D184">
    <cfRule type="expression" dxfId="2957" priority="3110" stopIfTrue="1">
      <formula>$A184="Tmdpjun"</formula>
    </cfRule>
  </conditionalFormatting>
  <conditionalFormatting sqref="Q184 L184 D184">
    <cfRule type="expression" dxfId="2956" priority="3113" stopIfTrue="1">
      <formula>$A184="Pump"</formula>
    </cfRule>
  </conditionalFormatting>
  <conditionalFormatting sqref="L184:P184 T184 H184:I184 D184">
    <cfRule type="expression" dxfId="2955" priority="3116" stopIfTrue="1">
      <formula>$A184="Tmdpvol"</formula>
    </cfRule>
  </conditionalFormatting>
  <conditionalFormatting sqref="B184">
    <cfRule type="expression" dxfId="2954" priority="3119" stopIfTrue="1">
      <formula>$A184="Snglvol"</formula>
    </cfRule>
    <cfRule type="expression" dxfId="2953" priority="3129" stopIfTrue="1">
      <formula>$A184="Init"</formula>
    </cfRule>
    <cfRule type="expression" dxfId="2952" priority="3135" stopIfTrue="1">
      <formula>$A184="Timestep"</formula>
    </cfRule>
    <cfRule type="expression" dxfId="2951" priority="3140" stopIfTrue="1">
      <formula>$A184="Triggerwords"</formula>
    </cfRule>
    <cfRule type="expression" dxfId="2950" priority="3144" stopIfTrue="1">
      <formula>$A184="Tripvar"</formula>
    </cfRule>
  </conditionalFormatting>
  <conditionalFormatting sqref="T184 N184:Q184 L184 H184:I184 D184">
    <cfRule type="expression" dxfId="2949" priority="3121" stopIfTrue="1">
      <formula>$A184="Snglvol"</formula>
    </cfRule>
  </conditionalFormatting>
  <conditionalFormatting sqref="A184">
    <cfRule type="expression" dxfId="2948" priority="3126" stopIfTrue="1">
      <formula>$A184="Relapnr"</formula>
    </cfRule>
  </conditionalFormatting>
  <conditionalFormatting sqref="A184">
    <cfRule type="expression" dxfId="2947" priority="3128" stopIfTrue="1">
      <formula>$A184="Init"</formula>
    </cfRule>
  </conditionalFormatting>
  <conditionalFormatting sqref="A184">
    <cfRule type="expression" dxfId="2946" priority="3131" stopIfTrue="1">
      <formula>$A184="InitGas"</formula>
    </cfRule>
  </conditionalFormatting>
  <conditionalFormatting sqref="A184 D184">
    <cfRule type="expression" dxfId="2945" priority="3134" stopIfTrue="1">
      <formula>$A184="Timestep"</formula>
    </cfRule>
  </conditionalFormatting>
  <conditionalFormatting sqref="A184">
    <cfRule type="expression" dxfId="2944" priority="3137" stopIfTrue="1">
      <formula>$A184="Replacements"</formula>
    </cfRule>
  </conditionalFormatting>
  <conditionalFormatting sqref="A184">
    <cfRule type="expression" dxfId="2943" priority="3139" stopIfTrue="1">
      <formula>$A184="Triggerwords"</formula>
    </cfRule>
  </conditionalFormatting>
  <conditionalFormatting sqref="A184">
    <cfRule type="expression" dxfId="2942" priority="3141" stopIfTrue="1">
      <formula>$A184="Custom"</formula>
    </cfRule>
  </conditionalFormatting>
  <conditionalFormatting sqref="A184 F184:I184 D184">
    <cfRule type="expression" dxfId="2941" priority="3143" stopIfTrue="1">
      <formula>$A184="Tripvar"</formula>
    </cfRule>
  </conditionalFormatting>
  <conditionalFormatting sqref="A184 F184">
    <cfRule type="expression" dxfId="2940" priority="3146" stopIfTrue="1">
      <formula>$A184="Triplog"</formula>
    </cfRule>
  </conditionalFormatting>
  <conditionalFormatting sqref="E184">
    <cfRule type="expression" dxfId="2939" priority="3068" stopIfTrue="1">
      <formula>$A184="Pipe"</formula>
    </cfRule>
  </conditionalFormatting>
  <conditionalFormatting sqref="E184">
    <cfRule type="expression" dxfId="2938" priority="3069" stopIfTrue="1">
      <formula>$A184="Junction"</formula>
    </cfRule>
  </conditionalFormatting>
  <conditionalFormatting sqref="E184">
    <cfRule type="expression" dxfId="2937" priority="3070" stopIfTrue="1">
      <formula>$A184="Sngljun"</formula>
    </cfRule>
  </conditionalFormatting>
  <conditionalFormatting sqref="E184">
    <cfRule type="expression" dxfId="2936" priority="3071" stopIfTrue="1">
      <formula>$A184="Mtrvlv"</formula>
    </cfRule>
  </conditionalFormatting>
  <conditionalFormatting sqref="E184">
    <cfRule type="expression" dxfId="2935" priority="3072" stopIfTrue="1">
      <formula>$A184="Srvvlv"</formula>
    </cfRule>
  </conditionalFormatting>
  <conditionalFormatting sqref="E184">
    <cfRule type="expression" dxfId="2934" priority="3073" stopIfTrue="1">
      <formula>$A184="Chkvlv"</formula>
    </cfRule>
  </conditionalFormatting>
  <conditionalFormatting sqref="E184">
    <cfRule type="expression" dxfId="2933" priority="3074" stopIfTrue="1">
      <formula>$A184="Inrvlv"</formula>
    </cfRule>
  </conditionalFormatting>
  <conditionalFormatting sqref="E184">
    <cfRule type="expression" dxfId="2932" priority="3075" stopIfTrue="1">
      <formula>$A184="Tmdpjun"</formula>
    </cfRule>
  </conditionalFormatting>
  <conditionalFormatting sqref="E184">
    <cfRule type="expression" dxfId="2931" priority="3076" stopIfTrue="1">
      <formula>$A184="Pump"</formula>
    </cfRule>
  </conditionalFormatting>
  <conditionalFormatting sqref="E184">
    <cfRule type="expression" dxfId="2930" priority="3077" stopIfTrue="1">
      <formula>$A184="Tmdpvol"</formula>
    </cfRule>
  </conditionalFormatting>
  <conditionalFormatting sqref="E184">
    <cfRule type="expression" dxfId="2929" priority="3078" stopIfTrue="1">
      <formula>$A184="Snglvol"</formula>
    </cfRule>
  </conditionalFormatting>
  <conditionalFormatting sqref="E184">
    <cfRule type="expression" dxfId="2928" priority="3079" stopIfTrue="1">
      <formula>$A184="Timestep"</formula>
    </cfRule>
  </conditionalFormatting>
  <conditionalFormatting sqref="E184">
    <cfRule type="expression" dxfId="2927" priority="3080" stopIfTrue="1">
      <formula>$A184="Tripvar"</formula>
    </cfRule>
  </conditionalFormatting>
  <conditionalFormatting sqref="E184">
    <cfRule type="expression" dxfId="2926" priority="3081" stopIfTrue="1">
      <formula>$A184="Triplog"</formula>
    </cfRule>
  </conditionalFormatting>
  <conditionalFormatting sqref="U185:V185 Q185 A185:D185 F185:L185">
    <cfRule type="expression" dxfId="2925" priority="3000" stopIfTrue="1">
      <formula>$A185="Pipe"</formula>
    </cfRule>
  </conditionalFormatting>
  <conditionalFormatting sqref="M185:P185 U185:V185 A185:B185 H185:K185">
    <cfRule type="expression" dxfId="2924" priority="3001" stopIfTrue="1">
      <formula>$A185="Junction"</formula>
    </cfRule>
  </conditionalFormatting>
  <conditionalFormatting sqref="M185:P185 T185:V185 A185:B185 H185:K185">
    <cfRule type="expression" dxfId="2923" priority="3002" stopIfTrue="1">
      <formula>$A185="Mtrvlv"</formula>
    </cfRule>
  </conditionalFormatting>
  <conditionalFormatting sqref="M185:P185 T185:V185 B185 H185:K185">
    <cfRule type="expression" dxfId="2922" priority="3003" stopIfTrue="1">
      <formula>$A185="Srvvlv"</formula>
    </cfRule>
  </conditionalFormatting>
  <conditionalFormatting sqref="V185 T185 N185:P185 A185 H185:J185">
    <cfRule type="expression" dxfId="2921" priority="3004" stopIfTrue="1">
      <formula>$A185="Chkvlv"</formula>
    </cfRule>
  </conditionalFormatting>
  <conditionalFormatting sqref="M185:P185 T185:V185 A185:B185 H185:K185">
    <cfRule type="expression" dxfId="2920" priority="3005" stopIfTrue="1">
      <formula>$A185="Inrvlv"</formula>
    </cfRule>
  </conditionalFormatting>
  <conditionalFormatting sqref="M185:P185 T185:V185 B185 H185:K185">
    <cfRule type="expression" dxfId="2919" priority="3006" stopIfTrue="1">
      <formula>$A185="Tmdpjun"</formula>
    </cfRule>
  </conditionalFormatting>
  <conditionalFormatting sqref="M185:P185 T185:V185 A185:C185 F185:K185">
    <cfRule type="expression" dxfId="2918" priority="3007" stopIfTrue="1">
      <formula>$A185="Pump"</formula>
    </cfRule>
  </conditionalFormatting>
  <conditionalFormatting sqref="U185:V185 Q185 J185:K185 F185:G185 A185:C185">
    <cfRule type="expression" dxfId="2917" priority="3008" stopIfTrue="1">
      <formula>$A185="Tmdpvol"</formula>
    </cfRule>
  </conditionalFormatting>
  <conditionalFormatting sqref="V185 J185 F185:G185 A185">
    <cfRule type="expression" dxfId="2916" priority="3009" stopIfTrue="1">
      <formula>$A185="Snglvol"</formula>
    </cfRule>
  </conditionalFormatting>
  <conditionalFormatting sqref="M185:P185 U185:V185 A185:B185 H185:K185">
    <cfRule type="expression" dxfId="2915" priority="3010" stopIfTrue="1">
      <formula>$A185="Sngljun"</formula>
    </cfRule>
  </conditionalFormatting>
  <conditionalFormatting sqref="M185:P185 R185:T185">
    <cfRule type="expression" dxfId="2914" priority="3011" stopIfTrue="1">
      <formula>$A185="Pipe"</formula>
    </cfRule>
  </conditionalFormatting>
  <conditionalFormatting sqref="C185">
    <cfRule type="expression" dxfId="2913" priority="3012" stopIfTrue="1">
      <formula>$A185="Junction"</formula>
    </cfRule>
    <cfRule type="expression" dxfId="2912" priority="3038" stopIfTrue="1">
      <formula>$A185="Snglvol"</formula>
    </cfRule>
    <cfRule type="expression" dxfId="2911" priority="3051" stopIfTrue="1">
      <formula>$A185="InitGas"</formula>
    </cfRule>
    <cfRule type="expression" dxfId="2910" priority="3063" stopIfTrue="1">
      <formula>$A185="Tripvar"</formula>
    </cfRule>
  </conditionalFormatting>
  <conditionalFormatting sqref="Q185:T185 L185 F185:G185 D185">
    <cfRule type="expression" dxfId="2909" priority="3013" stopIfTrue="1">
      <formula>$A185="Junction"</formula>
    </cfRule>
  </conditionalFormatting>
  <conditionalFormatting sqref="Q185:T185 L185 F185:G185 C185:D185">
    <cfRule type="expression" dxfId="2908" priority="3014" stopIfTrue="1">
      <formula>$A185="Sngljun"</formula>
    </cfRule>
  </conditionalFormatting>
  <conditionalFormatting sqref="Q185:S185 L185 F185:G185 C185:D185">
    <cfRule type="expression" dxfId="2907" priority="3015" stopIfTrue="1">
      <formula>$A185="Mtrvlv"</formula>
    </cfRule>
  </conditionalFormatting>
  <conditionalFormatting sqref="A185">
    <cfRule type="expression" dxfId="2906" priority="3016" stopIfTrue="1">
      <formula>$A185="Srvvlv"</formula>
    </cfRule>
    <cfRule type="expression" dxfId="2905" priority="3027" stopIfTrue="1">
      <formula>$A185="Tmdpjun"</formula>
    </cfRule>
  </conditionalFormatting>
  <conditionalFormatting sqref="S185 Q185 L185 F185:G185 C185:D185">
    <cfRule type="expression" dxfId="2904" priority="3017" stopIfTrue="1">
      <formula>$A185="Srvvlv"</formula>
    </cfRule>
  </conditionalFormatting>
  <conditionalFormatting sqref="R185">
    <cfRule type="expression" dxfId="2903" priority="3018" stopIfTrue="1">
      <formula>$A185="Srvvlv"</formula>
    </cfRule>
    <cfRule type="expression" dxfId="2902" priority="3029" stopIfTrue="1">
      <formula>$A185="Tmdpjun"</formula>
    </cfRule>
    <cfRule type="expression" dxfId="2901" priority="3032" stopIfTrue="1">
      <formula>$A185="Pump"</formula>
    </cfRule>
    <cfRule type="expression" dxfId="2900" priority="3035" stopIfTrue="1">
      <formula>$A185="Tmdpvol"</formula>
    </cfRule>
    <cfRule type="expression" dxfId="2899" priority="3042" stopIfTrue="1">
      <formula>$A185="Snglvol"</formula>
    </cfRule>
  </conditionalFormatting>
  <conditionalFormatting sqref="B185">
    <cfRule type="expression" dxfId="2898" priority="3019" stopIfTrue="1">
      <formula>$A185="Chkvlv"</formula>
    </cfRule>
    <cfRule type="expression" dxfId="2897" priority="3045" stopIfTrue="1">
      <formula>$A185="Relapnr"</formula>
    </cfRule>
    <cfRule type="expression" dxfId="2896" priority="3050" stopIfTrue="1">
      <formula>$A185="InitGas"</formula>
    </cfRule>
    <cfRule type="expression" dxfId="2895" priority="3056" stopIfTrue="1">
      <formula>$A185="Replacements"</formula>
    </cfRule>
    <cfRule type="expression" dxfId="2894" priority="3060" stopIfTrue="1">
      <formula>$A185="Custom"</formula>
    </cfRule>
    <cfRule type="expression" dxfId="2893" priority="3065" stopIfTrue="1">
      <formula>$A185="Triplog"</formula>
    </cfRule>
  </conditionalFormatting>
  <conditionalFormatting sqref="C185 Q185:S185 L185 F185:G185">
    <cfRule type="expression" dxfId="2892" priority="3020" stopIfTrue="1">
      <formula>$A185="Chkvlv"</formula>
    </cfRule>
  </conditionalFormatting>
  <conditionalFormatting sqref="D185">
    <cfRule type="expression" dxfId="2891" priority="3021" stopIfTrue="1">
      <formula>$A185="Chkvlv"</formula>
    </cfRule>
    <cfRule type="expression" dxfId="2890" priority="3067" stopIfTrue="1">
      <formula>$A185="Triplog"</formula>
    </cfRule>
  </conditionalFormatting>
  <conditionalFormatting sqref="U185 K185">
    <cfRule type="expression" dxfId="2889" priority="3022" stopIfTrue="1">
      <formula>$A185="Chkvlv"</formula>
    </cfRule>
    <cfRule type="expression" dxfId="2888" priority="3040" stopIfTrue="1">
      <formula>$A185="Snglvol"</formula>
    </cfRule>
  </conditionalFormatting>
  <conditionalFormatting sqref="M185">
    <cfRule type="expression" dxfId="2887" priority="3023" stopIfTrue="1">
      <formula>$A185="Chkvlv"</formula>
    </cfRule>
    <cfRule type="expression" dxfId="2886" priority="3041" stopIfTrue="1">
      <formula>$A185="Snglvol"</formula>
    </cfRule>
  </conditionalFormatting>
  <conditionalFormatting sqref="C185">
    <cfRule type="expression" dxfId="2885" priority="3024" stopIfTrue="1">
      <formula>$A185="Inrvlv"</formula>
    </cfRule>
    <cfRule type="expression" dxfId="2884" priority="3048" stopIfTrue="1">
      <formula>$A185="Init"</formula>
    </cfRule>
    <cfRule type="expression" dxfId="2883" priority="3054" stopIfTrue="1">
      <formula>$A185="Timestep"</formula>
    </cfRule>
    <cfRule type="expression" dxfId="2882" priority="3066" stopIfTrue="1">
      <formula>$A185="Triplog"</formula>
    </cfRule>
  </conditionalFormatting>
  <conditionalFormatting sqref="Q185:R185 L185 F185:G185 D185">
    <cfRule type="expression" dxfId="2881" priority="3025" stopIfTrue="1">
      <formula>$A185="Inrvlv"</formula>
    </cfRule>
  </conditionalFormatting>
  <conditionalFormatting sqref="S185">
    <cfRule type="expression" dxfId="2880" priority="3026" stopIfTrue="1">
      <formula>$A185="Inrvlv"</formula>
    </cfRule>
    <cfRule type="expression" dxfId="2879" priority="3030" stopIfTrue="1">
      <formula>$A185="Tmdpjun"</formula>
    </cfRule>
    <cfRule type="expression" dxfId="2878" priority="3033" stopIfTrue="1">
      <formula>$A185="Pump"</formula>
    </cfRule>
    <cfRule type="expression" dxfId="2877" priority="3036" stopIfTrue="1">
      <formula>$A185="Tmdpvol"</formula>
    </cfRule>
    <cfRule type="expression" dxfId="2876" priority="3043" stopIfTrue="1">
      <formula>$A185="Snglvol"</formula>
    </cfRule>
  </conditionalFormatting>
  <conditionalFormatting sqref="Q185 L185 F185:G185 C185:D185">
    <cfRule type="expression" dxfId="2875" priority="3028" stopIfTrue="1">
      <formula>$A185="Tmdpjun"</formula>
    </cfRule>
  </conditionalFormatting>
  <conditionalFormatting sqref="Q185 L185 D185">
    <cfRule type="expression" dxfId="2874" priority="3031" stopIfTrue="1">
      <formula>$A185="Pump"</formula>
    </cfRule>
  </conditionalFormatting>
  <conditionalFormatting sqref="L185:P185 T185 H185:I185 D185">
    <cfRule type="expression" dxfId="2873" priority="3034" stopIfTrue="1">
      <formula>$A185="Tmdpvol"</formula>
    </cfRule>
  </conditionalFormatting>
  <conditionalFormatting sqref="B185">
    <cfRule type="expression" dxfId="2872" priority="3037" stopIfTrue="1">
      <formula>$A185="Snglvol"</formula>
    </cfRule>
    <cfRule type="expression" dxfId="2871" priority="3047" stopIfTrue="1">
      <formula>$A185="Init"</formula>
    </cfRule>
    <cfRule type="expression" dxfId="2870" priority="3053" stopIfTrue="1">
      <formula>$A185="Timestep"</formula>
    </cfRule>
    <cfRule type="expression" dxfId="2869" priority="3058" stopIfTrue="1">
      <formula>$A185="Triggerwords"</formula>
    </cfRule>
    <cfRule type="expression" dxfId="2868" priority="3062" stopIfTrue="1">
      <formula>$A185="Tripvar"</formula>
    </cfRule>
  </conditionalFormatting>
  <conditionalFormatting sqref="T185 N185:Q185 L185 H185:I185 D185">
    <cfRule type="expression" dxfId="2867" priority="3039" stopIfTrue="1">
      <formula>$A185="Snglvol"</formula>
    </cfRule>
  </conditionalFormatting>
  <conditionalFormatting sqref="A185">
    <cfRule type="expression" dxfId="2866" priority="3044" stopIfTrue="1">
      <formula>$A185="Relapnr"</formula>
    </cfRule>
  </conditionalFormatting>
  <conditionalFormatting sqref="A185">
    <cfRule type="expression" dxfId="2865" priority="3046" stopIfTrue="1">
      <formula>$A185="Init"</formula>
    </cfRule>
  </conditionalFormatting>
  <conditionalFormatting sqref="A185">
    <cfRule type="expression" dxfId="2864" priority="3049" stopIfTrue="1">
      <formula>$A185="InitGas"</formula>
    </cfRule>
  </conditionalFormatting>
  <conditionalFormatting sqref="A185 D185">
    <cfRule type="expression" dxfId="2863" priority="3052" stopIfTrue="1">
      <formula>$A185="Timestep"</formula>
    </cfRule>
  </conditionalFormatting>
  <conditionalFormatting sqref="A185">
    <cfRule type="expression" dxfId="2862" priority="3055" stopIfTrue="1">
      <formula>$A185="Replacements"</formula>
    </cfRule>
  </conditionalFormatting>
  <conditionalFormatting sqref="A185">
    <cfRule type="expression" dxfId="2861" priority="3057" stopIfTrue="1">
      <formula>$A185="Triggerwords"</formula>
    </cfRule>
  </conditionalFormatting>
  <conditionalFormatting sqref="A185">
    <cfRule type="expression" dxfId="2860" priority="3059" stopIfTrue="1">
      <formula>$A185="Custom"</formula>
    </cfRule>
  </conditionalFormatting>
  <conditionalFormatting sqref="A185 F185:I185 D185">
    <cfRule type="expression" dxfId="2859" priority="3061" stopIfTrue="1">
      <formula>$A185="Tripvar"</formula>
    </cfRule>
  </conditionalFormatting>
  <conditionalFormatting sqref="A185 F185">
    <cfRule type="expression" dxfId="2858" priority="3064" stopIfTrue="1">
      <formula>$A185="Triplog"</formula>
    </cfRule>
  </conditionalFormatting>
  <conditionalFormatting sqref="E185">
    <cfRule type="expression" dxfId="2857" priority="2986" stopIfTrue="1">
      <formula>$A185="Pipe"</formula>
    </cfRule>
  </conditionalFormatting>
  <conditionalFormatting sqref="E185">
    <cfRule type="expression" dxfId="2856" priority="2987" stopIfTrue="1">
      <formula>$A185="Junction"</formula>
    </cfRule>
  </conditionalFormatting>
  <conditionalFormatting sqref="E185">
    <cfRule type="expression" dxfId="2855" priority="2988" stopIfTrue="1">
      <formula>$A185="Sngljun"</formula>
    </cfRule>
  </conditionalFormatting>
  <conditionalFormatting sqref="E185">
    <cfRule type="expression" dxfId="2854" priority="2989" stopIfTrue="1">
      <formula>$A185="Mtrvlv"</formula>
    </cfRule>
  </conditionalFormatting>
  <conditionalFormatting sqref="E185">
    <cfRule type="expression" dxfId="2853" priority="2990" stopIfTrue="1">
      <formula>$A185="Srvvlv"</formula>
    </cfRule>
  </conditionalFormatting>
  <conditionalFormatting sqref="E185">
    <cfRule type="expression" dxfId="2852" priority="2991" stopIfTrue="1">
      <formula>$A185="Chkvlv"</formula>
    </cfRule>
  </conditionalFormatting>
  <conditionalFormatting sqref="E185">
    <cfRule type="expression" dxfId="2851" priority="2992" stopIfTrue="1">
      <formula>$A185="Inrvlv"</formula>
    </cfRule>
  </conditionalFormatting>
  <conditionalFormatting sqref="E185">
    <cfRule type="expression" dxfId="2850" priority="2993" stopIfTrue="1">
      <formula>$A185="Tmdpjun"</formula>
    </cfRule>
  </conditionalFormatting>
  <conditionalFormatting sqref="E185">
    <cfRule type="expression" dxfId="2849" priority="2994" stopIfTrue="1">
      <formula>$A185="Pump"</formula>
    </cfRule>
  </conditionalFormatting>
  <conditionalFormatting sqref="E185">
    <cfRule type="expression" dxfId="2848" priority="2995" stopIfTrue="1">
      <formula>$A185="Tmdpvol"</formula>
    </cfRule>
  </conditionalFormatting>
  <conditionalFormatting sqref="E185">
    <cfRule type="expression" dxfId="2847" priority="2996" stopIfTrue="1">
      <formula>$A185="Snglvol"</formula>
    </cfRule>
  </conditionalFormatting>
  <conditionalFormatting sqref="E185">
    <cfRule type="expression" dxfId="2846" priority="2997" stopIfTrue="1">
      <formula>$A185="Timestep"</formula>
    </cfRule>
  </conditionalFormatting>
  <conditionalFormatting sqref="E185">
    <cfRule type="expression" dxfId="2845" priority="2998" stopIfTrue="1">
      <formula>$A185="Tripvar"</formula>
    </cfRule>
  </conditionalFormatting>
  <conditionalFormatting sqref="E185">
    <cfRule type="expression" dxfId="2844" priority="2999" stopIfTrue="1">
      <formula>$A185="Triplog"</formula>
    </cfRule>
  </conditionalFormatting>
  <conditionalFormatting sqref="U186:V186 Q186 A186:D186 F186:L186">
    <cfRule type="expression" dxfId="2843" priority="2918" stopIfTrue="1">
      <formula>$A186="Pipe"</formula>
    </cfRule>
  </conditionalFormatting>
  <conditionalFormatting sqref="M186:P186 U186:V186 A186:B186 H186:K186">
    <cfRule type="expression" dxfId="2842" priority="2919" stopIfTrue="1">
      <formula>$A186="Junction"</formula>
    </cfRule>
  </conditionalFormatting>
  <conditionalFormatting sqref="M186:P186 T186:V186 A186:B186 H186:K186">
    <cfRule type="expression" dxfId="2841" priority="2920" stopIfTrue="1">
      <formula>$A186="Mtrvlv"</formula>
    </cfRule>
  </conditionalFormatting>
  <conditionalFormatting sqref="M186:P186 T186:V186 B186 H186:K186">
    <cfRule type="expression" dxfId="2840" priority="2921" stopIfTrue="1">
      <formula>$A186="Srvvlv"</formula>
    </cfRule>
  </conditionalFormatting>
  <conditionalFormatting sqref="V186 T186 N186:P186 A186 H186:J186">
    <cfRule type="expression" dxfId="2839" priority="2922" stopIfTrue="1">
      <formula>$A186="Chkvlv"</formula>
    </cfRule>
  </conditionalFormatting>
  <conditionalFormatting sqref="M186:P186 T186:V186 A186:B186 H186:K186">
    <cfRule type="expression" dxfId="2838" priority="2923" stopIfTrue="1">
      <formula>$A186="Inrvlv"</formula>
    </cfRule>
  </conditionalFormatting>
  <conditionalFormatting sqref="M186:P186 T186:V186 B186 H186:K186">
    <cfRule type="expression" dxfId="2837" priority="2924" stopIfTrue="1">
      <formula>$A186="Tmdpjun"</formula>
    </cfRule>
  </conditionalFormatting>
  <conditionalFormatting sqref="M186:P186 T186:V186 A186:C186 F186:K186">
    <cfRule type="expression" dxfId="2836" priority="2925" stopIfTrue="1">
      <formula>$A186="Pump"</formula>
    </cfRule>
  </conditionalFormatting>
  <conditionalFormatting sqref="U186:V186 Q186 J186:K186 F186:G186 A186:C186">
    <cfRule type="expression" dxfId="2835" priority="2926" stopIfTrue="1">
      <formula>$A186="Tmdpvol"</formula>
    </cfRule>
  </conditionalFormatting>
  <conditionalFormatting sqref="V186 J186 F186:G186 A186">
    <cfRule type="expression" dxfId="2834" priority="2927" stopIfTrue="1">
      <formula>$A186="Snglvol"</formula>
    </cfRule>
  </conditionalFormatting>
  <conditionalFormatting sqref="M186:P186 U186:V186 A186:B186 H186:K186">
    <cfRule type="expression" dxfId="2833" priority="2928" stopIfTrue="1">
      <formula>$A186="Sngljun"</formula>
    </cfRule>
  </conditionalFormatting>
  <conditionalFormatting sqref="M186:P186 R186:T186">
    <cfRule type="expression" dxfId="2832" priority="2929" stopIfTrue="1">
      <formula>$A186="Pipe"</formula>
    </cfRule>
  </conditionalFormatting>
  <conditionalFormatting sqref="C186">
    <cfRule type="expression" dxfId="2831" priority="2930" stopIfTrue="1">
      <formula>$A186="Junction"</formula>
    </cfRule>
    <cfRule type="expression" dxfId="2830" priority="2956" stopIfTrue="1">
      <formula>$A186="Snglvol"</formula>
    </cfRule>
    <cfRule type="expression" dxfId="2829" priority="2969" stopIfTrue="1">
      <formula>$A186="InitGas"</formula>
    </cfRule>
    <cfRule type="expression" dxfId="2828" priority="2981" stopIfTrue="1">
      <formula>$A186="Tripvar"</formula>
    </cfRule>
  </conditionalFormatting>
  <conditionalFormatting sqref="Q186:T186 L186 F186:G186 D186">
    <cfRule type="expression" dxfId="2827" priority="2931" stopIfTrue="1">
      <formula>$A186="Junction"</formula>
    </cfRule>
  </conditionalFormatting>
  <conditionalFormatting sqref="Q186:T186 L186 F186:G186 C186:D186">
    <cfRule type="expression" dxfId="2826" priority="2932" stopIfTrue="1">
      <formula>$A186="Sngljun"</formula>
    </cfRule>
  </conditionalFormatting>
  <conditionalFormatting sqref="Q186:S186 L186 F186:G186 C186:D186">
    <cfRule type="expression" dxfId="2825" priority="2933" stopIfTrue="1">
      <formula>$A186="Mtrvlv"</formula>
    </cfRule>
  </conditionalFormatting>
  <conditionalFormatting sqref="A186">
    <cfRule type="expression" dxfId="2824" priority="2934" stopIfTrue="1">
      <formula>$A186="Srvvlv"</formula>
    </cfRule>
    <cfRule type="expression" dxfId="2823" priority="2945" stopIfTrue="1">
      <formula>$A186="Tmdpjun"</formula>
    </cfRule>
  </conditionalFormatting>
  <conditionalFormatting sqref="S186 Q186 L186 F186:G186 C186:D186">
    <cfRule type="expression" dxfId="2822" priority="2935" stopIfTrue="1">
      <formula>$A186="Srvvlv"</formula>
    </cfRule>
  </conditionalFormatting>
  <conditionalFormatting sqref="R186">
    <cfRule type="expression" dxfId="2821" priority="2936" stopIfTrue="1">
      <formula>$A186="Srvvlv"</formula>
    </cfRule>
    <cfRule type="expression" dxfId="2820" priority="2947" stopIfTrue="1">
      <formula>$A186="Tmdpjun"</formula>
    </cfRule>
    <cfRule type="expression" dxfId="2819" priority="2950" stopIfTrue="1">
      <formula>$A186="Pump"</formula>
    </cfRule>
    <cfRule type="expression" dxfId="2818" priority="2953" stopIfTrue="1">
      <formula>$A186="Tmdpvol"</formula>
    </cfRule>
    <cfRule type="expression" dxfId="2817" priority="2960" stopIfTrue="1">
      <formula>$A186="Snglvol"</formula>
    </cfRule>
  </conditionalFormatting>
  <conditionalFormatting sqref="B186">
    <cfRule type="expression" dxfId="2816" priority="2937" stopIfTrue="1">
      <formula>$A186="Chkvlv"</formula>
    </cfRule>
    <cfRule type="expression" dxfId="2815" priority="2963" stopIfTrue="1">
      <formula>$A186="Relapnr"</formula>
    </cfRule>
    <cfRule type="expression" dxfId="2814" priority="2968" stopIfTrue="1">
      <formula>$A186="InitGas"</formula>
    </cfRule>
    <cfRule type="expression" dxfId="2813" priority="2974" stopIfTrue="1">
      <formula>$A186="Replacements"</formula>
    </cfRule>
    <cfRule type="expression" dxfId="2812" priority="2978" stopIfTrue="1">
      <formula>$A186="Custom"</formula>
    </cfRule>
    <cfRule type="expression" dxfId="2811" priority="2983" stopIfTrue="1">
      <formula>$A186="Triplog"</formula>
    </cfRule>
  </conditionalFormatting>
  <conditionalFormatting sqref="C186 Q186:S186 L186 F186:G186">
    <cfRule type="expression" dxfId="2810" priority="2938" stopIfTrue="1">
      <formula>$A186="Chkvlv"</formula>
    </cfRule>
  </conditionalFormatting>
  <conditionalFormatting sqref="D186">
    <cfRule type="expression" dxfId="2809" priority="2939" stopIfTrue="1">
      <formula>$A186="Chkvlv"</formula>
    </cfRule>
    <cfRule type="expression" dxfId="2808" priority="2985" stopIfTrue="1">
      <formula>$A186="Triplog"</formula>
    </cfRule>
  </conditionalFormatting>
  <conditionalFormatting sqref="U186 K186">
    <cfRule type="expression" dxfId="2807" priority="2940" stopIfTrue="1">
      <formula>$A186="Chkvlv"</formula>
    </cfRule>
    <cfRule type="expression" dxfId="2806" priority="2958" stopIfTrue="1">
      <formula>$A186="Snglvol"</formula>
    </cfRule>
  </conditionalFormatting>
  <conditionalFormatting sqref="M186">
    <cfRule type="expression" dxfId="2805" priority="2941" stopIfTrue="1">
      <formula>$A186="Chkvlv"</formula>
    </cfRule>
    <cfRule type="expression" dxfId="2804" priority="2959" stopIfTrue="1">
      <formula>$A186="Snglvol"</formula>
    </cfRule>
  </conditionalFormatting>
  <conditionalFormatting sqref="C186">
    <cfRule type="expression" dxfId="2803" priority="2942" stopIfTrue="1">
      <formula>$A186="Inrvlv"</formula>
    </cfRule>
    <cfRule type="expression" dxfId="2802" priority="2966" stopIfTrue="1">
      <formula>$A186="Init"</formula>
    </cfRule>
    <cfRule type="expression" dxfId="2801" priority="2972" stopIfTrue="1">
      <formula>$A186="Timestep"</formula>
    </cfRule>
    <cfRule type="expression" dxfId="2800" priority="2984" stopIfTrue="1">
      <formula>$A186="Triplog"</formula>
    </cfRule>
  </conditionalFormatting>
  <conditionalFormatting sqref="Q186:R186 L186 F186:G186 D186">
    <cfRule type="expression" dxfId="2799" priority="2943" stopIfTrue="1">
      <formula>$A186="Inrvlv"</formula>
    </cfRule>
  </conditionalFormatting>
  <conditionalFormatting sqref="S186">
    <cfRule type="expression" dxfId="2798" priority="2944" stopIfTrue="1">
      <formula>$A186="Inrvlv"</formula>
    </cfRule>
    <cfRule type="expression" dxfId="2797" priority="2948" stopIfTrue="1">
      <formula>$A186="Tmdpjun"</formula>
    </cfRule>
    <cfRule type="expression" dxfId="2796" priority="2951" stopIfTrue="1">
      <formula>$A186="Pump"</formula>
    </cfRule>
    <cfRule type="expression" dxfId="2795" priority="2954" stopIfTrue="1">
      <formula>$A186="Tmdpvol"</formula>
    </cfRule>
    <cfRule type="expression" dxfId="2794" priority="2961" stopIfTrue="1">
      <formula>$A186="Snglvol"</formula>
    </cfRule>
  </conditionalFormatting>
  <conditionalFormatting sqref="Q186 L186 F186:G186 C186:D186">
    <cfRule type="expression" dxfId="2793" priority="2946" stopIfTrue="1">
      <formula>$A186="Tmdpjun"</formula>
    </cfRule>
  </conditionalFormatting>
  <conditionalFormatting sqref="Q186 L186 D186">
    <cfRule type="expression" dxfId="2792" priority="2949" stopIfTrue="1">
      <formula>$A186="Pump"</formula>
    </cfRule>
  </conditionalFormatting>
  <conditionalFormatting sqref="L186:P186 T186 H186:I186 D186">
    <cfRule type="expression" dxfId="2791" priority="2952" stopIfTrue="1">
      <formula>$A186="Tmdpvol"</formula>
    </cfRule>
  </conditionalFormatting>
  <conditionalFormatting sqref="B186">
    <cfRule type="expression" dxfId="2790" priority="2955" stopIfTrue="1">
      <formula>$A186="Snglvol"</formula>
    </cfRule>
    <cfRule type="expression" dxfId="2789" priority="2965" stopIfTrue="1">
      <formula>$A186="Init"</formula>
    </cfRule>
    <cfRule type="expression" dxfId="2788" priority="2971" stopIfTrue="1">
      <formula>$A186="Timestep"</formula>
    </cfRule>
    <cfRule type="expression" dxfId="2787" priority="2976" stopIfTrue="1">
      <formula>$A186="Triggerwords"</formula>
    </cfRule>
    <cfRule type="expression" dxfId="2786" priority="2980" stopIfTrue="1">
      <formula>$A186="Tripvar"</formula>
    </cfRule>
  </conditionalFormatting>
  <conditionalFormatting sqref="T186 N186:Q186 L186 H186:I186 D186">
    <cfRule type="expression" dxfId="2785" priority="2957" stopIfTrue="1">
      <formula>$A186="Snglvol"</formula>
    </cfRule>
  </conditionalFormatting>
  <conditionalFormatting sqref="A186">
    <cfRule type="expression" dxfId="2784" priority="2962" stopIfTrue="1">
      <formula>$A186="Relapnr"</formula>
    </cfRule>
  </conditionalFormatting>
  <conditionalFormatting sqref="A186">
    <cfRule type="expression" dxfId="2783" priority="2964" stopIfTrue="1">
      <formula>$A186="Init"</formula>
    </cfRule>
  </conditionalFormatting>
  <conditionalFormatting sqref="A186">
    <cfRule type="expression" dxfId="2782" priority="2967" stopIfTrue="1">
      <formula>$A186="InitGas"</formula>
    </cfRule>
  </conditionalFormatting>
  <conditionalFormatting sqref="A186 D186">
    <cfRule type="expression" dxfId="2781" priority="2970" stopIfTrue="1">
      <formula>$A186="Timestep"</formula>
    </cfRule>
  </conditionalFormatting>
  <conditionalFormatting sqref="A186">
    <cfRule type="expression" dxfId="2780" priority="2973" stopIfTrue="1">
      <formula>$A186="Replacements"</formula>
    </cfRule>
  </conditionalFormatting>
  <conditionalFormatting sqref="A186">
    <cfRule type="expression" dxfId="2779" priority="2975" stopIfTrue="1">
      <formula>$A186="Triggerwords"</formula>
    </cfRule>
  </conditionalFormatting>
  <conditionalFormatting sqref="A186">
    <cfRule type="expression" dxfId="2778" priority="2977" stopIfTrue="1">
      <formula>$A186="Custom"</formula>
    </cfRule>
  </conditionalFormatting>
  <conditionalFormatting sqref="A186 F186:I186 D186">
    <cfRule type="expression" dxfId="2777" priority="2979" stopIfTrue="1">
      <formula>$A186="Tripvar"</formula>
    </cfRule>
  </conditionalFormatting>
  <conditionalFormatting sqref="A186 F186">
    <cfRule type="expression" dxfId="2776" priority="2982" stopIfTrue="1">
      <formula>$A186="Triplog"</formula>
    </cfRule>
  </conditionalFormatting>
  <conditionalFormatting sqref="U187:V187 Q187 A187:D187 F187:L187">
    <cfRule type="expression" dxfId="2775" priority="2836" stopIfTrue="1">
      <formula>$A187="Pipe"</formula>
    </cfRule>
  </conditionalFormatting>
  <conditionalFormatting sqref="M187:P187 U187:V187 A187:B187 H187:K187">
    <cfRule type="expression" dxfId="2774" priority="2837" stopIfTrue="1">
      <formula>$A187="Junction"</formula>
    </cfRule>
  </conditionalFormatting>
  <conditionalFormatting sqref="M187:P187 T187:V187 A187:B187 H187:K187">
    <cfRule type="expression" dxfId="2773" priority="2838" stopIfTrue="1">
      <formula>$A187="Mtrvlv"</formula>
    </cfRule>
  </conditionalFormatting>
  <conditionalFormatting sqref="M187:P187 T187:V187 B187 H187:K187">
    <cfRule type="expression" dxfId="2772" priority="2839" stopIfTrue="1">
      <formula>$A187="Srvvlv"</formula>
    </cfRule>
  </conditionalFormatting>
  <conditionalFormatting sqref="V187 T187 N187:P187 A187 H187:J187">
    <cfRule type="expression" dxfId="2771" priority="2840" stopIfTrue="1">
      <formula>$A187="Chkvlv"</formula>
    </cfRule>
  </conditionalFormatting>
  <conditionalFormatting sqref="M187:P187 T187:V187 A187:B187 H187:K187">
    <cfRule type="expression" dxfId="2770" priority="2841" stopIfTrue="1">
      <formula>$A187="Inrvlv"</formula>
    </cfRule>
  </conditionalFormatting>
  <conditionalFormatting sqref="M187:P187 T187:V187 B187 H187:K187">
    <cfRule type="expression" dxfId="2769" priority="2842" stopIfTrue="1">
      <formula>$A187="Tmdpjun"</formula>
    </cfRule>
  </conditionalFormatting>
  <conditionalFormatting sqref="M187:P187 T187:V187 A187:C187 F187:K187">
    <cfRule type="expression" dxfId="2768" priority="2843" stopIfTrue="1">
      <formula>$A187="Pump"</formula>
    </cfRule>
  </conditionalFormatting>
  <conditionalFormatting sqref="U187:V187 Q187 J187:K187 F187:G187 A187:C187">
    <cfRule type="expression" dxfId="2767" priority="2844" stopIfTrue="1">
      <formula>$A187="Tmdpvol"</formula>
    </cfRule>
  </conditionalFormatting>
  <conditionalFormatting sqref="V187 J187 F187:G187 A187">
    <cfRule type="expression" dxfId="2766" priority="2845" stopIfTrue="1">
      <formula>$A187="Snglvol"</formula>
    </cfRule>
  </conditionalFormatting>
  <conditionalFormatting sqref="M187:P187 U187:V187 A187:B187 H187:K187">
    <cfRule type="expression" dxfId="2765" priority="2846" stopIfTrue="1">
      <formula>$A187="Sngljun"</formula>
    </cfRule>
  </conditionalFormatting>
  <conditionalFormatting sqref="M187:P187 R187:T187">
    <cfRule type="expression" dxfId="2764" priority="2847" stopIfTrue="1">
      <formula>$A187="Pipe"</formula>
    </cfRule>
  </conditionalFormatting>
  <conditionalFormatting sqref="C187">
    <cfRule type="expression" dxfId="2763" priority="2848" stopIfTrue="1">
      <formula>$A187="Junction"</formula>
    </cfRule>
    <cfRule type="expression" dxfId="2762" priority="2874" stopIfTrue="1">
      <formula>$A187="Snglvol"</formula>
    </cfRule>
    <cfRule type="expression" dxfId="2761" priority="2887" stopIfTrue="1">
      <formula>$A187="InitGas"</formula>
    </cfRule>
    <cfRule type="expression" dxfId="2760" priority="2899" stopIfTrue="1">
      <formula>$A187="Tripvar"</formula>
    </cfRule>
  </conditionalFormatting>
  <conditionalFormatting sqref="Q187:T187 L187 F187:G187 D187">
    <cfRule type="expression" dxfId="2759" priority="2849" stopIfTrue="1">
      <formula>$A187="Junction"</formula>
    </cfRule>
  </conditionalFormatting>
  <conditionalFormatting sqref="Q187:T187 L187 F187:G187 C187:D187">
    <cfRule type="expression" dxfId="2758" priority="2850" stopIfTrue="1">
      <formula>$A187="Sngljun"</formula>
    </cfRule>
  </conditionalFormatting>
  <conditionalFormatting sqref="Q187:S187 L187 F187:G187 C187:D187">
    <cfRule type="expression" dxfId="2757" priority="2851" stopIfTrue="1">
      <formula>$A187="Mtrvlv"</formula>
    </cfRule>
  </conditionalFormatting>
  <conditionalFormatting sqref="A187">
    <cfRule type="expression" dxfId="2756" priority="2852" stopIfTrue="1">
      <formula>$A187="Srvvlv"</formula>
    </cfRule>
    <cfRule type="expression" dxfId="2755" priority="2863" stopIfTrue="1">
      <formula>$A187="Tmdpjun"</formula>
    </cfRule>
  </conditionalFormatting>
  <conditionalFormatting sqref="S187 Q187 L187 F187:G187 C187:D187">
    <cfRule type="expression" dxfId="2754" priority="2853" stopIfTrue="1">
      <formula>$A187="Srvvlv"</formula>
    </cfRule>
  </conditionalFormatting>
  <conditionalFormatting sqref="R187">
    <cfRule type="expression" dxfId="2753" priority="2854" stopIfTrue="1">
      <formula>$A187="Srvvlv"</formula>
    </cfRule>
    <cfRule type="expression" dxfId="2752" priority="2865" stopIfTrue="1">
      <formula>$A187="Tmdpjun"</formula>
    </cfRule>
    <cfRule type="expression" dxfId="2751" priority="2868" stopIfTrue="1">
      <formula>$A187="Pump"</formula>
    </cfRule>
    <cfRule type="expression" dxfId="2750" priority="2871" stopIfTrue="1">
      <formula>$A187="Tmdpvol"</formula>
    </cfRule>
    <cfRule type="expression" dxfId="2749" priority="2878" stopIfTrue="1">
      <formula>$A187="Snglvol"</formula>
    </cfRule>
  </conditionalFormatting>
  <conditionalFormatting sqref="B187">
    <cfRule type="expression" dxfId="2748" priority="2855" stopIfTrue="1">
      <formula>$A187="Chkvlv"</formula>
    </cfRule>
    <cfRule type="expression" dxfId="2747" priority="2881" stopIfTrue="1">
      <formula>$A187="Relapnr"</formula>
    </cfRule>
    <cfRule type="expression" dxfId="2746" priority="2886" stopIfTrue="1">
      <formula>$A187="InitGas"</formula>
    </cfRule>
    <cfRule type="expression" dxfId="2745" priority="2892" stopIfTrue="1">
      <formula>$A187="Replacements"</formula>
    </cfRule>
    <cfRule type="expression" dxfId="2744" priority="2896" stopIfTrue="1">
      <formula>$A187="Custom"</formula>
    </cfRule>
    <cfRule type="expression" dxfId="2743" priority="2901" stopIfTrue="1">
      <formula>$A187="Triplog"</formula>
    </cfRule>
  </conditionalFormatting>
  <conditionalFormatting sqref="C187 Q187:S187 L187 F187:G187">
    <cfRule type="expression" dxfId="2742" priority="2856" stopIfTrue="1">
      <formula>$A187="Chkvlv"</formula>
    </cfRule>
  </conditionalFormatting>
  <conditionalFormatting sqref="D187">
    <cfRule type="expression" dxfId="2741" priority="2857" stopIfTrue="1">
      <formula>$A187="Chkvlv"</formula>
    </cfRule>
    <cfRule type="expression" dxfId="2740" priority="2903" stopIfTrue="1">
      <formula>$A187="Triplog"</formula>
    </cfRule>
  </conditionalFormatting>
  <conditionalFormatting sqref="U187 K187">
    <cfRule type="expression" dxfId="2739" priority="2858" stopIfTrue="1">
      <formula>$A187="Chkvlv"</formula>
    </cfRule>
    <cfRule type="expression" dxfId="2738" priority="2876" stopIfTrue="1">
      <formula>$A187="Snglvol"</formula>
    </cfRule>
  </conditionalFormatting>
  <conditionalFormatting sqref="M187">
    <cfRule type="expression" dxfId="2737" priority="2859" stopIfTrue="1">
      <formula>$A187="Chkvlv"</formula>
    </cfRule>
    <cfRule type="expression" dxfId="2736" priority="2877" stopIfTrue="1">
      <formula>$A187="Snglvol"</formula>
    </cfRule>
  </conditionalFormatting>
  <conditionalFormatting sqref="C187">
    <cfRule type="expression" dxfId="2735" priority="2860" stopIfTrue="1">
      <formula>$A187="Inrvlv"</formula>
    </cfRule>
    <cfRule type="expression" dxfId="2734" priority="2884" stopIfTrue="1">
      <formula>$A187="Init"</formula>
    </cfRule>
    <cfRule type="expression" dxfId="2733" priority="2890" stopIfTrue="1">
      <formula>$A187="Timestep"</formula>
    </cfRule>
    <cfRule type="expression" dxfId="2732" priority="2902" stopIfTrue="1">
      <formula>$A187="Triplog"</formula>
    </cfRule>
  </conditionalFormatting>
  <conditionalFormatting sqref="Q187:R187 L187 F187:G187 D187">
    <cfRule type="expression" dxfId="2731" priority="2861" stopIfTrue="1">
      <formula>$A187="Inrvlv"</formula>
    </cfRule>
  </conditionalFormatting>
  <conditionalFormatting sqref="S187">
    <cfRule type="expression" dxfId="2730" priority="2862" stopIfTrue="1">
      <formula>$A187="Inrvlv"</formula>
    </cfRule>
    <cfRule type="expression" dxfId="2729" priority="2866" stopIfTrue="1">
      <formula>$A187="Tmdpjun"</formula>
    </cfRule>
    <cfRule type="expression" dxfId="2728" priority="2869" stopIfTrue="1">
      <formula>$A187="Pump"</formula>
    </cfRule>
    <cfRule type="expression" dxfId="2727" priority="2872" stopIfTrue="1">
      <formula>$A187="Tmdpvol"</formula>
    </cfRule>
    <cfRule type="expression" dxfId="2726" priority="2879" stopIfTrue="1">
      <formula>$A187="Snglvol"</formula>
    </cfRule>
  </conditionalFormatting>
  <conditionalFormatting sqref="Q187 L187 F187:G187 C187:D187">
    <cfRule type="expression" dxfId="2725" priority="2864" stopIfTrue="1">
      <formula>$A187="Tmdpjun"</formula>
    </cfRule>
  </conditionalFormatting>
  <conditionalFormatting sqref="Q187 L187 D187">
    <cfRule type="expression" dxfId="2724" priority="2867" stopIfTrue="1">
      <formula>$A187="Pump"</formula>
    </cfRule>
  </conditionalFormatting>
  <conditionalFormatting sqref="L187:P187 T187 H187:I187 D187">
    <cfRule type="expression" dxfId="2723" priority="2870" stopIfTrue="1">
      <formula>$A187="Tmdpvol"</formula>
    </cfRule>
  </conditionalFormatting>
  <conditionalFormatting sqref="B187">
    <cfRule type="expression" dxfId="2722" priority="2873" stopIfTrue="1">
      <formula>$A187="Snglvol"</formula>
    </cfRule>
    <cfRule type="expression" dxfId="2721" priority="2883" stopIfTrue="1">
      <formula>$A187="Init"</formula>
    </cfRule>
    <cfRule type="expression" dxfId="2720" priority="2889" stopIfTrue="1">
      <formula>$A187="Timestep"</formula>
    </cfRule>
    <cfRule type="expression" dxfId="2719" priority="2894" stopIfTrue="1">
      <formula>$A187="Triggerwords"</formula>
    </cfRule>
    <cfRule type="expression" dxfId="2718" priority="2898" stopIfTrue="1">
      <formula>$A187="Tripvar"</formula>
    </cfRule>
  </conditionalFormatting>
  <conditionalFormatting sqref="T187 N187:Q187 L187 H187:I187 D187">
    <cfRule type="expression" dxfId="2717" priority="2875" stopIfTrue="1">
      <formula>$A187="Snglvol"</formula>
    </cfRule>
  </conditionalFormatting>
  <conditionalFormatting sqref="A187">
    <cfRule type="expression" dxfId="2716" priority="2880" stopIfTrue="1">
      <formula>$A187="Relapnr"</formula>
    </cfRule>
  </conditionalFormatting>
  <conditionalFormatting sqref="A187">
    <cfRule type="expression" dxfId="2715" priority="2882" stopIfTrue="1">
      <formula>$A187="Init"</formula>
    </cfRule>
  </conditionalFormatting>
  <conditionalFormatting sqref="A187">
    <cfRule type="expression" dxfId="2714" priority="2885" stopIfTrue="1">
      <formula>$A187="InitGas"</formula>
    </cfRule>
  </conditionalFormatting>
  <conditionalFormatting sqref="A187 D187">
    <cfRule type="expression" dxfId="2713" priority="2888" stopIfTrue="1">
      <formula>$A187="Timestep"</formula>
    </cfRule>
  </conditionalFormatting>
  <conditionalFormatting sqref="A187">
    <cfRule type="expression" dxfId="2712" priority="2891" stopIfTrue="1">
      <formula>$A187="Replacements"</formula>
    </cfRule>
  </conditionalFormatting>
  <conditionalFormatting sqref="A187">
    <cfRule type="expression" dxfId="2711" priority="2893" stopIfTrue="1">
      <formula>$A187="Triggerwords"</formula>
    </cfRule>
  </conditionalFormatting>
  <conditionalFormatting sqref="A187">
    <cfRule type="expression" dxfId="2710" priority="2895" stopIfTrue="1">
      <formula>$A187="Custom"</formula>
    </cfRule>
  </conditionalFormatting>
  <conditionalFormatting sqref="A187 F187:I187 D187">
    <cfRule type="expression" dxfId="2709" priority="2897" stopIfTrue="1">
      <formula>$A187="Tripvar"</formula>
    </cfRule>
  </conditionalFormatting>
  <conditionalFormatting sqref="A187 F187">
    <cfRule type="expression" dxfId="2708" priority="2900" stopIfTrue="1">
      <formula>$A187="Triplog"</formula>
    </cfRule>
  </conditionalFormatting>
  <conditionalFormatting sqref="E68">
    <cfRule type="expression" dxfId="2707" priority="2738" stopIfTrue="1">
      <formula>$A68="Pipe"</formula>
    </cfRule>
  </conditionalFormatting>
  <conditionalFormatting sqref="E68">
    <cfRule type="expression" dxfId="2706" priority="2739" stopIfTrue="1">
      <formula>$A68="Junction"</formula>
    </cfRule>
  </conditionalFormatting>
  <conditionalFormatting sqref="E68">
    <cfRule type="expression" dxfId="2705" priority="2740" stopIfTrue="1">
      <formula>$A68="Sngljun"</formula>
    </cfRule>
  </conditionalFormatting>
  <conditionalFormatting sqref="E68">
    <cfRule type="expression" dxfId="2704" priority="2741" stopIfTrue="1">
      <formula>$A68="Mtrvlv"</formula>
    </cfRule>
  </conditionalFormatting>
  <conditionalFormatting sqref="E68">
    <cfRule type="expression" dxfId="2703" priority="2742" stopIfTrue="1">
      <formula>$A68="Srvvlv"</formula>
    </cfRule>
  </conditionalFormatting>
  <conditionalFormatting sqref="E68">
    <cfRule type="expression" dxfId="2702" priority="2743" stopIfTrue="1">
      <formula>$A68="Chkvlv"</formula>
    </cfRule>
  </conditionalFormatting>
  <conditionalFormatting sqref="E68">
    <cfRule type="expression" dxfId="2701" priority="2744" stopIfTrue="1">
      <formula>$A68="Inrvlv"</formula>
    </cfRule>
  </conditionalFormatting>
  <conditionalFormatting sqref="E68">
    <cfRule type="expression" dxfId="2700" priority="2745" stopIfTrue="1">
      <formula>$A68="Tmdpjun"</formula>
    </cfRule>
  </conditionalFormatting>
  <conditionalFormatting sqref="E68">
    <cfRule type="expression" dxfId="2699" priority="2746" stopIfTrue="1">
      <formula>$A68="Pump"</formula>
    </cfRule>
  </conditionalFormatting>
  <conditionalFormatting sqref="E68">
    <cfRule type="expression" dxfId="2698" priority="2747" stopIfTrue="1">
      <formula>$A68="Tmdpvol"</formula>
    </cfRule>
  </conditionalFormatting>
  <conditionalFormatting sqref="E68">
    <cfRule type="expression" dxfId="2697" priority="2748" stopIfTrue="1">
      <formula>$A68="Snglvol"</formula>
    </cfRule>
  </conditionalFormatting>
  <conditionalFormatting sqref="E68">
    <cfRule type="expression" dxfId="2696" priority="2749" stopIfTrue="1">
      <formula>$A68="Timestep"</formula>
    </cfRule>
  </conditionalFormatting>
  <conditionalFormatting sqref="E68">
    <cfRule type="expression" dxfId="2695" priority="2750" stopIfTrue="1">
      <formula>$A68="Tripvar"</formula>
    </cfRule>
  </conditionalFormatting>
  <conditionalFormatting sqref="E68">
    <cfRule type="expression" dxfId="2694" priority="2751" stopIfTrue="1">
      <formula>$A68="Triplog"</formula>
    </cfRule>
  </conditionalFormatting>
  <conditionalFormatting sqref="E186">
    <cfRule type="expression" dxfId="2693" priority="2808" stopIfTrue="1">
      <formula>$A186="Pipe"</formula>
    </cfRule>
  </conditionalFormatting>
  <conditionalFormatting sqref="E186">
    <cfRule type="expression" dxfId="2692" priority="2809" stopIfTrue="1">
      <formula>$A186="Junction"</formula>
    </cfRule>
  </conditionalFormatting>
  <conditionalFormatting sqref="E186">
    <cfRule type="expression" dxfId="2691" priority="2810" stopIfTrue="1">
      <formula>$A186="Sngljun"</formula>
    </cfRule>
  </conditionalFormatting>
  <conditionalFormatting sqref="E186">
    <cfRule type="expression" dxfId="2690" priority="2811" stopIfTrue="1">
      <formula>$A186="Mtrvlv"</formula>
    </cfRule>
  </conditionalFormatting>
  <conditionalFormatting sqref="E186">
    <cfRule type="expression" dxfId="2689" priority="2812" stopIfTrue="1">
      <formula>$A186="Srvvlv"</formula>
    </cfRule>
  </conditionalFormatting>
  <conditionalFormatting sqref="E186">
    <cfRule type="expression" dxfId="2688" priority="2813" stopIfTrue="1">
      <formula>$A186="Chkvlv"</formula>
    </cfRule>
  </conditionalFormatting>
  <conditionalFormatting sqref="E186">
    <cfRule type="expression" dxfId="2687" priority="2814" stopIfTrue="1">
      <formula>$A186="Inrvlv"</formula>
    </cfRule>
  </conditionalFormatting>
  <conditionalFormatting sqref="E186">
    <cfRule type="expression" dxfId="2686" priority="2815" stopIfTrue="1">
      <formula>$A186="Tmdpjun"</formula>
    </cfRule>
  </conditionalFormatting>
  <conditionalFormatting sqref="E186">
    <cfRule type="expression" dxfId="2685" priority="2816" stopIfTrue="1">
      <formula>$A186="Pump"</formula>
    </cfRule>
  </conditionalFormatting>
  <conditionalFormatting sqref="E186">
    <cfRule type="expression" dxfId="2684" priority="2817" stopIfTrue="1">
      <formula>$A186="Tmdpvol"</formula>
    </cfRule>
  </conditionalFormatting>
  <conditionalFormatting sqref="E186">
    <cfRule type="expression" dxfId="2683" priority="2818" stopIfTrue="1">
      <formula>$A186="Snglvol"</formula>
    </cfRule>
  </conditionalFormatting>
  <conditionalFormatting sqref="E186">
    <cfRule type="expression" dxfId="2682" priority="2819" stopIfTrue="1">
      <formula>$A186="Timestep"</formula>
    </cfRule>
  </conditionalFormatting>
  <conditionalFormatting sqref="E186">
    <cfRule type="expression" dxfId="2681" priority="2820" stopIfTrue="1">
      <formula>$A186="Tripvar"</formula>
    </cfRule>
  </conditionalFormatting>
  <conditionalFormatting sqref="E186">
    <cfRule type="expression" dxfId="2680" priority="2821" stopIfTrue="1">
      <formula>$A186="Triplog"</formula>
    </cfRule>
  </conditionalFormatting>
  <conditionalFormatting sqref="E187">
    <cfRule type="expression" dxfId="2679" priority="2794" stopIfTrue="1">
      <formula>$A187="Pipe"</formula>
    </cfRule>
  </conditionalFormatting>
  <conditionalFormatting sqref="E187">
    <cfRule type="expression" dxfId="2678" priority="2795" stopIfTrue="1">
      <formula>$A187="Junction"</formula>
    </cfRule>
  </conditionalFormatting>
  <conditionalFormatting sqref="E187">
    <cfRule type="expression" dxfId="2677" priority="2796" stopIfTrue="1">
      <formula>$A187="Sngljun"</formula>
    </cfRule>
  </conditionalFormatting>
  <conditionalFormatting sqref="E187">
    <cfRule type="expression" dxfId="2676" priority="2797" stopIfTrue="1">
      <formula>$A187="Mtrvlv"</formula>
    </cfRule>
  </conditionalFormatting>
  <conditionalFormatting sqref="E187">
    <cfRule type="expression" dxfId="2675" priority="2798" stopIfTrue="1">
      <formula>$A187="Srvvlv"</formula>
    </cfRule>
  </conditionalFormatting>
  <conditionalFormatting sqref="E187">
    <cfRule type="expression" dxfId="2674" priority="2799" stopIfTrue="1">
      <formula>$A187="Chkvlv"</formula>
    </cfRule>
  </conditionalFormatting>
  <conditionalFormatting sqref="E187">
    <cfRule type="expression" dxfId="2673" priority="2800" stopIfTrue="1">
      <formula>$A187="Inrvlv"</formula>
    </cfRule>
  </conditionalFormatting>
  <conditionalFormatting sqref="E187">
    <cfRule type="expression" dxfId="2672" priority="2801" stopIfTrue="1">
      <formula>$A187="Tmdpjun"</formula>
    </cfRule>
  </conditionalFormatting>
  <conditionalFormatting sqref="E187">
    <cfRule type="expression" dxfId="2671" priority="2802" stopIfTrue="1">
      <formula>$A187="Pump"</formula>
    </cfRule>
  </conditionalFormatting>
  <conditionalFormatting sqref="E187">
    <cfRule type="expression" dxfId="2670" priority="2803" stopIfTrue="1">
      <formula>$A187="Tmdpvol"</formula>
    </cfRule>
  </conditionalFormatting>
  <conditionalFormatting sqref="E187">
    <cfRule type="expression" dxfId="2669" priority="2804" stopIfTrue="1">
      <formula>$A187="Snglvol"</formula>
    </cfRule>
  </conditionalFormatting>
  <conditionalFormatting sqref="E187">
    <cfRule type="expression" dxfId="2668" priority="2805" stopIfTrue="1">
      <formula>$A187="Timestep"</formula>
    </cfRule>
  </conditionalFormatting>
  <conditionalFormatting sqref="E187">
    <cfRule type="expression" dxfId="2667" priority="2806" stopIfTrue="1">
      <formula>$A187="Tripvar"</formula>
    </cfRule>
  </conditionalFormatting>
  <conditionalFormatting sqref="E187">
    <cfRule type="expression" dxfId="2666" priority="2807" stopIfTrue="1">
      <formula>$A187="Triplog"</formula>
    </cfRule>
  </conditionalFormatting>
  <conditionalFormatting sqref="E189">
    <cfRule type="expression" dxfId="2665" priority="2780" stopIfTrue="1">
      <formula>$A189="Pipe"</formula>
    </cfRule>
  </conditionalFormatting>
  <conditionalFormatting sqref="E189">
    <cfRule type="expression" dxfId="2664" priority="2781" stopIfTrue="1">
      <formula>$A189="Junction"</formula>
    </cfRule>
  </conditionalFormatting>
  <conditionalFormatting sqref="E189">
    <cfRule type="expression" dxfId="2663" priority="2782" stopIfTrue="1">
      <formula>$A189="Sngljun"</formula>
    </cfRule>
  </conditionalFormatting>
  <conditionalFormatting sqref="E189">
    <cfRule type="expression" dxfId="2662" priority="2783" stopIfTrue="1">
      <formula>$A189="Mtrvlv"</formula>
    </cfRule>
  </conditionalFormatting>
  <conditionalFormatting sqref="E189">
    <cfRule type="expression" dxfId="2661" priority="2784" stopIfTrue="1">
      <formula>$A189="Srvvlv"</formula>
    </cfRule>
  </conditionalFormatting>
  <conditionalFormatting sqref="E189">
    <cfRule type="expression" dxfId="2660" priority="2785" stopIfTrue="1">
      <formula>$A189="Chkvlv"</formula>
    </cfRule>
  </conditionalFormatting>
  <conditionalFormatting sqref="E189">
    <cfRule type="expression" dxfId="2659" priority="2786" stopIfTrue="1">
      <formula>$A189="Inrvlv"</formula>
    </cfRule>
  </conditionalFormatting>
  <conditionalFormatting sqref="E189">
    <cfRule type="expression" dxfId="2658" priority="2787" stopIfTrue="1">
      <formula>$A189="Tmdpjun"</formula>
    </cfRule>
  </conditionalFormatting>
  <conditionalFormatting sqref="E189">
    <cfRule type="expression" dxfId="2657" priority="2788" stopIfTrue="1">
      <formula>$A189="Pump"</formula>
    </cfRule>
  </conditionalFormatting>
  <conditionalFormatting sqref="E189">
    <cfRule type="expression" dxfId="2656" priority="2789" stopIfTrue="1">
      <formula>$A189="Tmdpvol"</formula>
    </cfRule>
  </conditionalFormatting>
  <conditionalFormatting sqref="E189">
    <cfRule type="expression" dxfId="2655" priority="2790" stopIfTrue="1">
      <formula>$A189="Snglvol"</formula>
    </cfRule>
  </conditionalFormatting>
  <conditionalFormatting sqref="E189">
    <cfRule type="expression" dxfId="2654" priority="2791" stopIfTrue="1">
      <formula>$A189="Timestep"</formula>
    </cfRule>
  </conditionalFormatting>
  <conditionalFormatting sqref="E189">
    <cfRule type="expression" dxfId="2653" priority="2792" stopIfTrue="1">
      <formula>$A189="Tripvar"</formula>
    </cfRule>
  </conditionalFormatting>
  <conditionalFormatting sqref="E189">
    <cfRule type="expression" dxfId="2652" priority="2793" stopIfTrue="1">
      <formula>$A189="Triplog"</formula>
    </cfRule>
  </conditionalFormatting>
  <conditionalFormatting sqref="E59">
    <cfRule type="expression" dxfId="2651" priority="2766" stopIfTrue="1">
      <formula>$A59="Pipe"</formula>
    </cfRule>
  </conditionalFormatting>
  <conditionalFormatting sqref="E59">
    <cfRule type="expression" dxfId="2650" priority="2767" stopIfTrue="1">
      <formula>$A59="Junction"</formula>
    </cfRule>
  </conditionalFormatting>
  <conditionalFormatting sqref="E59">
    <cfRule type="expression" dxfId="2649" priority="2768" stopIfTrue="1">
      <formula>$A59="Sngljun"</formula>
    </cfRule>
  </conditionalFormatting>
  <conditionalFormatting sqref="E59">
    <cfRule type="expression" dxfId="2648" priority="2769" stopIfTrue="1">
      <formula>$A59="Mtrvlv"</formula>
    </cfRule>
  </conditionalFormatting>
  <conditionalFormatting sqref="E59">
    <cfRule type="expression" dxfId="2647" priority="2770" stopIfTrue="1">
      <formula>$A59="Srvvlv"</formula>
    </cfRule>
  </conditionalFormatting>
  <conditionalFormatting sqref="E59">
    <cfRule type="expression" dxfId="2646" priority="2771" stopIfTrue="1">
      <formula>$A59="Chkvlv"</formula>
    </cfRule>
  </conditionalFormatting>
  <conditionalFormatting sqref="E59">
    <cfRule type="expression" dxfId="2645" priority="2772" stopIfTrue="1">
      <formula>$A59="Inrvlv"</formula>
    </cfRule>
  </conditionalFormatting>
  <conditionalFormatting sqref="E59">
    <cfRule type="expression" dxfId="2644" priority="2773" stopIfTrue="1">
      <formula>$A59="Tmdpjun"</formula>
    </cfRule>
  </conditionalFormatting>
  <conditionalFormatting sqref="E59">
    <cfRule type="expression" dxfId="2643" priority="2774" stopIfTrue="1">
      <formula>$A59="Pump"</formula>
    </cfRule>
  </conditionalFormatting>
  <conditionalFormatting sqref="E59">
    <cfRule type="expression" dxfId="2642" priority="2775" stopIfTrue="1">
      <formula>$A59="Tmdpvol"</formula>
    </cfRule>
  </conditionalFormatting>
  <conditionalFormatting sqref="E59">
    <cfRule type="expression" dxfId="2641" priority="2776" stopIfTrue="1">
      <formula>$A59="Snglvol"</formula>
    </cfRule>
  </conditionalFormatting>
  <conditionalFormatting sqref="E59">
    <cfRule type="expression" dxfId="2640" priority="2777" stopIfTrue="1">
      <formula>$A59="Timestep"</formula>
    </cfRule>
  </conditionalFormatting>
  <conditionalFormatting sqref="E59">
    <cfRule type="expression" dxfId="2639" priority="2778" stopIfTrue="1">
      <formula>$A59="Tripvar"</formula>
    </cfRule>
  </conditionalFormatting>
  <conditionalFormatting sqref="E59">
    <cfRule type="expression" dxfId="2638" priority="2779" stopIfTrue="1">
      <formula>$A59="Triplog"</formula>
    </cfRule>
  </conditionalFormatting>
  <conditionalFormatting sqref="E60">
    <cfRule type="expression" dxfId="2637" priority="2752" stopIfTrue="1">
      <formula>$A60="Pipe"</formula>
    </cfRule>
  </conditionalFormatting>
  <conditionalFormatting sqref="E60">
    <cfRule type="expression" dxfId="2636" priority="2753" stopIfTrue="1">
      <formula>$A60="Junction"</formula>
    </cfRule>
  </conditionalFormatting>
  <conditionalFormatting sqref="E60">
    <cfRule type="expression" dxfId="2635" priority="2754" stopIfTrue="1">
      <formula>$A60="Sngljun"</formula>
    </cfRule>
  </conditionalFormatting>
  <conditionalFormatting sqref="E60">
    <cfRule type="expression" dxfId="2634" priority="2755" stopIfTrue="1">
      <formula>$A60="Mtrvlv"</formula>
    </cfRule>
  </conditionalFormatting>
  <conditionalFormatting sqref="E60">
    <cfRule type="expression" dxfId="2633" priority="2756" stopIfTrue="1">
      <formula>$A60="Srvvlv"</formula>
    </cfRule>
  </conditionalFormatting>
  <conditionalFormatting sqref="E60">
    <cfRule type="expression" dxfId="2632" priority="2757" stopIfTrue="1">
      <formula>$A60="Chkvlv"</formula>
    </cfRule>
  </conditionalFormatting>
  <conditionalFormatting sqref="E60">
    <cfRule type="expression" dxfId="2631" priority="2758" stopIfTrue="1">
      <formula>$A60="Inrvlv"</formula>
    </cfRule>
  </conditionalFormatting>
  <conditionalFormatting sqref="E60">
    <cfRule type="expression" dxfId="2630" priority="2759" stopIfTrue="1">
      <formula>$A60="Tmdpjun"</formula>
    </cfRule>
  </conditionalFormatting>
  <conditionalFormatting sqref="E60">
    <cfRule type="expression" dxfId="2629" priority="2760" stopIfTrue="1">
      <formula>$A60="Pump"</formula>
    </cfRule>
  </conditionalFormatting>
  <conditionalFormatting sqref="E60">
    <cfRule type="expression" dxfId="2628" priority="2761" stopIfTrue="1">
      <formula>$A60="Tmdpvol"</formula>
    </cfRule>
  </conditionalFormatting>
  <conditionalFormatting sqref="E60">
    <cfRule type="expression" dxfId="2627" priority="2762" stopIfTrue="1">
      <formula>$A60="Snglvol"</formula>
    </cfRule>
  </conditionalFormatting>
  <conditionalFormatting sqref="E60">
    <cfRule type="expression" dxfId="2626" priority="2763" stopIfTrue="1">
      <formula>$A60="Timestep"</formula>
    </cfRule>
  </conditionalFormatting>
  <conditionalFormatting sqref="E60">
    <cfRule type="expression" dxfId="2625" priority="2764" stopIfTrue="1">
      <formula>$A60="Tripvar"</formula>
    </cfRule>
  </conditionalFormatting>
  <conditionalFormatting sqref="E60">
    <cfRule type="expression" dxfId="2624" priority="2765" stopIfTrue="1">
      <formula>$A60="Triplog"</formula>
    </cfRule>
  </conditionalFormatting>
  <conditionalFormatting sqref="L72">
    <cfRule type="expression" dxfId="2623" priority="2366" stopIfTrue="1">
      <formula>$A72="Pipe"</formula>
    </cfRule>
  </conditionalFormatting>
  <conditionalFormatting sqref="E93">
    <cfRule type="expression" dxfId="2622" priority="2097" stopIfTrue="1">
      <formula>$A93="Junction"</formula>
    </cfRule>
  </conditionalFormatting>
  <conditionalFormatting sqref="E93">
    <cfRule type="expression" dxfId="2621" priority="2098" stopIfTrue="1">
      <formula>$A93="Sngljun"</formula>
    </cfRule>
  </conditionalFormatting>
  <conditionalFormatting sqref="E93">
    <cfRule type="expression" dxfId="2620" priority="2099" stopIfTrue="1">
      <formula>$A93="Mtrvlv"</formula>
    </cfRule>
  </conditionalFormatting>
  <conditionalFormatting sqref="E93">
    <cfRule type="expression" dxfId="2619" priority="2100" stopIfTrue="1">
      <formula>$A93="Srvvlv"</formula>
    </cfRule>
  </conditionalFormatting>
  <conditionalFormatting sqref="E93">
    <cfRule type="expression" dxfId="2618" priority="2101" stopIfTrue="1">
      <formula>$A93="Chkvlv"</formula>
    </cfRule>
  </conditionalFormatting>
  <conditionalFormatting sqref="E93">
    <cfRule type="expression" dxfId="2617" priority="2102" stopIfTrue="1">
      <formula>$A93="Inrvlv"</formula>
    </cfRule>
  </conditionalFormatting>
  <conditionalFormatting sqref="E93">
    <cfRule type="expression" dxfId="2616" priority="2103" stopIfTrue="1">
      <formula>$A93="Tmdpjun"</formula>
    </cfRule>
  </conditionalFormatting>
  <conditionalFormatting sqref="E93">
    <cfRule type="expression" dxfId="2615" priority="2104" stopIfTrue="1">
      <formula>$A93="Pump"</formula>
    </cfRule>
  </conditionalFormatting>
  <conditionalFormatting sqref="E93">
    <cfRule type="expression" dxfId="2614" priority="2105" stopIfTrue="1">
      <formula>$A93="Tmdpvol"</formula>
    </cfRule>
  </conditionalFormatting>
  <conditionalFormatting sqref="E93">
    <cfRule type="expression" dxfId="2613" priority="2106" stopIfTrue="1">
      <formula>$A93="Snglvol"</formula>
    </cfRule>
  </conditionalFormatting>
  <conditionalFormatting sqref="E93">
    <cfRule type="expression" dxfId="2612" priority="2107" stopIfTrue="1">
      <formula>$A93="Timestep"</formula>
    </cfRule>
  </conditionalFormatting>
  <conditionalFormatting sqref="E93">
    <cfRule type="expression" dxfId="2611" priority="2108" stopIfTrue="1">
      <formula>$A93="Tripvar"</formula>
    </cfRule>
  </conditionalFormatting>
  <conditionalFormatting sqref="E93">
    <cfRule type="expression" dxfId="2610" priority="2109" stopIfTrue="1">
      <formula>$A93="Triplog"</formula>
    </cfRule>
  </conditionalFormatting>
  <conditionalFormatting sqref="E73">
    <cfRule type="expression" dxfId="2609" priority="2724" stopIfTrue="1">
      <formula>$A73="Pipe"</formula>
    </cfRule>
  </conditionalFormatting>
  <conditionalFormatting sqref="E73">
    <cfRule type="expression" dxfId="2608" priority="2725" stopIfTrue="1">
      <formula>$A73="Junction"</formula>
    </cfRule>
  </conditionalFormatting>
  <conditionalFormatting sqref="E73">
    <cfRule type="expression" dxfId="2607" priority="2726" stopIfTrue="1">
      <formula>$A73="Sngljun"</formula>
    </cfRule>
  </conditionalFormatting>
  <conditionalFormatting sqref="E73">
    <cfRule type="expression" dxfId="2606" priority="2727" stopIfTrue="1">
      <formula>$A73="Mtrvlv"</formula>
    </cfRule>
  </conditionalFormatting>
  <conditionalFormatting sqref="E73">
    <cfRule type="expression" dxfId="2605" priority="2728" stopIfTrue="1">
      <formula>$A73="Srvvlv"</formula>
    </cfRule>
  </conditionalFormatting>
  <conditionalFormatting sqref="E73">
    <cfRule type="expression" dxfId="2604" priority="2729" stopIfTrue="1">
      <formula>$A73="Chkvlv"</formula>
    </cfRule>
  </conditionalFormatting>
  <conditionalFormatting sqref="E73">
    <cfRule type="expression" dxfId="2603" priority="2730" stopIfTrue="1">
      <formula>$A73="Inrvlv"</formula>
    </cfRule>
  </conditionalFormatting>
  <conditionalFormatting sqref="E73">
    <cfRule type="expression" dxfId="2602" priority="2731" stopIfTrue="1">
      <formula>$A73="Tmdpjun"</formula>
    </cfRule>
  </conditionalFormatting>
  <conditionalFormatting sqref="E73">
    <cfRule type="expression" dxfId="2601" priority="2732" stopIfTrue="1">
      <formula>$A73="Pump"</formula>
    </cfRule>
  </conditionalFormatting>
  <conditionalFormatting sqref="E73">
    <cfRule type="expression" dxfId="2600" priority="2733" stopIfTrue="1">
      <formula>$A73="Tmdpvol"</formula>
    </cfRule>
  </conditionalFormatting>
  <conditionalFormatting sqref="E73">
    <cfRule type="expression" dxfId="2599" priority="2734" stopIfTrue="1">
      <formula>$A73="Snglvol"</formula>
    </cfRule>
  </conditionalFormatting>
  <conditionalFormatting sqref="E73">
    <cfRule type="expression" dxfId="2598" priority="2735" stopIfTrue="1">
      <formula>$A73="Timestep"</formula>
    </cfRule>
  </conditionalFormatting>
  <conditionalFormatting sqref="E73">
    <cfRule type="expression" dxfId="2597" priority="2736" stopIfTrue="1">
      <formula>$A73="Tripvar"</formula>
    </cfRule>
  </conditionalFormatting>
  <conditionalFormatting sqref="E73">
    <cfRule type="expression" dxfId="2596" priority="2737" stopIfTrue="1">
      <formula>$A73="Triplog"</formula>
    </cfRule>
  </conditionalFormatting>
  <conditionalFormatting sqref="U69:V69 Q69 A69:D69 F69:K69">
    <cfRule type="expression" dxfId="2595" priority="2656" stopIfTrue="1">
      <formula>$A69="Pipe"</formula>
    </cfRule>
  </conditionalFormatting>
  <conditionalFormatting sqref="M69:P69 U69:V69 A69:B69 H69:K69">
    <cfRule type="expression" dxfId="2594" priority="2657" stopIfTrue="1">
      <formula>$A69="Junction"</formula>
    </cfRule>
  </conditionalFormatting>
  <conditionalFormatting sqref="M69:P69 T69:V69 A69:B69 H69:K69">
    <cfRule type="expression" dxfId="2593" priority="2658" stopIfTrue="1">
      <formula>$A69="Mtrvlv"</formula>
    </cfRule>
  </conditionalFormatting>
  <conditionalFormatting sqref="M69:P69 T69:V69 B69 H69:K69">
    <cfRule type="expression" dxfId="2592" priority="2659" stopIfTrue="1">
      <formula>$A69="Srvvlv"</formula>
    </cfRule>
  </conditionalFormatting>
  <conditionalFormatting sqref="V69 T69 N69:P69 A69 H69:J69">
    <cfRule type="expression" dxfId="2591" priority="2660" stopIfTrue="1">
      <formula>$A69="Chkvlv"</formula>
    </cfRule>
  </conditionalFormatting>
  <conditionalFormatting sqref="M69:P69 T69:V69 A69:B69 H69:K69">
    <cfRule type="expression" dxfId="2590" priority="2661" stopIfTrue="1">
      <formula>$A69="Inrvlv"</formula>
    </cfRule>
  </conditionalFormatting>
  <conditionalFormatting sqref="M69:P69 T69:V69 B69 H69:K69">
    <cfRule type="expression" dxfId="2589" priority="2662" stopIfTrue="1">
      <formula>$A69="Tmdpjun"</formula>
    </cfRule>
  </conditionalFormatting>
  <conditionalFormatting sqref="M69:P69 T69:V69 A69:C69 F69:K69">
    <cfRule type="expression" dxfId="2588" priority="2663" stopIfTrue="1">
      <formula>$A69="Pump"</formula>
    </cfRule>
  </conditionalFormatting>
  <conditionalFormatting sqref="U69:V69 Q69 J69:K69 F69:G69 A69:C69">
    <cfRule type="expression" dxfId="2587" priority="2664" stopIfTrue="1">
      <formula>$A69="Tmdpvol"</formula>
    </cfRule>
  </conditionalFormatting>
  <conditionalFormatting sqref="V69 J69 F69:G69 A69">
    <cfRule type="expression" dxfId="2586" priority="2665" stopIfTrue="1">
      <formula>$A69="Snglvol"</formula>
    </cfRule>
  </conditionalFormatting>
  <conditionalFormatting sqref="M69:P69 U69:V69 A69:B69 H69:K69">
    <cfRule type="expression" dxfId="2585" priority="2666" stopIfTrue="1">
      <formula>$A69="Sngljun"</formula>
    </cfRule>
  </conditionalFormatting>
  <conditionalFormatting sqref="M69:P69 R69:T69">
    <cfRule type="expression" dxfId="2584" priority="2667" stopIfTrue="1">
      <formula>$A69="Pipe"</formula>
    </cfRule>
  </conditionalFormatting>
  <conditionalFormatting sqref="C69">
    <cfRule type="expression" dxfId="2583" priority="2668" stopIfTrue="1">
      <formula>$A69="Junction"</formula>
    </cfRule>
    <cfRule type="expression" dxfId="2582" priority="2694" stopIfTrue="1">
      <formula>$A69="Snglvol"</formula>
    </cfRule>
    <cfRule type="expression" dxfId="2581" priority="2707" stopIfTrue="1">
      <formula>$A69="InitGas"</formula>
    </cfRule>
    <cfRule type="expression" dxfId="2580" priority="2719" stopIfTrue="1">
      <formula>$A69="Tripvar"</formula>
    </cfRule>
  </conditionalFormatting>
  <conditionalFormatting sqref="Q69:T69 F69:G69 D69">
    <cfRule type="expression" dxfId="2579" priority="2669" stopIfTrue="1">
      <formula>$A69="Junction"</formula>
    </cfRule>
  </conditionalFormatting>
  <conditionalFormatting sqref="Q69:T69 F69:G69 C69:D69">
    <cfRule type="expression" dxfId="2578" priority="2670" stopIfTrue="1">
      <formula>$A69="Sngljun"</formula>
    </cfRule>
  </conditionalFormatting>
  <conditionalFormatting sqref="Q69:S69 F69:G69 C69:D69">
    <cfRule type="expression" dxfId="2577" priority="2671" stopIfTrue="1">
      <formula>$A69="Mtrvlv"</formula>
    </cfRule>
  </conditionalFormatting>
  <conditionalFormatting sqref="A69">
    <cfRule type="expression" dxfId="2576" priority="2672" stopIfTrue="1">
      <formula>$A69="Srvvlv"</formula>
    </cfRule>
    <cfRule type="expression" dxfId="2575" priority="2683" stopIfTrue="1">
      <formula>$A69="Tmdpjun"</formula>
    </cfRule>
  </conditionalFormatting>
  <conditionalFormatting sqref="S69 Q69 F69:G69 C69:D69">
    <cfRule type="expression" dxfId="2574" priority="2673" stopIfTrue="1">
      <formula>$A69="Srvvlv"</formula>
    </cfRule>
  </conditionalFormatting>
  <conditionalFormatting sqref="R69">
    <cfRule type="expression" dxfId="2573" priority="2674" stopIfTrue="1">
      <formula>$A69="Srvvlv"</formula>
    </cfRule>
    <cfRule type="expression" dxfId="2572" priority="2685" stopIfTrue="1">
      <formula>$A69="Tmdpjun"</formula>
    </cfRule>
    <cfRule type="expression" dxfId="2571" priority="2688" stopIfTrue="1">
      <formula>$A69="Pump"</formula>
    </cfRule>
    <cfRule type="expression" dxfId="2570" priority="2691" stopIfTrue="1">
      <formula>$A69="Tmdpvol"</formula>
    </cfRule>
    <cfRule type="expression" dxfId="2569" priority="2698" stopIfTrue="1">
      <formula>$A69="Snglvol"</formula>
    </cfRule>
  </conditionalFormatting>
  <conditionalFormatting sqref="B69">
    <cfRule type="expression" dxfId="2568" priority="2675" stopIfTrue="1">
      <formula>$A69="Chkvlv"</formula>
    </cfRule>
    <cfRule type="expression" dxfId="2567" priority="2701" stopIfTrue="1">
      <formula>$A69="Relapnr"</formula>
    </cfRule>
    <cfRule type="expression" dxfId="2566" priority="2706" stopIfTrue="1">
      <formula>$A69="InitGas"</formula>
    </cfRule>
    <cfRule type="expression" dxfId="2565" priority="2712" stopIfTrue="1">
      <formula>$A69="Replacements"</formula>
    </cfRule>
    <cfRule type="expression" dxfId="2564" priority="2716" stopIfTrue="1">
      <formula>$A69="Custom"</formula>
    </cfRule>
    <cfRule type="expression" dxfId="2563" priority="2721" stopIfTrue="1">
      <formula>$A69="Triplog"</formula>
    </cfRule>
  </conditionalFormatting>
  <conditionalFormatting sqref="C69 Q69:S69 F69:G69">
    <cfRule type="expression" dxfId="2562" priority="2676" stopIfTrue="1">
      <formula>$A69="Chkvlv"</formula>
    </cfRule>
  </conditionalFormatting>
  <conditionalFormatting sqref="D69">
    <cfRule type="expression" dxfId="2561" priority="2677" stopIfTrue="1">
      <formula>$A69="Chkvlv"</formula>
    </cfRule>
    <cfRule type="expression" dxfId="2560" priority="2723" stopIfTrue="1">
      <formula>$A69="Triplog"</formula>
    </cfRule>
  </conditionalFormatting>
  <conditionalFormatting sqref="U69 K69">
    <cfRule type="expression" dxfId="2559" priority="2678" stopIfTrue="1">
      <formula>$A69="Chkvlv"</formula>
    </cfRule>
    <cfRule type="expression" dxfId="2558" priority="2696" stopIfTrue="1">
      <formula>$A69="Snglvol"</formula>
    </cfRule>
  </conditionalFormatting>
  <conditionalFormatting sqref="M69">
    <cfRule type="expression" dxfId="2557" priority="2679" stopIfTrue="1">
      <formula>$A69="Chkvlv"</formula>
    </cfRule>
    <cfRule type="expression" dxfId="2556" priority="2697" stopIfTrue="1">
      <formula>$A69="Snglvol"</formula>
    </cfRule>
  </conditionalFormatting>
  <conditionalFormatting sqref="C69">
    <cfRule type="expression" dxfId="2555" priority="2680" stopIfTrue="1">
      <formula>$A69="Inrvlv"</formula>
    </cfRule>
    <cfRule type="expression" dxfId="2554" priority="2704" stopIfTrue="1">
      <formula>$A69="Init"</formula>
    </cfRule>
    <cfRule type="expression" dxfId="2553" priority="2710" stopIfTrue="1">
      <formula>$A69="Timestep"</formula>
    </cfRule>
    <cfRule type="expression" dxfId="2552" priority="2722" stopIfTrue="1">
      <formula>$A69="Triplog"</formula>
    </cfRule>
  </conditionalFormatting>
  <conditionalFormatting sqref="Q69:R69 F69:G69 D69">
    <cfRule type="expression" dxfId="2551" priority="2681" stopIfTrue="1">
      <formula>$A69="Inrvlv"</formula>
    </cfRule>
  </conditionalFormatting>
  <conditionalFormatting sqref="S69">
    <cfRule type="expression" dxfId="2550" priority="2682" stopIfTrue="1">
      <formula>$A69="Inrvlv"</formula>
    </cfRule>
    <cfRule type="expression" dxfId="2549" priority="2686" stopIfTrue="1">
      <formula>$A69="Tmdpjun"</formula>
    </cfRule>
    <cfRule type="expression" dxfId="2548" priority="2689" stopIfTrue="1">
      <formula>$A69="Pump"</formula>
    </cfRule>
    <cfRule type="expression" dxfId="2547" priority="2692" stopIfTrue="1">
      <formula>$A69="Tmdpvol"</formula>
    </cfRule>
    <cfRule type="expression" dxfId="2546" priority="2699" stopIfTrue="1">
      <formula>$A69="Snglvol"</formula>
    </cfRule>
  </conditionalFormatting>
  <conditionalFormatting sqref="Q69 F69:G69 C69:D69">
    <cfRule type="expression" dxfId="2545" priority="2684" stopIfTrue="1">
      <formula>$A69="Tmdpjun"</formula>
    </cfRule>
  </conditionalFormatting>
  <conditionalFormatting sqref="Q69 D69">
    <cfRule type="expression" dxfId="2544" priority="2687" stopIfTrue="1">
      <formula>$A69="Pump"</formula>
    </cfRule>
  </conditionalFormatting>
  <conditionalFormatting sqref="T69 H69:I69 D69 M69:P69">
    <cfRule type="expression" dxfId="2543" priority="2690" stopIfTrue="1">
      <formula>$A69="Tmdpvol"</formula>
    </cfRule>
  </conditionalFormatting>
  <conditionalFormatting sqref="B69">
    <cfRule type="expression" dxfId="2542" priority="2693" stopIfTrue="1">
      <formula>$A69="Snglvol"</formula>
    </cfRule>
    <cfRule type="expression" dxfId="2541" priority="2703" stopIfTrue="1">
      <formula>$A69="Init"</formula>
    </cfRule>
    <cfRule type="expression" dxfId="2540" priority="2709" stopIfTrue="1">
      <formula>$A69="Timestep"</formula>
    </cfRule>
    <cfRule type="expression" dxfId="2539" priority="2714" stopIfTrue="1">
      <formula>$A69="Triggerwords"</formula>
    </cfRule>
    <cfRule type="expression" dxfId="2538" priority="2718" stopIfTrue="1">
      <formula>$A69="Tripvar"</formula>
    </cfRule>
  </conditionalFormatting>
  <conditionalFormatting sqref="T69 N69:Q69 H69:I69 D69">
    <cfRule type="expression" dxfId="2537" priority="2695" stopIfTrue="1">
      <formula>$A69="Snglvol"</formula>
    </cfRule>
  </conditionalFormatting>
  <conditionalFormatting sqref="A69">
    <cfRule type="expression" dxfId="2536" priority="2700" stopIfTrue="1">
      <formula>$A69="Relapnr"</formula>
    </cfRule>
  </conditionalFormatting>
  <conditionalFormatting sqref="A69">
    <cfRule type="expression" dxfId="2535" priority="2702" stopIfTrue="1">
      <formula>$A69="Init"</formula>
    </cfRule>
  </conditionalFormatting>
  <conditionalFormatting sqref="A69">
    <cfRule type="expression" dxfId="2534" priority="2705" stopIfTrue="1">
      <formula>$A69="InitGas"</formula>
    </cfRule>
  </conditionalFormatting>
  <conditionalFormatting sqref="A69 D69">
    <cfRule type="expression" dxfId="2533" priority="2708" stopIfTrue="1">
      <formula>$A69="Timestep"</formula>
    </cfRule>
  </conditionalFormatting>
  <conditionalFormatting sqref="A69">
    <cfRule type="expression" dxfId="2532" priority="2711" stopIfTrue="1">
      <formula>$A69="Replacements"</formula>
    </cfRule>
  </conditionalFormatting>
  <conditionalFormatting sqref="A69">
    <cfRule type="expression" dxfId="2531" priority="2713" stopIfTrue="1">
      <formula>$A69="Triggerwords"</formula>
    </cfRule>
  </conditionalFormatting>
  <conditionalFormatting sqref="A69">
    <cfRule type="expression" dxfId="2530" priority="2715" stopIfTrue="1">
      <formula>$A69="Custom"</formula>
    </cfRule>
  </conditionalFormatting>
  <conditionalFormatting sqref="A69 F69:I69 D69">
    <cfRule type="expression" dxfId="2529" priority="2717" stopIfTrue="1">
      <formula>$A69="Tripvar"</formula>
    </cfRule>
  </conditionalFormatting>
  <conditionalFormatting sqref="A69 F69">
    <cfRule type="expression" dxfId="2528" priority="2720" stopIfTrue="1">
      <formula>$A69="Triplog"</formula>
    </cfRule>
  </conditionalFormatting>
  <conditionalFormatting sqref="L69">
    <cfRule type="expression" dxfId="2527" priority="2645" stopIfTrue="1">
      <formula>$A69="Pipe"</formula>
    </cfRule>
  </conditionalFormatting>
  <conditionalFormatting sqref="L69">
    <cfRule type="expression" dxfId="2526" priority="2646" stopIfTrue="1">
      <formula>$A69="Junction"</formula>
    </cfRule>
  </conditionalFormatting>
  <conditionalFormatting sqref="L69">
    <cfRule type="expression" dxfId="2525" priority="2647" stopIfTrue="1">
      <formula>$A69="Sngljun"</formula>
    </cfRule>
  </conditionalFormatting>
  <conditionalFormatting sqref="L69">
    <cfRule type="expression" dxfId="2524" priority="2648" stopIfTrue="1">
      <formula>$A69="Mtrvlv"</formula>
    </cfRule>
  </conditionalFormatting>
  <conditionalFormatting sqref="L69">
    <cfRule type="expression" dxfId="2523" priority="2649" stopIfTrue="1">
      <formula>$A69="Srvvlv"</formula>
    </cfRule>
  </conditionalFormatting>
  <conditionalFormatting sqref="L69">
    <cfRule type="expression" dxfId="2522" priority="2650" stopIfTrue="1">
      <formula>$A69="Chkvlv"</formula>
    </cfRule>
  </conditionalFormatting>
  <conditionalFormatting sqref="L69">
    <cfRule type="expression" dxfId="2521" priority="2651" stopIfTrue="1">
      <formula>$A69="Inrvlv"</formula>
    </cfRule>
  </conditionalFormatting>
  <conditionalFormatting sqref="L69">
    <cfRule type="expression" dxfId="2520" priority="2652" stopIfTrue="1">
      <formula>$A69="Tmdpjun"</formula>
    </cfRule>
  </conditionalFormatting>
  <conditionalFormatting sqref="L69">
    <cfRule type="expression" dxfId="2519" priority="2653" stopIfTrue="1">
      <formula>$A69="Pump"</formula>
    </cfRule>
  </conditionalFormatting>
  <conditionalFormatting sqref="L69">
    <cfRule type="expression" dxfId="2518" priority="2654" stopIfTrue="1">
      <formula>$A69="Tmdpvol"</formula>
    </cfRule>
  </conditionalFormatting>
  <conditionalFormatting sqref="L69">
    <cfRule type="expression" dxfId="2517" priority="2655" stopIfTrue="1">
      <formula>$A69="Snglvol"</formula>
    </cfRule>
  </conditionalFormatting>
  <conditionalFormatting sqref="E69">
    <cfRule type="expression" dxfId="2516" priority="2631" stopIfTrue="1">
      <formula>$A69="Pipe"</formula>
    </cfRule>
  </conditionalFormatting>
  <conditionalFormatting sqref="E69">
    <cfRule type="expression" dxfId="2515" priority="2632" stopIfTrue="1">
      <formula>$A69="Junction"</formula>
    </cfRule>
  </conditionalFormatting>
  <conditionalFormatting sqref="E69">
    <cfRule type="expression" dxfId="2514" priority="2633" stopIfTrue="1">
      <formula>$A69="Sngljun"</formula>
    </cfRule>
  </conditionalFormatting>
  <conditionalFormatting sqref="E69">
    <cfRule type="expression" dxfId="2513" priority="2634" stopIfTrue="1">
      <formula>$A69="Mtrvlv"</formula>
    </cfRule>
  </conditionalFormatting>
  <conditionalFormatting sqref="E69">
    <cfRule type="expression" dxfId="2512" priority="2635" stopIfTrue="1">
      <formula>$A69="Srvvlv"</formula>
    </cfRule>
  </conditionalFormatting>
  <conditionalFormatting sqref="E69">
    <cfRule type="expression" dxfId="2511" priority="2636" stopIfTrue="1">
      <formula>$A69="Chkvlv"</formula>
    </cfRule>
  </conditionalFormatting>
  <conditionalFormatting sqref="E69">
    <cfRule type="expression" dxfId="2510" priority="2637" stopIfTrue="1">
      <formula>$A69="Inrvlv"</formula>
    </cfRule>
  </conditionalFormatting>
  <conditionalFormatting sqref="E69">
    <cfRule type="expression" dxfId="2509" priority="2638" stopIfTrue="1">
      <formula>$A69="Tmdpjun"</formula>
    </cfRule>
  </conditionalFormatting>
  <conditionalFormatting sqref="E69">
    <cfRule type="expression" dxfId="2508" priority="2639" stopIfTrue="1">
      <formula>$A69="Pump"</formula>
    </cfRule>
  </conditionalFormatting>
  <conditionalFormatting sqref="E69">
    <cfRule type="expression" dxfId="2507" priority="2640" stopIfTrue="1">
      <formula>$A69="Tmdpvol"</formula>
    </cfRule>
  </conditionalFormatting>
  <conditionalFormatting sqref="E69">
    <cfRule type="expression" dxfId="2506" priority="2641" stopIfTrue="1">
      <formula>$A69="Snglvol"</formula>
    </cfRule>
  </conditionalFormatting>
  <conditionalFormatting sqref="E69">
    <cfRule type="expression" dxfId="2505" priority="2642" stopIfTrue="1">
      <formula>$A69="Timestep"</formula>
    </cfRule>
  </conditionalFormatting>
  <conditionalFormatting sqref="E69">
    <cfRule type="expression" dxfId="2504" priority="2643" stopIfTrue="1">
      <formula>$A69="Tripvar"</formula>
    </cfRule>
  </conditionalFormatting>
  <conditionalFormatting sqref="E69">
    <cfRule type="expression" dxfId="2503" priority="2644" stopIfTrue="1">
      <formula>$A69="Triplog"</formula>
    </cfRule>
  </conditionalFormatting>
  <conditionalFormatting sqref="U70:V70 Q70 A70:D70 F70:K70">
    <cfRule type="expression" dxfId="2502" priority="2563" stopIfTrue="1">
      <formula>$A70="Pipe"</formula>
    </cfRule>
  </conditionalFormatting>
  <conditionalFormatting sqref="M70:P70 U70:V70 A70:B70 H70:K70">
    <cfRule type="expression" dxfId="2501" priority="2564" stopIfTrue="1">
      <formula>$A70="Junction"</formula>
    </cfRule>
  </conditionalFormatting>
  <conditionalFormatting sqref="M70:P70 T70:V70 A70:B70 H70:K70">
    <cfRule type="expression" dxfId="2500" priority="2565" stopIfTrue="1">
      <formula>$A70="Mtrvlv"</formula>
    </cfRule>
  </conditionalFormatting>
  <conditionalFormatting sqref="M70:P70 T70:V70 B70 H70:K70">
    <cfRule type="expression" dxfId="2499" priority="2566" stopIfTrue="1">
      <formula>$A70="Srvvlv"</formula>
    </cfRule>
  </conditionalFormatting>
  <conditionalFormatting sqref="V70 T70 N70:P70 A70 H70:J70">
    <cfRule type="expression" dxfId="2498" priority="2567" stopIfTrue="1">
      <formula>$A70="Chkvlv"</formula>
    </cfRule>
  </conditionalFormatting>
  <conditionalFormatting sqref="M70:P70 T70:V70 A70:B70 H70:K70">
    <cfRule type="expression" dxfId="2497" priority="2568" stopIfTrue="1">
      <formula>$A70="Inrvlv"</formula>
    </cfRule>
  </conditionalFormatting>
  <conditionalFormatting sqref="M70:P70 T70:V70 B70 H70:K70">
    <cfRule type="expression" dxfId="2496" priority="2569" stopIfTrue="1">
      <formula>$A70="Tmdpjun"</formula>
    </cfRule>
  </conditionalFormatting>
  <conditionalFormatting sqref="M70:P70 T70:V70 A70:C70 F70:K70">
    <cfRule type="expression" dxfId="2495" priority="2570" stopIfTrue="1">
      <formula>$A70="Pump"</formula>
    </cfRule>
  </conditionalFormatting>
  <conditionalFormatting sqref="U70:V70 Q70 J70:K70 F70:G70 A70:C70">
    <cfRule type="expression" dxfId="2494" priority="2571" stopIfTrue="1">
      <formula>$A70="Tmdpvol"</formula>
    </cfRule>
  </conditionalFormatting>
  <conditionalFormatting sqref="V70 J70 F70:G70 A70">
    <cfRule type="expression" dxfId="2493" priority="2572" stopIfTrue="1">
      <formula>$A70="Snglvol"</formula>
    </cfRule>
  </conditionalFormatting>
  <conditionalFormatting sqref="M70:P70 U70:V70 A70:B70 H70:K70">
    <cfRule type="expression" dxfId="2492" priority="2573" stopIfTrue="1">
      <formula>$A70="Sngljun"</formula>
    </cfRule>
  </conditionalFormatting>
  <conditionalFormatting sqref="M70:P70 R70:T70">
    <cfRule type="expression" dxfId="2491" priority="2574" stopIfTrue="1">
      <formula>$A70="Pipe"</formula>
    </cfRule>
  </conditionalFormatting>
  <conditionalFormatting sqref="C70">
    <cfRule type="expression" dxfId="2490" priority="2575" stopIfTrue="1">
      <formula>$A70="Junction"</formula>
    </cfRule>
    <cfRule type="expression" dxfId="2489" priority="2601" stopIfTrue="1">
      <formula>$A70="Snglvol"</formula>
    </cfRule>
    <cfRule type="expression" dxfId="2488" priority="2614" stopIfTrue="1">
      <formula>$A70="InitGas"</formula>
    </cfRule>
    <cfRule type="expression" dxfId="2487" priority="2626" stopIfTrue="1">
      <formula>$A70="Tripvar"</formula>
    </cfRule>
  </conditionalFormatting>
  <conditionalFormatting sqref="Q70:T70 F70:G70 D70">
    <cfRule type="expression" dxfId="2486" priority="2576" stopIfTrue="1">
      <formula>$A70="Junction"</formula>
    </cfRule>
  </conditionalFormatting>
  <conditionalFormatting sqref="Q70:T70 F70:G70 C70:D70">
    <cfRule type="expression" dxfId="2485" priority="2577" stopIfTrue="1">
      <formula>$A70="Sngljun"</formula>
    </cfRule>
  </conditionalFormatting>
  <conditionalFormatting sqref="Q70:S70 F70:G70 C70:D70">
    <cfRule type="expression" dxfId="2484" priority="2578" stopIfTrue="1">
      <formula>$A70="Mtrvlv"</formula>
    </cfRule>
  </conditionalFormatting>
  <conditionalFormatting sqref="A70">
    <cfRule type="expression" dxfId="2483" priority="2579" stopIfTrue="1">
      <formula>$A70="Srvvlv"</formula>
    </cfRule>
    <cfRule type="expression" dxfId="2482" priority="2590" stopIfTrue="1">
      <formula>$A70="Tmdpjun"</formula>
    </cfRule>
  </conditionalFormatting>
  <conditionalFormatting sqref="S70 Q70 F70:G70 C70:D70">
    <cfRule type="expression" dxfId="2481" priority="2580" stopIfTrue="1">
      <formula>$A70="Srvvlv"</formula>
    </cfRule>
  </conditionalFormatting>
  <conditionalFormatting sqref="R70">
    <cfRule type="expression" dxfId="2480" priority="2581" stopIfTrue="1">
      <formula>$A70="Srvvlv"</formula>
    </cfRule>
    <cfRule type="expression" dxfId="2479" priority="2592" stopIfTrue="1">
      <formula>$A70="Tmdpjun"</formula>
    </cfRule>
    <cfRule type="expression" dxfId="2478" priority="2595" stopIfTrue="1">
      <formula>$A70="Pump"</formula>
    </cfRule>
    <cfRule type="expression" dxfId="2477" priority="2598" stopIfTrue="1">
      <formula>$A70="Tmdpvol"</formula>
    </cfRule>
    <cfRule type="expression" dxfId="2476" priority="2605" stopIfTrue="1">
      <formula>$A70="Snglvol"</formula>
    </cfRule>
  </conditionalFormatting>
  <conditionalFormatting sqref="B70">
    <cfRule type="expression" dxfId="2475" priority="2582" stopIfTrue="1">
      <formula>$A70="Chkvlv"</formula>
    </cfRule>
    <cfRule type="expression" dxfId="2474" priority="2608" stopIfTrue="1">
      <formula>$A70="Relapnr"</formula>
    </cfRule>
    <cfRule type="expression" dxfId="2473" priority="2613" stopIfTrue="1">
      <formula>$A70="InitGas"</formula>
    </cfRule>
    <cfRule type="expression" dxfId="2472" priority="2619" stopIfTrue="1">
      <formula>$A70="Replacements"</formula>
    </cfRule>
    <cfRule type="expression" dxfId="2471" priority="2623" stopIfTrue="1">
      <formula>$A70="Custom"</formula>
    </cfRule>
    <cfRule type="expression" dxfId="2470" priority="2628" stopIfTrue="1">
      <formula>$A70="Triplog"</formula>
    </cfRule>
  </conditionalFormatting>
  <conditionalFormatting sqref="C70 Q70:S70 F70:G70">
    <cfRule type="expression" dxfId="2469" priority="2583" stopIfTrue="1">
      <formula>$A70="Chkvlv"</formula>
    </cfRule>
  </conditionalFormatting>
  <conditionalFormatting sqref="D70">
    <cfRule type="expression" dxfId="2468" priority="2584" stopIfTrue="1">
      <formula>$A70="Chkvlv"</formula>
    </cfRule>
    <cfRule type="expression" dxfId="2467" priority="2630" stopIfTrue="1">
      <formula>$A70="Triplog"</formula>
    </cfRule>
  </conditionalFormatting>
  <conditionalFormatting sqref="U70 K70">
    <cfRule type="expression" dxfId="2466" priority="2585" stopIfTrue="1">
      <formula>$A70="Chkvlv"</formula>
    </cfRule>
    <cfRule type="expression" dxfId="2465" priority="2603" stopIfTrue="1">
      <formula>$A70="Snglvol"</formula>
    </cfRule>
  </conditionalFormatting>
  <conditionalFormatting sqref="M70">
    <cfRule type="expression" dxfId="2464" priority="2586" stopIfTrue="1">
      <formula>$A70="Chkvlv"</formula>
    </cfRule>
    <cfRule type="expression" dxfId="2463" priority="2604" stopIfTrue="1">
      <formula>$A70="Snglvol"</formula>
    </cfRule>
  </conditionalFormatting>
  <conditionalFormatting sqref="C70">
    <cfRule type="expression" dxfId="2462" priority="2587" stopIfTrue="1">
      <formula>$A70="Inrvlv"</formula>
    </cfRule>
    <cfRule type="expression" dxfId="2461" priority="2611" stopIfTrue="1">
      <formula>$A70="Init"</formula>
    </cfRule>
    <cfRule type="expression" dxfId="2460" priority="2617" stopIfTrue="1">
      <formula>$A70="Timestep"</formula>
    </cfRule>
    <cfRule type="expression" dxfId="2459" priority="2629" stopIfTrue="1">
      <formula>$A70="Triplog"</formula>
    </cfRule>
  </conditionalFormatting>
  <conditionalFormatting sqref="Q70:R70 F70:G70 D70">
    <cfRule type="expression" dxfId="2458" priority="2588" stopIfTrue="1">
      <formula>$A70="Inrvlv"</formula>
    </cfRule>
  </conditionalFormatting>
  <conditionalFormatting sqref="S70">
    <cfRule type="expression" dxfId="2457" priority="2589" stopIfTrue="1">
      <formula>$A70="Inrvlv"</formula>
    </cfRule>
    <cfRule type="expression" dxfId="2456" priority="2593" stopIfTrue="1">
      <formula>$A70="Tmdpjun"</formula>
    </cfRule>
    <cfRule type="expression" dxfId="2455" priority="2596" stopIfTrue="1">
      <formula>$A70="Pump"</formula>
    </cfRule>
    <cfRule type="expression" dxfId="2454" priority="2599" stopIfTrue="1">
      <formula>$A70="Tmdpvol"</formula>
    </cfRule>
    <cfRule type="expression" dxfId="2453" priority="2606" stopIfTrue="1">
      <formula>$A70="Snglvol"</formula>
    </cfRule>
  </conditionalFormatting>
  <conditionalFormatting sqref="Q70 F70:G70 C70:D70">
    <cfRule type="expression" dxfId="2452" priority="2591" stopIfTrue="1">
      <formula>$A70="Tmdpjun"</formula>
    </cfRule>
  </conditionalFormatting>
  <conditionalFormatting sqref="Q70 D70">
    <cfRule type="expression" dxfId="2451" priority="2594" stopIfTrue="1">
      <formula>$A70="Pump"</formula>
    </cfRule>
  </conditionalFormatting>
  <conditionalFormatting sqref="T70 H70:I70 D70 M70:P70">
    <cfRule type="expression" dxfId="2450" priority="2597" stopIfTrue="1">
      <formula>$A70="Tmdpvol"</formula>
    </cfRule>
  </conditionalFormatting>
  <conditionalFormatting sqref="B70">
    <cfRule type="expression" dxfId="2449" priority="2600" stopIfTrue="1">
      <formula>$A70="Snglvol"</formula>
    </cfRule>
    <cfRule type="expression" dxfId="2448" priority="2610" stopIfTrue="1">
      <formula>$A70="Init"</formula>
    </cfRule>
    <cfRule type="expression" dxfId="2447" priority="2616" stopIfTrue="1">
      <formula>$A70="Timestep"</formula>
    </cfRule>
    <cfRule type="expression" dxfId="2446" priority="2621" stopIfTrue="1">
      <formula>$A70="Triggerwords"</formula>
    </cfRule>
    <cfRule type="expression" dxfId="2445" priority="2625" stopIfTrue="1">
      <formula>$A70="Tripvar"</formula>
    </cfRule>
  </conditionalFormatting>
  <conditionalFormatting sqref="T70 N70:Q70 H70:I70 D70">
    <cfRule type="expression" dxfId="2444" priority="2602" stopIfTrue="1">
      <formula>$A70="Snglvol"</formula>
    </cfRule>
  </conditionalFormatting>
  <conditionalFormatting sqref="A70">
    <cfRule type="expression" dxfId="2443" priority="2607" stopIfTrue="1">
      <formula>$A70="Relapnr"</formula>
    </cfRule>
  </conditionalFormatting>
  <conditionalFormatting sqref="A70">
    <cfRule type="expression" dxfId="2442" priority="2609" stopIfTrue="1">
      <formula>$A70="Init"</formula>
    </cfRule>
  </conditionalFormatting>
  <conditionalFormatting sqref="A70">
    <cfRule type="expression" dxfId="2441" priority="2612" stopIfTrue="1">
      <formula>$A70="InitGas"</formula>
    </cfRule>
  </conditionalFormatting>
  <conditionalFormatting sqref="A70 D70">
    <cfRule type="expression" dxfId="2440" priority="2615" stopIfTrue="1">
      <formula>$A70="Timestep"</formula>
    </cfRule>
  </conditionalFormatting>
  <conditionalFormatting sqref="A70">
    <cfRule type="expression" dxfId="2439" priority="2618" stopIfTrue="1">
      <formula>$A70="Replacements"</formula>
    </cfRule>
  </conditionalFormatting>
  <conditionalFormatting sqref="A70">
    <cfRule type="expression" dxfId="2438" priority="2620" stopIfTrue="1">
      <formula>$A70="Triggerwords"</formula>
    </cfRule>
  </conditionalFormatting>
  <conditionalFormatting sqref="A70">
    <cfRule type="expression" dxfId="2437" priority="2622" stopIfTrue="1">
      <formula>$A70="Custom"</formula>
    </cfRule>
  </conditionalFormatting>
  <conditionalFormatting sqref="A70 F70:I70 D70">
    <cfRule type="expression" dxfId="2436" priority="2624" stopIfTrue="1">
      <formula>$A70="Tripvar"</formula>
    </cfRule>
  </conditionalFormatting>
  <conditionalFormatting sqref="A70 F70">
    <cfRule type="expression" dxfId="2435" priority="2627" stopIfTrue="1">
      <formula>$A70="Triplog"</formula>
    </cfRule>
  </conditionalFormatting>
  <conditionalFormatting sqref="L70">
    <cfRule type="expression" dxfId="2434" priority="2552" stopIfTrue="1">
      <formula>$A70="Pipe"</formula>
    </cfRule>
  </conditionalFormatting>
  <conditionalFormatting sqref="L70">
    <cfRule type="expression" dxfId="2433" priority="2553" stopIfTrue="1">
      <formula>$A70="Junction"</formula>
    </cfRule>
  </conditionalFormatting>
  <conditionalFormatting sqref="L70">
    <cfRule type="expression" dxfId="2432" priority="2554" stopIfTrue="1">
      <formula>$A70="Sngljun"</formula>
    </cfRule>
  </conditionalFormatting>
  <conditionalFormatting sqref="L70">
    <cfRule type="expression" dxfId="2431" priority="2555" stopIfTrue="1">
      <formula>$A70="Mtrvlv"</formula>
    </cfRule>
  </conditionalFormatting>
  <conditionalFormatting sqref="L70">
    <cfRule type="expression" dxfId="2430" priority="2556" stopIfTrue="1">
      <formula>$A70="Srvvlv"</formula>
    </cfRule>
  </conditionalFormatting>
  <conditionalFormatting sqref="L70">
    <cfRule type="expression" dxfId="2429" priority="2557" stopIfTrue="1">
      <formula>$A70="Chkvlv"</formula>
    </cfRule>
  </conditionalFormatting>
  <conditionalFormatting sqref="L70">
    <cfRule type="expression" dxfId="2428" priority="2558" stopIfTrue="1">
      <formula>$A70="Inrvlv"</formula>
    </cfRule>
  </conditionalFormatting>
  <conditionalFormatting sqref="L70">
    <cfRule type="expression" dxfId="2427" priority="2559" stopIfTrue="1">
      <formula>$A70="Tmdpjun"</formula>
    </cfRule>
  </conditionalFormatting>
  <conditionalFormatting sqref="L70">
    <cfRule type="expression" dxfId="2426" priority="2560" stopIfTrue="1">
      <formula>$A70="Pump"</formula>
    </cfRule>
  </conditionalFormatting>
  <conditionalFormatting sqref="L70">
    <cfRule type="expression" dxfId="2425" priority="2561" stopIfTrue="1">
      <formula>$A70="Tmdpvol"</formula>
    </cfRule>
  </conditionalFormatting>
  <conditionalFormatting sqref="L70">
    <cfRule type="expression" dxfId="2424" priority="2562" stopIfTrue="1">
      <formula>$A70="Snglvol"</formula>
    </cfRule>
  </conditionalFormatting>
  <conditionalFormatting sqref="E70">
    <cfRule type="expression" dxfId="2423" priority="2538" stopIfTrue="1">
      <formula>$A70="Pipe"</formula>
    </cfRule>
  </conditionalFormatting>
  <conditionalFormatting sqref="E70">
    <cfRule type="expression" dxfId="2422" priority="2539" stopIfTrue="1">
      <formula>$A70="Junction"</formula>
    </cfRule>
  </conditionalFormatting>
  <conditionalFormatting sqref="E70">
    <cfRule type="expression" dxfId="2421" priority="2540" stopIfTrue="1">
      <formula>$A70="Sngljun"</formula>
    </cfRule>
  </conditionalFormatting>
  <conditionalFormatting sqref="E70">
    <cfRule type="expression" dxfId="2420" priority="2541" stopIfTrue="1">
      <formula>$A70="Mtrvlv"</formula>
    </cfRule>
  </conditionalFormatting>
  <conditionalFormatting sqref="E70">
    <cfRule type="expression" dxfId="2419" priority="2542" stopIfTrue="1">
      <formula>$A70="Srvvlv"</formula>
    </cfRule>
  </conditionalFormatting>
  <conditionalFormatting sqref="E70">
    <cfRule type="expression" dxfId="2418" priority="2543" stopIfTrue="1">
      <formula>$A70="Chkvlv"</formula>
    </cfRule>
  </conditionalFormatting>
  <conditionalFormatting sqref="E70">
    <cfRule type="expression" dxfId="2417" priority="2544" stopIfTrue="1">
      <formula>$A70="Inrvlv"</formula>
    </cfRule>
  </conditionalFormatting>
  <conditionalFormatting sqref="E70">
    <cfRule type="expression" dxfId="2416" priority="2545" stopIfTrue="1">
      <formula>$A70="Tmdpjun"</formula>
    </cfRule>
  </conditionalFormatting>
  <conditionalFormatting sqref="E70">
    <cfRule type="expression" dxfId="2415" priority="2546" stopIfTrue="1">
      <formula>$A70="Pump"</formula>
    </cfRule>
  </conditionalFormatting>
  <conditionalFormatting sqref="E70">
    <cfRule type="expression" dxfId="2414" priority="2547" stopIfTrue="1">
      <formula>$A70="Tmdpvol"</formula>
    </cfRule>
  </conditionalFormatting>
  <conditionalFormatting sqref="E70">
    <cfRule type="expression" dxfId="2413" priority="2548" stopIfTrue="1">
      <formula>$A70="Snglvol"</formula>
    </cfRule>
  </conditionalFormatting>
  <conditionalFormatting sqref="E70">
    <cfRule type="expression" dxfId="2412" priority="2549" stopIfTrue="1">
      <formula>$A70="Timestep"</formula>
    </cfRule>
  </conditionalFormatting>
  <conditionalFormatting sqref="E70">
    <cfRule type="expression" dxfId="2411" priority="2550" stopIfTrue="1">
      <formula>$A70="Tripvar"</formula>
    </cfRule>
  </conditionalFormatting>
  <conditionalFormatting sqref="E70">
    <cfRule type="expression" dxfId="2410" priority="2551" stopIfTrue="1">
      <formula>$A70="Triplog"</formula>
    </cfRule>
  </conditionalFormatting>
  <conditionalFormatting sqref="U71:V71 Q71 A71:D71 F71:K71">
    <cfRule type="expression" dxfId="2409" priority="2470" stopIfTrue="1">
      <formula>$A71="Pipe"</formula>
    </cfRule>
  </conditionalFormatting>
  <conditionalFormatting sqref="M71:P71 U71:V71 A71:B71 H71:K71">
    <cfRule type="expression" dxfId="2408" priority="2471" stopIfTrue="1">
      <formula>$A71="Junction"</formula>
    </cfRule>
  </conditionalFormatting>
  <conditionalFormatting sqref="M71:P71 T71:V71 A71:B71 H71:K71">
    <cfRule type="expression" dxfId="2407" priority="2472" stopIfTrue="1">
      <formula>$A71="Mtrvlv"</formula>
    </cfRule>
  </conditionalFormatting>
  <conditionalFormatting sqref="M71:P71 T71:V71 B71 H71:K71">
    <cfRule type="expression" dxfId="2406" priority="2473" stopIfTrue="1">
      <formula>$A71="Srvvlv"</formula>
    </cfRule>
  </conditionalFormatting>
  <conditionalFormatting sqref="V71 T71 N71:P71 A71 H71:J71">
    <cfRule type="expression" dxfId="2405" priority="2474" stopIfTrue="1">
      <formula>$A71="Chkvlv"</formula>
    </cfRule>
  </conditionalFormatting>
  <conditionalFormatting sqref="M71:P71 T71:V71 A71:B71 H71:K71">
    <cfRule type="expression" dxfId="2404" priority="2475" stopIfTrue="1">
      <formula>$A71="Inrvlv"</formula>
    </cfRule>
  </conditionalFormatting>
  <conditionalFormatting sqref="M71:P71 T71:V71 B71 H71:K71">
    <cfRule type="expression" dxfId="2403" priority="2476" stopIfTrue="1">
      <formula>$A71="Tmdpjun"</formula>
    </cfRule>
  </conditionalFormatting>
  <conditionalFormatting sqref="M71:P71 T71:V71 A71:C71 F71:K71">
    <cfRule type="expression" dxfId="2402" priority="2477" stopIfTrue="1">
      <formula>$A71="Pump"</formula>
    </cfRule>
  </conditionalFormatting>
  <conditionalFormatting sqref="U71:V71 Q71 J71:K71 F71:G71 A71:C71">
    <cfRule type="expression" dxfId="2401" priority="2478" stopIfTrue="1">
      <formula>$A71="Tmdpvol"</formula>
    </cfRule>
  </conditionalFormatting>
  <conditionalFormatting sqref="V71 J71 F71:G71 A71">
    <cfRule type="expression" dxfId="2400" priority="2479" stopIfTrue="1">
      <formula>$A71="Snglvol"</formula>
    </cfRule>
  </conditionalFormatting>
  <conditionalFormatting sqref="M71:P71 U71:V71 A71:B71 H71:K71">
    <cfRule type="expression" dxfId="2399" priority="2480" stopIfTrue="1">
      <formula>$A71="Sngljun"</formula>
    </cfRule>
  </conditionalFormatting>
  <conditionalFormatting sqref="M71:P71 R71:T71">
    <cfRule type="expression" dxfId="2398" priority="2481" stopIfTrue="1">
      <formula>$A71="Pipe"</formula>
    </cfRule>
  </conditionalFormatting>
  <conditionalFormatting sqref="C71">
    <cfRule type="expression" dxfId="2397" priority="2482" stopIfTrue="1">
      <formula>$A71="Junction"</formula>
    </cfRule>
    <cfRule type="expression" dxfId="2396" priority="2508" stopIfTrue="1">
      <formula>$A71="Snglvol"</formula>
    </cfRule>
    <cfRule type="expression" dxfId="2395" priority="2521" stopIfTrue="1">
      <formula>$A71="InitGas"</formula>
    </cfRule>
    <cfRule type="expression" dxfId="2394" priority="2533" stopIfTrue="1">
      <formula>$A71="Tripvar"</formula>
    </cfRule>
  </conditionalFormatting>
  <conditionalFormatting sqref="Q71:T71 F71:G71 D71">
    <cfRule type="expression" dxfId="2393" priority="2483" stopIfTrue="1">
      <formula>$A71="Junction"</formula>
    </cfRule>
  </conditionalFormatting>
  <conditionalFormatting sqref="Q71:T71 F71:G71 C71:D71">
    <cfRule type="expression" dxfId="2392" priority="2484" stopIfTrue="1">
      <formula>$A71="Sngljun"</formula>
    </cfRule>
  </conditionalFormatting>
  <conditionalFormatting sqref="Q71:S71 F71:G71 C71:D71">
    <cfRule type="expression" dxfId="2391" priority="2485" stopIfTrue="1">
      <formula>$A71="Mtrvlv"</formula>
    </cfRule>
  </conditionalFormatting>
  <conditionalFormatting sqref="A71">
    <cfRule type="expression" dxfId="2390" priority="2486" stopIfTrue="1">
      <formula>$A71="Srvvlv"</formula>
    </cfRule>
    <cfRule type="expression" dxfId="2389" priority="2497" stopIfTrue="1">
      <formula>$A71="Tmdpjun"</formula>
    </cfRule>
  </conditionalFormatting>
  <conditionalFormatting sqref="S71 Q71 F71:G71 C71:D71">
    <cfRule type="expression" dxfId="2388" priority="2487" stopIfTrue="1">
      <formula>$A71="Srvvlv"</formula>
    </cfRule>
  </conditionalFormatting>
  <conditionalFormatting sqref="R71">
    <cfRule type="expression" dxfId="2387" priority="2488" stopIfTrue="1">
      <formula>$A71="Srvvlv"</formula>
    </cfRule>
    <cfRule type="expression" dxfId="2386" priority="2499" stopIfTrue="1">
      <formula>$A71="Tmdpjun"</formula>
    </cfRule>
    <cfRule type="expression" dxfId="2385" priority="2502" stopIfTrue="1">
      <formula>$A71="Pump"</formula>
    </cfRule>
    <cfRule type="expression" dxfId="2384" priority="2505" stopIfTrue="1">
      <formula>$A71="Tmdpvol"</formula>
    </cfRule>
    <cfRule type="expression" dxfId="2383" priority="2512" stopIfTrue="1">
      <formula>$A71="Snglvol"</formula>
    </cfRule>
  </conditionalFormatting>
  <conditionalFormatting sqref="B71">
    <cfRule type="expression" dxfId="2382" priority="2489" stopIfTrue="1">
      <formula>$A71="Chkvlv"</formula>
    </cfRule>
    <cfRule type="expression" dxfId="2381" priority="2515" stopIfTrue="1">
      <formula>$A71="Relapnr"</formula>
    </cfRule>
    <cfRule type="expression" dxfId="2380" priority="2520" stopIfTrue="1">
      <formula>$A71="InitGas"</formula>
    </cfRule>
    <cfRule type="expression" dxfId="2379" priority="2526" stopIfTrue="1">
      <formula>$A71="Replacements"</formula>
    </cfRule>
    <cfRule type="expression" dxfId="2378" priority="2530" stopIfTrue="1">
      <formula>$A71="Custom"</formula>
    </cfRule>
    <cfRule type="expression" dxfId="2377" priority="2535" stopIfTrue="1">
      <formula>$A71="Triplog"</formula>
    </cfRule>
  </conditionalFormatting>
  <conditionalFormatting sqref="C71 Q71:S71 F71:G71">
    <cfRule type="expression" dxfId="2376" priority="2490" stopIfTrue="1">
      <formula>$A71="Chkvlv"</formula>
    </cfRule>
  </conditionalFormatting>
  <conditionalFormatting sqref="D71">
    <cfRule type="expression" dxfId="2375" priority="2491" stopIfTrue="1">
      <formula>$A71="Chkvlv"</formula>
    </cfRule>
    <cfRule type="expression" dxfId="2374" priority="2537" stopIfTrue="1">
      <formula>$A71="Triplog"</formula>
    </cfRule>
  </conditionalFormatting>
  <conditionalFormatting sqref="U71 K71">
    <cfRule type="expression" dxfId="2373" priority="2492" stopIfTrue="1">
      <formula>$A71="Chkvlv"</formula>
    </cfRule>
    <cfRule type="expression" dxfId="2372" priority="2510" stopIfTrue="1">
      <formula>$A71="Snglvol"</formula>
    </cfRule>
  </conditionalFormatting>
  <conditionalFormatting sqref="M71">
    <cfRule type="expression" dxfId="2371" priority="2493" stopIfTrue="1">
      <formula>$A71="Chkvlv"</formula>
    </cfRule>
    <cfRule type="expression" dxfId="2370" priority="2511" stopIfTrue="1">
      <formula>$A71="Snglvol"</formula>
    </cfRule>
  </conditionalFormatting>
  <conditionalFormatting sqref="C71">
    <cfRule type="expression" dxfId="2369" priority="2494" stopIfTrue="1">
      <formula>$A71="Inrvlv"</formula>
    </cfRule>
    <cfRule type="expression" dxfId="2368" priority="2518" stopIfTrue="1">
      <formula>$A71="Init"</formula>
    </cfRule>
    <cfRule type="expression" dxfId="2367" priority="2524" stopIfTrue="1">
      <formula>$A71="Timestep"</formula>
    </cfRule>
    <cfRule type="expression" dxfId="2366" priority="2536" stopIfTrue="1">
      <formula>$A71="Triplog"</formula>
    </cfRule>
  </conditionalFormatting>
  <conditionalFormatting sqref="Q71:R71 F71:G71 D71">
    <cfRule type="expression" dxfId="2365" priority="2495" stopIfTrue="1">
      <formula>$A71="Inrvlv"</formula>
    </cfRule>
  </conditionalFormatting>
  <conditionalFormatting sqref="S71">
    <cfRule type="expression" dxfId="2364" priority="2496" stopIfTrue="1">
      <formula>$A71="Inrvlv"</formula>
    </cfRule>
    <cfRule type="expression" dxfId="2363" priority="2500" stopIfTrue="1">
      <formula>$A71="Tmdpjun"</formula>
    </cfRule>
    <cfRule type="expression" dxfId="2362" priority="2503" stopIfTrue="1">
      <formula>$A71="Pump"</formula>
    </cfRule>
    <cfRule type="expression" dxfId="2361" priority="2506" stopIfTrue="1">
      <formula>$A71="Tmdpvol"</formula>
    </cfRule>
    <cfRule type="expression" dxfId="2360" priority="2513" stopIfTrue="1">
      <formula>$A71="Snglvol"</formula>
    </cfRule>
  </conditionalFormatting>
  <conditionalFormatting sqref="Q71 F71:G71 C71:D71">
    <cfRule type="expression" dxfId="2359" priority="2498" stopIfTrue="1">
      <formula>$A71="Tmdpjun"</formula>
    </cfRule>
  </conditionalFormatting>
  <conditionalFormatting sqref="Q71 D71">
    <cfRule type="expression" dxfId="2358" priority="2501" stopIfTrue="1">
      <formula>$A71="Pump"</formula>
    </cfRule>
  </conditionalFormatting>
  <conditionalFormatting sqref="T71 H71:I71 D71 M71:P71">
    <cfRule type="expression" dxfId="2357" priority="2504" stopIfTrue="1">
      <formula>$A71="Tmdpvol"</formula>
    </cfRule>
  </conditionalFormatting>
  <conditionalFormatting sqref="B71">
    <cfRule type="expression" dxfId="2356" priority="2507" stopIfTrue="1">
      <formula>$A71="Snglvol"</formula>
    </cfRule>
    <cfRule type="expression" dxfId="2355" priority="2517" stopIfTrue="1">
      <formula>$A71="Init"</formula>
    </cfRule>
    <cfRule type="expression" dxfId="2354" priority="2523" stopIfTrue="1">
      <formula>$A71="Timestep"</formula>
    </cfRule>
    <cfRule type="expression" dxfId="2353" priority="2528" stopIfTrue="1">
      <formula>$A71="Triggerwords"</formula>
    </cfRule>
    <cfRule type="expression" dxfId="2352" priority="2532" stopIfTrue="1">
      <formula>$A71="Tripvar"</formula>
    </cfRule>
  </conditionalFormatting>
  <conditionalFormatting sqref="T71 N71:Q71 H71:I71 D71">
    <cfRule type="expression" dxfId="2351" priority="2509" stopIfTrue="1">
      <formula>$A71="Snglvol"</formula>
    </cfRule>
  </conditionalFormatting>
  <conditionalFormatting sqref="A71">
    <cfRule type="expression" dxfId="2350" priority="2514" stopIfTrue="1">
      <formula>$A71="Relapnr"</formula>
    </cfRule>
  </conditionalFormatting>
  <conditionalFormatting sqref="A71">
    <cfRule type="expression" dxfId="2349" priority="2516" stopIfTrue="1">
      <formula>$A71="Init"</formula>
    </cfRule>
  </conditionalFormatting>
  <conditionalFormatting sqref="A71">
    <cfRule type="expression" dxfId="2348" priority="2519" stopIfTrue="1">
      <formula>$A71="InitGas"</formula>
    </cfRule>
  </conditionalFormatting>
  <conditionalFormatting sqref="A71 D71">
    <cfRule type="expression" dxfId="2347" priority="2522" stopIfTrue="1">
      <formula>$A71="Timestep"</formula>
    </cfRule>
  </conditionalFormatting>
  <conditionalFormatting sqref="A71">
    <cfRule type="expression" dxfId="2346" priority="2525" stopIfTrue="1">
      <formula>$A71="Replacements"</formula>
    </cfRule>
  </conditionalFormatting>
  <conditionalFormatting sqref="A71">
    <cfRule type="expression" dxfId="2345" priority="2527" stopIfTrue="1">
      <formula>$A71="Triggerwords"</formula>
    </cfRule>
  </conditionalFormatting>
  <conditionalFormatting sqref="A71">
    <cfRule type="expression" dxfId="2344" priority="2529" stopIfTrue="1">
      <formula>$A71="Custom"</formula>
    </cfRule>
  </conditionalFormatting>
  <conditionalFormatting sqref="A71 F71:I71 D71">
    <cfRule type="expression" dxfId="2343" priority="2531" stopIfTrue="1">
      <formula>$A71="Tripvar"</formula>
    </cfRule>
  </conditionalFormatting>
  <conditionalFormatting sqref="A71 F71">
    <cfRule type="expression" dxfId="2342" priority="2534" stopIfTrue="1">
      <formula>$A71="Triplog"</formula>
    </cfRule>
  </conditionalFormatting>
  <conditionalFormatting sqref="L71">
    <cfRule type="expression" dxfId="2341" priority="2459" stopIfTrue="1">
      <formula>$A71="Pipe"</formula>
    </cfRule>
  </conditionalFormatting>
  <conditionalFormatting sqref="L71">
    <cfRule type="expression" dxfId="2340" priority="2460" stopIfTrue="1">
      <formula>$A71="Junction"</formula>
    </cfRule>
  </conditionalFormatting>
  <conditionalFormatting sqref="L71">
    <cfRule type="expression" dxfId="2339" priority="2461" stopIfTrue="1">
      <formula>$A71="Sngljun"</formula>
    </cfRule>
  </conditionalFormatting>
  <conditionalFormatting sqref="L71">
    <cfRule type="expression" dxfId="2338" priority="2462" stopIfTrue="1">
      <formula>$A71="Mtrvlv"</formula>
    </cfRule>
  </conditionalFormatting>
  <conditionalFormatting sqref="L71">
    <cfRule type="expression" dxfId="2337" priority="2463" stopIfTrue="1">
      <formula>$A71="Srvvlv"</formula>
    </cfRule>
  </conditionalFormatting>
  <conditionalFormatting sqref="L71">
    <cfRule type="expression" dxfId="2336" priority="2464" stopIfTrue="1">
      <formula>$A71="Chkvlv"</formula>
    </cfRule>
  </conditionalFormatting>
  <conditionalFormatting sqref="L71">
    <cfRule type="expression" dxfId="2335" priority="2465" stopIfTrue="1">
      <formula>$A71="Inrvlv"</formula>
    </cfRule>
  </conditionalFormatting>
  <conditionalFormatting sqref="L71">
    <cfRule type="expression" dxfId="2334" priority="2466" stopIfTrue="1">
      <formula>$A71="Tmdpjun"</formula>
    </cfRule>
  </conditionalFormatting>
  <conditionalFormatting sqref="L71">
    <cfRule type="expression" dxfId="2333" priority="2467" stopIfTrue="1">
      <formula>$A71="Pump"</formula>
    </cfRule>
  </conditionalFormatting>
  <conditionalFormatting sqref="L71">
    <cfRule type="expression" dxfId="2332" priority="2468" stopIfTrue="1">
      <formula>$A71="Tmdpvol"</formula>
    </cfRule>
  </conditionalFormatting>
  <conditionalFormatting sqref="L71">
    <cfRule type="expression" dxfId="2331" priority="2469" stopIfTrue="1">
      <formula>$A71="Snglvol"</formula>
    </cfRule>
  </conditionalFormatting>
  <conditionalFormatting sqref="E71">
    <cfRule type="expression" dxfId="2330" priority="2445" stopIfTrue="1">
      <formula>$A71="Pipe"</formula>
    </cfRule>
  </conditionalFormatting>
  <conditionalFormatting sqref="E71">
    <cfRule type="expression" dxfId="2329" priority="2446" stopIfTrue="1">
      <formula>$A71="Junction"</formula>
    </cfRule>
  </conditionalFormatting>
  <conditionalFormatting sqref="E71">
    <cfRule type="expression" dxfId="2328" priority="2447" stopIfTrue="1">
      <formula>$A71="Sngljun"</formula>
    </cfRule>
  </conditionalFormatting>
  <conditionalFormatting sqref="E71">
    <cfRule type="expression" dxfId="2327" priority="2448" stopIfTrue="1">
      <formula>$A71="Mtrvlv"</formula>
    </cfRule>
  </conditionalFormatting>
  <conditionalFormatting sqref="E71">
    <cfRule type="expression" dxfId="2326" priority="2449" stopIfTrue="1">
      <formula>$A71="Srvvlv"</formula>
    </cfRule>
  </conditionalFormatting>
  <conditionalFormatting sqref="E71">
    <cfRule type="expression" dxfId="2325" priority="2450" stopIfTrue="1">
      <formula>$A71="Chkvlv"</formula>
    </cfRule>
  </conditionalFormatting>
  <conditionalFormatting sqref="E71">
    <cfRule type="expression" dxfId="2324" priority="2451" stopIfTrue="1">
      <formula>$A71="Inrvlv"</formula>
    </cfRule>
  </conditionalFormatting>
  <conditionalFormatting sqref="E71">
    <cfRule type="expression" dxfId="2323" priority="2452" stopIfTrue="1">
      <formula>$A71="Tmdpjun"</formula>
    </cfRule>
  </conditionalFormatting>
  <conditionalFormatting sqref="E71">
    <cfRule type="expression" dxfId="2322" priority="2453" stopIfTrue="1">
      <formula>$A71="Pump"</formula>
    </cfRule>
  </conditionalFormatting>
  <conditionalFormatting sqref="E71">
    <cfRule type="expression" dxfId="2321" priority="2454" stopIfTrue="1">
      <formula>$A71="Tmdpvol"</formula>
    </cfRule>
  </conditionalFormatting>
  <conditionalFormatting sqref="E71">
    <cfRule type="expression" dxfId="2320" priority="2455" stopIfTrue="1">
      <formula>$A71="Snglvol"</formula>
    </cfRule>
  </conditionalFormatting>
  <conditionalFormatting sqref="E71">
    <cfRule type="expression" dxfId="2319" priority="2456" stopIfTrue="1">
      <formula>$A71="Timestep"</formula>
    </cfRule>
  </conditionalFormatting>
  <conditionalFormatting sqref="E71">
    <cfRule type="expression" dxfId="2318" priority="2457" stopIfTrue="1">
      <formula>$A71="Tripvar"</formula>
    </cfRule>
  </conditionalFormatting>
  <conditionalFormatting sqref="E71">
    <cfRule type="expression" dxfId="2317" priority="2458" stopIfTrue="1">
      <formula>$A71="Triplog"</formula>
    </cfRule>
  </conditionalFormatting>
  <conditionalFormatting sqref="U72:V72 Q72 A72:D72 F72:K72">
    <cfRule type="expression" dxfId="2316" priority="2377" stopIfTrue="1">
      <formula>$A72="Pipe"</formula>
    </cfRule>
  </conditionalFormatting>
  <conditionalFormatting sqref="M72:P72 U72:V72 A72:B72 H72:K72">
    <cfRule type="expression" dxfId="2315" priority="2378" stopIfTrue="1">
      <formula>$A72="Junction"</formula>
    </cfRule>
  </conditionalFormatting>
  <conditionalFormatting sqref="M72:P72 T72:V72 A72:B72 H72:K72">
    <cfRule type="expression" dxfId="2314" priority="2379" stopIfTrue="1">
      <formula>$A72="Mtrvlv"</formula>
    </cfRule>
  </conditionalFormatting>
  <conditionalFormatting sqref="M72:P72 T72:V72 B72 H72:K72">
    <cfRule type="expression" dxfId="2313" priority="2380" stopIfTrue="1">
      <formula>$A72="Srvvlv"</formula>
    </cfRule>
  </conditionalFormatting>
  <conditionalFormatting sqref="V72 T72 N72:P72 A72 H72:J72">
    <cfRule type="expression" dxfId="2312" priority="2381" stopIfTrue="1">
      <formula>$A72="Chkvlv"</formula>
    </cfRule>
  </conditionalFormatting>
  <conditionalFormatting sqref="M72:P72 T72:V72 A72:B72 H72:K72">
    <cfRule type="expression" dxfId="2311" priority="2382" stopIfTrue="1">
      <formula>$A72="Inrvlv"</formula>
    </cfRule>
  </conditionalFormatting>
  <conditionalFormatting sqref="M72:P72 T72:V72 B72 H72:K72">
    <cfRule type="expression" dxfId="2310" priority="2383" stopIfTrue="1">
      <formula>$A72="Tmdpjun"</formula>
    </cfRule>
  </conditionalFormatting>
  <conditionalFormatting sqref="M72:P72 T72:V72 A72:C72 F72:K72">
    <cfRule type="expression" dxfId="2309" priority="2384" stopIfTrue="1">
      <formula>$A72="Pump"</formula>
    </cfRule>
  </conditionalFormatting>
  <conditionalFormatting sqref="U72:V72 Q72 J72:K72 F72:G72 A72:C72">
    <cfRule type="expression" dxfId="2308" priority="2385" stopIfTrue="1">
      <formula>$A72="Tmdpvol"</formula>
    </cfRule>
  </conditionalFormatting>
  <conditionalFormatting sqref="V72 J72 F72:G72 A72">
    <cfRule type="expression" dxfId="2307" priority="2386" stopIfTrue="1">
      <formula>$A72="Snglvol"</formula>
    </cfRule>
  </conditionalFormatting>
  <conditionalFormatting sqref="M72:P72 U72:V72 A72:B72 H72:K72">
    <cfRule type="expression" dxfId="2306" priority="2387" stopIfTrue="1">
      <formula>$A72="Sngljun"</formula>
    </cfRule>
  </conditionalFormatting>
  <conditionalFormatting sqref="M72:P72 R72:T72">
    <cfRule type="expression" dxfId="2305" priority="2388" stopIfTrue="1">
      <formula>$A72="Pipe"</formula>
    </cfRule>
  </conditionalFormatting>
  <conditionalFormatting sqref="C72">
    <cfRule type="expression" dxfId="2304" priority="2389" stopIfTrue="1">
      <formula>$A72="Junction"</formula>
    </cfRule>
    <cfRule type="expression" dxfId="2303" priority="2415" stopIfTrue="1">
      <formula>$A72="Snglvol"</formula>
    </cfRule>
    <cfRule type="expression" dxfId="2302" priority="2428" stopIfTrue="1">
      <formula>$A72="InitGas"</formula>
    </cfRule>
    <cfRule type="expression" dxfId="2301" priority="2440" stopIfTrue="1">
      <formula>$A72="Tripvar"</formula>
    </cfRule>
  </conditionalFormatting>
  <conditionalFormatting sqref="Q72:T72 F72:G72 D72">
    <cfRule type="expression" dxfId="2300" priority="2390" stopIfTrue="1">
      <formula>$A72="Junction"</formula>
    </cfRule>
  </conditionalFormatting>
  <conditionalFormatting sqref="Q72:T72 F72:G72 C72:D72">
    <cfRule type="expression" dxfId="2299" priority="2391" stopIfTrue="1">
      <formula>$A72="Sngljun"</formula>
    </cfRule>
  </conditionalFormatting>
  <conditionalFormatting sqref="Q72:S72 F72:G72 C72:D72">
    <cfRule type="expression" dxfId="2298" priority="2392" stopIfTrue="1">
      <formula>$A72="Mtrvlv"</formula>
    </cfRule>
  </conditionalFormatting>
  <conditionalFormatting sqref="A72">
    <cfRule type="expression" dxfId="2297" priority="2393" stopIfTrue="1">
      <formula>$A72="Srvvlv"</formula>
    </cfRule>
    <cfRule type="expression" dxfId="2296" priority="2404" stopIfTrue="1">
      <formula>$A72="Tmdpjun"</formula>
    </cfRule>
  </conditionalFormatting>
  <conditionalFormatting sqref="S72 Q72 F72:G72 C72:D72">
    <cfRule type="expression" dxfId="2295" priority="2394" stopIfTrue="1">
      <formula>$A72="Srvvlv"</formula>
    </cfRule>
  </conditionalFormatting>
  <conditionalFormatting sqref="R72">
    <cfRule type="expression" dxfId="2294" priority="2395" stopIfTrue="1">
      <formula>$A72="Srvvlv"</formula>
    </cfRule>
    <cfRule type="expression" dxfId="2293" priority="2406" stopIfTrue="1">
      <formula>$A72="Tmdpjun"</formula>
    </cfRule>
    <cfRule type="expression" dxfId="2292" priority="2409" stopIfTrue="1">
      <formula>$A72="Pump"</formula>
    </cfRule>
    <cfRule type="expression" dxfId="2291" priority="2412" stopIfTrue="1">
      <formula>$A72="Tmdpvol"</formula>
    </cfRule>
    <cfRule type="expression" dxfId="2290" priority="2419" stopIfTrue="1">
      <formula>$A72="Snglvol"</formula>
    </cfRule>
  </conditionalFormatting>
  <conditionalFormatting sqref="B72">
    <cfRule type="expression" dxfId="2289" priority="2396" stopIfTrue="1">
      <formula>$A72="Chkvlv"</formula>
    </cfRule>
    <cfRule type="expression" dxfId="2288" priority="2422" stopIfTrue="1">
      <formula>$A72="Relapnr"</formula>
    </cfRule>
    <cfRule type="expression" dxfId="2287" priority="2427" stopIfTrue="1">
      <formula>$A72="InitGas"</formula>
    </cfRule>
    <cfRule type="expression" dxfId="2286" priority="2433" stopIfTrue="1">
      <formula>$A72="Replacements"</formula>
    </cfRule>
    <cfRule type="expression" dxfId="2285" priority="2437" stopIfTrue="1">
      <formula>$A72="Custom"</formula>
    </cfRule>
    <cfRule type="expression" dxfId="2284" priority="2442" stopIfTrue="1">
      <formula>$A72="Triplog"</formula>
    </cfRule>
  </conditionalFormatting>
  <conditionalFormatting sqref="C72 Q72:S72 F72:G72">
    <cfRule type="expression" dxfId="2283" priority="2397" stopIfTrue="1">
      <formula>$A72="Chkvlv"</formula>
    </cfRule>
  </conditionalFormatting>
  <conditionalFormatting sqref="D72">
    <cfRule type="expression" dxfId="2282" priority="2398" stopIfTrue="1">
      <formula>$A72="Chkvlv"</formula>
    </cfRule>
    <cfRule type="expression" dxfId="2281" priority="2444" stopIfTrue="1">
      <formula>$A72="Triplog"</formula>
    </cfRule>
  </conditionalFormatting>
  <conditionalFormatting sqref="U72 K72">
    <cfRule type="expression" dxfId="2280" priority="2399" stopIfTrue="1">
      <formula>$A72="Chkvlv"</formula>
    </cfRule>
    <cfRule type="expression" dxfId="2279" priority="2417" stopIfTrue="1">
      <formula>$A72="Snglvol"</formula>
    </cfRule>
  </conditionalFormatting>
  <conditionalFormatting sqref="M72">
    <cfRule type="expression" dxfId="2278" priority="2400" stopIfTrue="1">
      <formula>$A72="Chkvlv"</formula>
    </cfRule>
    <cfRule type="expression" dxfId="2277" priority="2418" stopIfTrue="1">
      <formula>$A72="Snglvol"</formula>
    </cfRule>
  </conditionalFormatting>
  <conditionalFormatting sqref="C72">
    <cfRule type="expression" dxfId="2276" priority="2401" stopIfTrue="1">
      <formula>$A72="Inrvlv"</formula>
    </cfRule>
    <cfRule type="expression" dxfId="2275" priority="2425" stopIfTrue="1">
      <formula>$A72="Init"</formula>
    </cfRule>
    <cfRule type="expression" dxfId="2274" priority="2431" stopIfTrue="1">
      <formula>$A72="Timestep"</formula>
    </cfRule>
    <cfRule type="expression" dxfId="2273" priority="2443" stopIfTrue="1">
      <formula>$A72="Triplog"</formula>
    </cfRule>
  </conditionalFormatting>
  <conditionalFormatting sqref="Q72:R72 F72:G72 D72">
    <cfRule type="expression" dxfId="2272" priority="2402" stopIfTrue="1">
      <formula>$A72="Inrvlv"</formula>
    </cfRule>
  </conditionalFormatting>
  <conditionalFormatting sqref="S72">
    <cfRule type="expression" dxfId="2271" priority="2403" stopIfTrue="1">
      <formula>$A72="Inrvlv"</formula>
    </cfRule>
    <cfRule type="expression" dxfId="2270" priority="2407" stopIfTrue="1">
      <formula>$A72="Tmdpjun"</formula>
    </cfRule>
    <cfRule type="expression" dxfId="2269" priority="2410" stopIfTrue="1">
      <formula>$A72="Pump"</formula>
    </cfRule>
    <cfRule type="expression" dxfId="2268" priority="2413" stopIfTrue="1">
      <formula>$A72="Tmdpvol"</formula>
    </cfRule>
    <cfRule type="expression" dxfId="2267" priority="2420" stopIfTrue="1">
      <formula>$A72="Snglvol"</formula>
    </cfRule>
  </conditionalFormatting>
  <conditionalFormatting sqref="Q72 F72:G72 C72:D72">
    <cfRule type="expression" dxfId="2266" priority="2405" stopIfTrue="1">
      <formula>$A72="Tmdpjun"</formula>
    </cfRule>
  </conditionalFormatting>
  <conditionalFormatting sqref="Q72 D72">
    <cfRule type="expression" dxfId="2265" priority="2408" stopIfTrue="1">
      <formula>$A72="Pump"</formula>
    </cfRule>
  </conditionalFormatting>
  <conditionalFormatting sqref="T72 H72:I72 D72 M72:P72">
    <cfRule type="expression" dxfId="2264" priority="2411" stopIfTrue="1">
      <formula>$A72="Tmdpvol"</formula>
    </cfRule>
  </conditionalFormatting>
  <conditionalFormatting sqref="B72">
    <cfRule type="expression" dxfId="2263" priority="2414" stopIfTrue="1">
      <formula>$A72="Snglvol"</formula>
    </cfRule>
    <cfRule type="expression" dxfId="2262" priority="2424" stopIfTrue="1">
      <formula>$A72="Init"</formula>
    </cfRule>
    <cfRule type="expression" dxfId="2261" priority="2430" stopIfTrue="1">
      <formula>$A72="Timestep"</formula>
    </cfRule>
    <cfRule type="expression" dxfId="2260" priority="2435" stopIfTrue="1">
      <formula>$A72="Triggerwords"</formula>
    </cfRule>
    <cfRule type="expression" dxfId="2259" priority="2439" stopIfTrue="1">
      <formula>$A72="Tripvar"</formula>
    </cfRule>
  </conditionalFormatting>
  <conditionalFormatting sqref="T72 N72:Q72 H72:I72 D72">
    <cfRule type="expression" dxfId="2258" priority="2416" stopIfTrue="1">
      <formula>$A72="Snglvol"</formula>
    </cfRule>
  </conditionalFormatting>
  <conditionalFormatting sqref="A72">
    <cfRule type="expression" dxfId="2257" priority="2421" stopIfTrue="1">
      <formula>$A72="Relapnr"</formula>
    </cfRule>
  </conditionalFormatting>
  <conditionalFormatting sqref="A72">
    <cfRule type="expression" dxfId="2256" priority="2423" stopIfTrue="1">
      <formula>$A72="Init"</formula>
    </cfRule>
  </conditionalFormatting>
  <conditionalFormatting sqref="A72">
    <cfRule type="expression" dxfId="2255" priority="2426" stopIfTrue="1">
      <formula>$A72="InitGas"</formula>
    </cfRule>
  </conditionalFormatting>
  <conditionalFormatting sqref="A72 D72">
    <cfRule type="expression" dxfId="2254" priority="2429" stopIfTrue="1">
      <formula>$A72="Timestep"</formula>
    </cfRule>
  </conditionalFormatting>
  <conditionalFormatting sqref="A72">
    <cfRule type="expression" dxfId="2253" priority="2432" stopIfTrue="1">
      <formula>$A72="Replacements"</formula>
    </cfRule>
  </conditionalFormatting>
  <conditionalFormatting sqref="A72">
    <cfRule type="expression" dxfId="2252" priority="2434" stopIfTrue="1">
      <formula>$A72="Triggerwords"</formula>
    </cfRule>
  </conditionalFormatting>
  <conditionalFormatting sqref="A72">
    <cfRule type="expression" dxfId="2251" priority="2436" stopIfTrue="1">
      <formula>$A72="Custom"</formula>
    </cfRule>
  </conditionalFormatting>
  <conditionalFormatting sqref="A72 F72:I72 D72">
    <cfRule type="expression" dxfId="2250" priority="2438" stopIfTrue="1">
      <formula>$A72="Tripvar"</formula>
    </cfRule>
  </conditionalFormatting>
  <conditionalFormatting sqref="A72 F72">
    <cfRule type="expression" dxfId="2249" priority="2441" stopIfTrue="1">
      <formula>$A72="Triplog"</formula>
    </cfRule>
  </conditionalFormatting>
  <conditionalFormatting sqref="L82">
    <cfRule type="expression" dxfId="2248" priority="2245" stopIfTrue="1">
      <formula>$A82="Pipe"</formula>
    </cfRule>
  </conditionalFormatting>
  <conditionalFormatting sqref="L72">
    <cfRule type="expression" dxfId="2247" priority="2367" stopIfTrue="1">
      <formula>$A72="Junction"</formula>
    </cfRule>
  </conditionalFormatting>
  <conditionalFormatting sqref="L72">
    <cfRule type="expression" dxfId="2246" priority="2368" stopIfTrue="1">
      <formula>$A72="Sngljun"</formula>
    </cfRule>
  </conditionalFormatting>
  <conditionalFormatting sqref="L72">
    <cfRule type="expression" dxfId="2245" priority="2369" stopIfTrue="1">
      <formula>$A72="Mtrvlv"</formula>
    </cfRule>
  </conditionalFormatting>
  <conditionalFormatting sqref="L72">
    <cfRule type="expression" dxfId="2244" priority="2370" stopIfTrue="1">
      <formula>$A72="Srvvlv"</formula>
    </cfRule>
  </conditionalFormatting>
  <conditionalFormatting sqref="L72">
    <cfRule type="expression" dxfId="2243" priority="2371" stopIfTrue="1">
      <formula>$A72="Chkvlv"</formula>
    </cfRule>
  </conditionalFormatting>
  <conditionalFormatting sqref="L72">
    <cfRule type="expression" dxfId="2242" priority="2372" stopIfTrue="1">
      <formula>$A72="Inrvlv"</formula>
    </cfRule>
  </conditionalFormatting>
  <conditionalFormatting sqref="L72">
    <cfRule type="expression" dxfId="2241" priority="2373" stopIfTrue="1">
      <formula>$A72="Tmdpjun"</formula>
    </cfRule>
  </conditionalFormatting>
  <conditionalFormatting sqref="L72">
    <cfRule type="expression" dxfId="2240" priority="2374" stopIfTrue="1">
      <formula>$A72="Pump"</formula>
    </cfRule>
  </conditionalFormatting>
  <conditionalFormatting sqref="L72">
    <cfRule type="expression" dxfId="2239" priority="2375" stopIfTrue="1">
      <formula>$A72="Tmdpvol"</formula>
    </cfRule>
  </conditionalFormatting>
  <conditionalFormatting sqref="L72">
    <cfRule type="expression" dxfId="2238" priority="2376" stopIfTrue="1">
      <formula>$A72="Snglvol"</formula>
    </cfRule>
  </conditionalFormatting>
  <conditionalFormatting sqref="E72">
    <cfRule type="expression" dxfId="2237" priority="2352" stopIfTrue="1">
      <formula>$A72="Pipe"</formula>
    </cfRule>
  </conditionalFormatting>
  <conditionalFormatting sqref="E72">
    <cfRule type="expression" dxfId="2236" priority="2353" stopIfTrue="1">
      <formula>$A72="Junction"</formula>
    </cfRule>
  </conditionalFormatting>
  <conditionalFormatting sqref="E72">
    <cfRule type="expression" dxfId="2235" priority="2354" stopIfTrue="1">
      <formula>$A72="Sngljun"</formula>
    </cfRule>
  </conditionalFormatting>
  <conditionalFormatting sqref="E72">
    <cfRule type="expression" dxfId="2234" priority="2355" stopIfTrue="1">
      <formula>$A72="Mtrvlv"</formula>
    </cfRule>
  </conditionalFormatting>
  <conditionalFormatting sqref="E72">
    <cfRule type="expression" dxfId="2233" priority="2356" stopIfTrue="1">
      <formula>$A72="Srvvlv"</formula>
    </cfRule>
  </conditionalFormatting>
  <conditionalFormatting sqref="E72">
    <cfRule type="expression" dxfId="2232" priority="2357" stopIfTrue="1">
      <formula>$A72="Chkvlv"</formula>
    </cfRule>
  </conditionalFormatting>
  <conditionalFormatting sqref="E72">
    <cfRule type="expression" dxfId="2231" priority="2358" stopIfTrue="1">
      <formula>$A72="Inrvlv"</formula>
    </cfRule>
  </conditionalFormatting>
  <conditionalFormatting sqref="E72">
    <cfRule type="expression" dxfId="2230" priority="2359" stopIfTrue="1">
      <formula>$A72="Tmdpjun"</formula>
    </cfRule>
  </conditionalFormatting>
  <conditionalFormatting sqref="E72">
    <cfRule type="expression" dxfId="2229" priority="2360" stopIfTrue="1">
      <formula>$A72="Pump"</formula>
    </cfRule>
  </conditionalFormatting>
  <conditionalFormatting sqref="E72">
    <cfRule type="expression" dxfId="2228" priority="2361" stopIfTrue="1">
      <formula>$A72="Tmdpvol"</formula>
    </cfRule>
  </conditionalFormatting>
  <conditionalFormatting sqref="E72">
    <cfRule type="expression" dxfId="2227" priority="2362" stopIfTrue="1">
      <formula>$A72="Snglvol"</formula>
    </cfRule>
  </conditionalFormatting>
  <conditionalFormatting sqref="E72">
    <cfRule type="expression" dxfId="2226" priority="2363" stopIfTrue="1">
      <formula>$A72="Timestep"</formula>
    </cfRule>
  </conditionalFormatting>
  <conditionalFormatting sqref="E72">
    <cfRule type="expression" dxfId="2225" priority="2364" stopIfTrue="1">
      <formula>$A72="Tripvar"</formula>
    </cfRule>
  </conditionalFormatting>
  <conditionalFormatting sqref="E72">
    <cfRule type="expression" dxfId="2224" priority="2365" stopIfTrue="1">
      <formula>$A72="Triplog"</formula>
    </cfRule>
  </conditionalFormatting>
  <conditionalFormatting sqref="E81">
    <cfRule type="expression" dxfId="2223" priority="2338" stopIfTrue="1">
      <formula>$A81="Pipe"</formula>
    </cfRule>
  </conditionalFormatting>
  <conditionalFormatting sqref="E81">
    <cfRule type="expression" dxfId="2222" priority="2339" stopIfTrue="1">
      <formula>$A81="Junction"</formula>
    </cfRule>
  </conditionalFormatting>
  <conditionalFormatting sqref="E81">
    <cfRule type="expression" dxfId="2221" priority="2340" stopIfTrue="1">
      <formula>$A81="Sngljun"</formula>
    </cfRule>
  </conditionalFormatting>
  <conditionalFormatting sqref="E81">
    <cfRule type="expression" dxfId="2220" priority="2341" stopIfTrue="1">
      <formula>$A81="Mtrvlv"</formula>
    </cfRule>
  </conditionalFormatting>
  <conditionalFormatting sqref="E81">
    <cfRule type="expression" dxfId="2219" priority="2342" stopIfTrue="1">
      <formula>$A81="Srvvlv"</formula>
    </cfRule>
  </conditionalFormatting>
  <conditionalFormatting sqref="E81">
    <cfRule type="expression" dxfId="2218" priority="2343" stopIfTrue="1">
      <formula>$A81="Chkvlv"</formula>
    </cfRule>
  </conditionalFormatting>
  <conditionalFormatting sqref="E81">
    <cfRule type="expression" dxfId="2217" priority="2344" stopIfTrue="1">
      <formula>$A81="Inrvlv"</formula>
    </cfRule>
  </conditionalFormatting>
  <conditionalFormatting sqref="E81">
    <cfRule type="expression" dxfId="2216" priority="2345" stopIfTrue="1">
      <formula>$A81="Tmdpjun"</formula>
    </cfRule>
  </conditionalFormatting>
  <conditionalFormatting sqref="E81">
    <cfRule type="expression" dxfId="2215" priority="2346" stopIfTrue="1">
      <formula>$A81="Pump"</formula>
    </cfRule>
  </conditionalFormatting>
  <conditionalFormatting sqref="E81">
    <cfRule type="expression" dxfId="2214" priority="2347" stopIfTrue="1">
      <formula>$A81="Tmdpvol"</formula>
    </cfRule>
  </conditionalFormatting>
  <conditionalFormatting sqref="E81">
    <cfRule type="expression" dxfId="2213" priority="2348" stopIfTrue="1">
      <formula>$A81="Snglvol"</formula>
    </cfRule>
  </conditionalFormatting>
  <conditionalFormatting sqref="E81">
    <cfRule type="expression" dxfId="2212" priority="2349" stopIfTrue="1">
      <formula>$A81="Timestep"</formula>
    </cfRule>
  </conditionalFormatting>
  <conditionalFormatting sqref="E81">
    <cfRule type="expression" dxfId="2211" priority="2350" stopIfTrue="1">
      <formula>$A81="Tripvar"</formula>
    </cfRule>
  </conditionalFormatting>
  <conditionalFormatting sqref="E81">
    <cfRule type="expression" dxfId="2210" priority="2351" stopIfTrue="1">
      <formula>$A81="Triplog"</formula>
    </cfRule>
  </conditionalFormatting>
  <conditionalFormatting sqref="E83">
    <cfRule type="expression" dxfId="2209" priority="2324" stopIfTrue="1">
      <formula>$A83="Pipe"</formula>
    </cfRule>
  </conditionalFormatting>
  <conditionalFormatting sqref="E83">
    <cfRule type="expression" dxfId="2208" priority="2325" stopIfTrue="1">
      <formula>$A83="Junction"</formula>
    </cfRule>
  </conditionalFormatting>
  <conditionalFormatting sqref="E83">
    <cfRule type="expression" dxfId="2207" priority="2326" stopIfTrue="1">
      <formula>$A83="Sngljun"</formula>
    </cfRule>
  </conditionalFormatting>
  <conditionalFormatting sqref="E83">
    <cfRule type="expression" dxfId="2206" priority="2327" stopIfTrue="1">
      <formula>$A83="Mtrvlv"</formula>
    </cfRule>
  </conditionalFormatting>
  <conditionalFormatting sqref="E83">
    <cfRule type="expression" dxfId="2205" priority="2328" stopIfTrue="1">
      <formula>$A83="Srvvlv"</formula>
    </cfRule>
  </conditionalFormatting>
  <conditionalFormatting sqref="E83">
    <cfRule type="expression" dxfId="2204" priority="2329" stopIfTrue="1">
      <formula>$A83="Chkvlv"</formula>
    </cfRule>
  </conditionalFormatting>
  <conditionalFormatting sqref="E83">
    <cfRule type="expression" dxfId="2203" priority="2330" stopIfTrue="1">
      <formula>$A83="Inrvlv"</formula>
    </cfRule>
  </conditionalFormatting>
  <conditionalFormatting sqref="E83">
    <cfRule type="expression" dxfId="2202" priority="2331" stopIfTrue="1">
      <formula>$A83="Tmdpjun"</formula>
    </cfRule>
  </conditionalFormatting>
  <conditionalFormatting sqref="E83">
    <cfRule type="expression" dxfId="2201" priority="2332" stopIfTrue="1">
      <formula>$A83="Pump"</formula>
    </cfRule>
  </conditionalFormatting>
  <conditionalFormatting sqref="E83">
    <cfRule type="expression" dxfId="2200" priority="2333" stopIfTrue="1">
      <formula>$A83="Tmdpvol"</formula>
    </cfRule>
  </conditionalFormatting>
  <conditionalFormatting sqref="E83">
    <cfRule type="expression" dxfId="2199" priority="2334" stopIfTrue="1">
      <formula>$A83="Snglvol"</formula>
    </cfRule>
  </conditionalFormatting>
  <conditionalFormatting sqref="E83">
    <cfRule type="expression" dxfId="2198" priority="2335" stopIfTrue="1">
      <formula>$A83="Timestep"</formula>
    </cfRule>
  </conditionalFormatting>
  <conditionalFormatting sqref="E83">
    <cfRule type="expression" dxfId="2197" priority="2336" stopIfTrue="1">
      <formula>$A83="Tripvar"</formula>
    </cfRule>
  </conditionalFormatting>
  <conditionalFormatting sqref="E83">
    <cfRule type="expression" dxfId="2196" priority="2337" stopIfTrue="1">
      <formula>$A83="Triplog"</formula>
    </cfRule>
  </conditionalFormatting>
  <conditionalFormatting sqref="U82:V82 Q82 A82:D82 F82:K82">
    <cfRule type="expression" dxfId="2195" priority="2256" stopIfTrue="1">
      <formula>$A82="Pipe"</formula>
    </cfRule>
  </conditionalFormatting>
  <conditionalFormatting sqref="M82:P82 U82:V82 A82:B82 H82:K82">
    <cfRule type="expression" dxfId="2194" priority="2257" stopIfTrue="1">
      <formula>$A82="Junction"</formula>
    </cfRule>
  </conditionalFormatting>
  <conditionalFormatting sqref="M82:P82 T82:V82 A82:B82 H82:K82">
    <cfRule type="expression" dxfId="2193" priority="2258" stopIfTrue="1">
      <formula>$A82="Mtrvlv"</formula>
    </cfRule>
  </conditionalFormatting>
  <conditionalFormatting sqref="M82:P82 T82:V82 B82 H82:K82">
    <cfRule type="expression" dxfId="2192" priority="2259" stopIfTrue="1">
      <formula>$A82="Srvvlv"</formula>
    </cfRule>
  </conditionalFormatting>
  <conditionalFormatting sqref="V82 T82 N82:P82 A82 H82:J82">
    <cfRule type="expression" dxfId="2191" priority="2260" stopIfTrue="1">
      <formula>$A82="Chkvlv"</formula>
    </cfRule>
  </conditionalFormatting>
  <conditionalFormatting sqref="M82:P82 T82:V82 A82:B82 H82:K82">
    <cfRule type="expression" dxfId="2190" priority="2261" stopIfTrue="1">
      <formula>$A82="Inrvlv"</formula>
    </cfRule>
  </conditionalFormatting>
  <conditionalFormatting sqref="M82:P82 T82:V82 B82 H82:K82">
    <cfRule type="expression" dxfId="2189" priority="2262" stopIfTrue="1">
      <formula>$A82="Tmdpjun"</formula>
    </cfRule>
  </conditionalFormatting>
  <conditionalFormatting sqref="M82:P82 T82:V82 A82:C82 F82:K82">
    <cfRule type="expression" dxfId="2188" priority="2263" stopIfTrue="1">
      <formula>$A82="Pump"</formula>
    </cfRule>
  </conditionalFormatting>
  <conditionalFormatting sqref="U82:V82 Q82 J82:K82 F82:G82 A82:C82">
    <cfRule type="expression" dxfId="2187" priority="2264" stopIfTrue="1">
      <formula>$A82="Tmdpvol"</formula>
    </cfRule>
  </conditionalFormatting>
  <conditionalFormatting sqref="V82 J82 F82:G82 A82">
    <cfRule type="expression" dxfId="2186" priority="2265" stopIfTrue="1">
      <formula>$A82="Snglvol"</formula>
    </cfRule>
  </conditionalFormatting>
  <conditionalFormatting sqref="M82:P82 U82:V82 A82:B82 H82:K82">
    <cfRule type="expression" dxfId="2185" priority="2266" stopIfTrue="1">
      <formula>$A82="Sngljun"</formula>
    </cfRule>
  </conditionalFormatting>
  <conditionalFormatting sqref="M82:P82 R82:T82">
    <cfRule type="expression" dxfId="2184" priority="2267" stopIfTrue="1">
      <formula>$A82="Pipe"</formula>
    </cfRule>
  </conditionalFormatting>
  <conditionalFormatting sqref="C82">
    <cfRule type="expression" dxfId="2183" priority="2268" stopIfTrue="1">
      <formula>$A82="Junction"</formula>
    </cfRule>
    <cfRule type="expression" dxfId="2182" priority="2294" stopIfTrue="1">
      <formula>$A82="Snglvol"</formula>
    </cfRule>
    <cfRule type="expression" dxfId="2181" priority="2307" stopIfTrue="1">
      <formula>$A82="InitGas"</formula>
    </cfRule>
    <cfRule type="expression" dxfId="2180" priority="2319" stopIfTrue="1">
      <formula>$A82="Tripvar"</formula>
    </cfRule>
  </conditionalFormatting>
  <conditionalFormatting sqref="Q82:T82 F82:G82 D82">
    <cfRule type="expression" dxfId="2179" priority="2269" stopIfTrue="1">
      <formula>$A82="Junction"</formula>
    </cfRule>
  </conditionalFormatting>
  <conditionalFormatting sqref="Q82:T82 F82:G82 C82:D82">
    <cfRule type="expression" dxfId="2178" priority="2270" stopIfTrue="1">
      <formula>$A82="Sngljun"</formula>
    </cfRule>
  </conditionalFormatting>
  <conditionalFormatting sqref="Q82:S82 F82:G82 C82:D82">
    <cfRule type="expression" dxfId="2177" priority="2271" stopIfTrue="1">
      <formula>$A82="Mtrvlv"</formula>
    </cfRule>
  </conditionalFormatting>
  <conditionalFormatting sqref="A82">
    <cfRule type="expression" dxfId="2176" priority="2272" stopIfTrue="1">
      <formula>$A82="Srvvlv"</formula>
    </cfRule>
    <cfRule type="expression" dxfId="2175" priority="2283" stopIfTrue="1">
      <formula>$A82="Tmdpjun"</formula>
    </cfRule>
  </conditionalFormatting>
  <conditionalFormatting sqref="S82 Q82 F82:G82 C82:D82">
    <cfRule type="expression" dxfId="2174" priority="2273" stopIfTrue="1">
      <formula>$A82="Srvvlv"</formula>
    </cfRule>
  </conditionalFormatting>
  <conditionalFormatting sqref="R82">
    <cfRule type="expression" dxfId="2173" priority="2274" stopIfTrue="1">
      <formula>$A82="Srvvlv"</formula>
    </cfRule>
    <cfRule type="expression" dxfId="2172" priority="2285" stopIfTrue="1">
      <formula>$A82="Tmdpjun"</formula>
    </cfRule>
    <cfRule type="expression" dxfId="2171" priority="2288" stopIfTrue="1">
      <formula>$A82="Pump"</formula>
    </cfRule>
    <cfRule type="expression" dxfId="2170" priority="2291" stopIfTrue="1">
      <formula>$A82="Tmdpvol"</formula>
    </cfRule>
    <cfRule type="expression" dxfId="2169" priority="2298" stopIfTrue="1">
      <formula>$A82="Snglvol"</formula>
    </cfRule>
  </conditionalFormatting>
  <conditionalFormatting sqref="B82">
    <cfRule type="expression" dxfId="2168" priority="2275" stopIfTrue="1">
      <formula>$A82="Chkvlv"</formula>
    </cfRule>
    <cfRule type="expression" dxfId="2167" priority="2301" stopIfTrue="1">
      <formula>$A82="Relapnr"</formula>
    </cfRule>
    <cfRule type="expression" dxfId="2166" priority="2306" stopIfTrue="1">
      <formula>$A82="InitGas"</formula>
    </cfRule>
    <cfRule type="expression" dxfId="2165" priority="2312" stopIfTrue="1">
      <formula>$A82="Replacements"</formula>
    </cfRule>
    <cfRule type="expression" dxfId="2164" priority="2316" stopIfTrue="1">
      <formula>$A82="Custom"</formula>
    </cfRule>
    <cfRule type="expression" dxfId="2163" priority="2321" stopIfTrue="1">
      <formula>$A82="Triplog"</formula>
    </cfRule>
  </conditionalFormatting>
  <conditionalFormatting sqref="C82 Q82:S82 F82:G82">
    <cfRule type="expression" dxfId="2162" priority="2276" stopIfTrue="1">
      <formula>$A82="Chkvlv"</formula>
    </cfRule>
  </conditionalFormatting>
  <conditionalFormatting sqref="D82">
    <cfRule type="expression" dxfId="2161" priority="2277" stopIfTrue="1">
      <formula>$A82="Chkvlv"</formula>
    </cfRule>
    <cfRule type="expression" dxfId="2160" priority="2323" stopIfTrue="1">
      <formula>$A82="Triplog"</formula>
    </cfRule>
  </conditionalFormatting>
  <conditionalFormatting sqref="U82 K82">
    <cfRule type="expression" dxfId="2159" priority="2278" stopIfTrue="1">
      <formula>$A82="Chkvlv"</formula>
    </cfRule>
    <cfRule type="expression" dxfId="2158" priority="2296" stopIfTrue="1">
      <formula>$A82="Snglvol"</formula>
    </cfRule>
  </conditionalFormatting>
  <conditionalFormatting sqref="M82">
    <cfRule type="expression" dxfId="2157" priority="2279" stopIfTrue="1">
      <formula>$A82="Chkvlv"</formula>
    </cfRule>
    <cfRule type="expression" dxfId="2156" priority="2297" stopIfTrue="1">
      <formula>$A82="Snglvol"</formula>
    </cfRule>
  </conditionalFormatting>
  <conditionalFormatting sqref="C82">
    <cfRule type="expression" dxfId="2155" priority="2280" stopIfTrue="1">
      <formula>$A82="Inrvlv"</formula>
    </cfRule>
    <cfRule type="expression" dxfId="2154" priority="2304" stopIfTrue="1">
      <formula>$A82="Init"</formula>
    </cfRule>
    <cfRule type="expression" dxfId="2153" priority="2310" stopIfTrue="1">
      <formula>$A82="Timestep"</formula>
    </cfRule>
    <cfRule type="expression" dxfId="2152" priority="2322" stopIfTrue="1">
      <formula>$A82="Triplog"</formula>
    </cfRule>
  </conditionalFormatting>
  <conditionalFormatting sqref="Q82:R82 F82:G82 D82">
    <cfRule type="expression" dxfId="2151" priority="2281" stopIfTrue="1">
      <formula>$A82="Inrvlv"</formula>
    </cfRule>
  </conditionalFormatting>
  <conditionalFormatting sqref="S82">
    <cfRule type="expression" dxfId="2150" priority="2282" stopIfTrue="1">
      <formula>$A82="Inrvlv"</formula>
    </cfRule>
    <cfRule type="expression" dxfId="2149" priority="2286" stopIfTrue="1">
      <formula>$A82="Tmdpjun"</formula>
    </cfRule>
    <cfRule type="expression" dxfId="2148" priority="2289" stopIfTrue="1">
      <formula>$A82="Pump"</formula>
    </cfRule>
    <cfRule type="expression" dxfId="2147" priority="2292" stopIfTrue="1">
      <formula>$A82="Tmdpvol"</formula>
    </cfRule>
    <cfRule type="expression" dxfId="2146" priority="2299" stopIfTrue="1">
      <formula>$A82="Snglvol"</formula>
    </cfRule>
  </conditionalFormatting>
  <conditionalFormatting sqref="Q82 F82:G82 C82:D82">
    <cfRule type="expression" dxfId="2145" priority="2284" stopIfTrue="1">
      <formula>$A82="Tmdpjun"</formula>
    </cfRule>
  </conditionalFormatting>
  <conditionalFormatting sqref="Q82 D82">
    <cfRule type="expression" dxfId="2144" priority="2287" stopIfTrue="1">
      <formula>$A82="Pump"</formula>
    </cfRule>
  </conditionalFormatting>
  <conditionalFormatting sqref="T82 H82:I82 D82 M82:P82">
    <cfRule type="expression" dxfId="2143" priority="2290" stopIfTrue="1">
      <formula>$A82="Tmdpvol"</formula>
    </cfRule>
  </conditionalFormatting>
  <conditionalFormatting sqref="B82">
    <cfRule type="expression" dxfId="2142" priority="2293" stopIfTrue="1">
      <formula>$A82="Snglvol"</formula>
    </cfRule>
    <cfRule type="expression" dxfId="2141" priority="2303" stopIfTrue="1">
      <formula>$A82="Init"</formula>
    </cfRule>
    <cfRule type="expression" dxfId="2140" priority="2309" stopIfTrue="1">
      <formula>$A82="Timestep"</formula>
    </cfRule>
    <cfRule type="expression" dxfId="2139" priority="2314" stopIfTrue="1">
      <formula>$A82="Triggerwords"</formula>
    </cfRule>
    <cfRule type="expression" dxfId="2138" priority="2318" stopIfTrue="1">
      <formula>$A82="Tripvar"</formula>
    </cfRule>
  </conditionalFormatting>
  <conditionalFormatting sqref="T82 N82:Q82 H82:I82 D82">
    <cfRule type="expression" dxfId="2137" priority="2295" stopIfTrue="1">
      <formula>$A82="Snglvol"</formula>
    </cfRule>
  </conditionalFormatting>
  <conditionalFormatting sqref="A82">
    <cfRule type="expression" dxfId="2136" priority="2300" stopIfTrue="1">
      <formula>$A82="Relapnr"</formula>
    </cfRule>
  </conditionalFormatting>
  <conditionalFormatting sqref="A82">
    <cfRule type="expression" dxfId="2135" priority="2302" stopIfTrue="1">
      <formula>$A82="Init"</formula>
    </cfRule>
  </conditionalFormatting>
  <conditionalFormatting sqref="A82">
    <cfRule type="expression" dxfId="2134" priority="2305" stopIfTrue="1">
      <formula>$A82="InitGas"</formula>
    </cfRule>
  </conditionalFormatting>
  <conditionalFormatting sqref="A82 D82">
    <cfRule type="expression" dxfId="2133" priority="2308" stopIfTrue="1">
      <formula>$A82="Timestep"</formula>
    </cfRule>
  </conditionalFormatting>
  <conditionalFormatting sqref="A82">
    <cfRule type="expression" dxfId="2132" priority="2311" stopIfTrue="1">
      <formula>$A82="Replacements"</formula>
    </cfRule>
  </conditionalFormatting>
  <conditionalFormatting sqref="A82">
    <cfRule type="expression" dxfId="2131" priority="2313" stopIfTrue="1">
      <formula>$A82="Triggerwords"</formula>
    </cfRule>
  </conditionalFormatting>
  <conditionalFormatting sqref="A82">
    <cfRule type="expression" dxfId="2130" priority="2315" stopIfTrue="1">
      <formula>$A82="Custom"</formula>
    </cfRule>
  </conditionalFormatting>
  <conditionalFormatting sqref="A82 F82:I82 D82">
    <cfRule type="expression" dxfId="2129" priority="2317" stopIfTrue="1">
      <formula>$A82="Tripvar"</formula>
    </cfRule>
  </conditionalFormatting>
  <conditionalFormatting sqref="A82 F82">
    <cfRule type="expression" dxfId="2128" priority="2320" stopIfTrue="1">
      <formula>$A82="Triplog"</formula>
    </cfRule>
  </conditionalFormatting>
  <conditionalFormatting sqref="E93">
    <cfRule type="expression" dxfId="2127" priority="2096" stopIfTrue="1">
      <formula>$A93="Pipe"</formula>
    </cfRule>
  </conditionalFormatting>
  <conditionalFormatting sqref="L82">
    <cfRule type="expression" dxfId="2126" priority="2246" stopIfTrue="1">
      <formula>$A82="Junction"</formula>
    </cfRule>
  </conditionalFormatting>
  <conditionalFormatting sqref="L82">
    <cfRule type="expression" dxfId="2125" priority="2247" stopIfTrue="1">
      <formula>$A82="Sngljun"</formula>
    </cfRule>
  </conditionalFormatting>
  <conditionalFormatting sqref="L82">
    <cfRule type="expression" dxfId="2124" priority="2248" stopIfTrue="1">
      <formula>$A82="Mtrvlv"</formula>
    </cfRule>
  </conditionalFormatting>
  <conditionalFormatting sqref="L82">
    <cfRule type="expression" dxfId="2123" priority="2249" stopIfTrue="1">
      <formula>$A82="Srvvlv"</formula>
    </cfRule>
  </conditionalFormatting>
  <conditionalFormatting sqref="L82">
    <cfRule type="expression" dxfId="2122" priority="2250" stopIfTrue="1">
      <formula>$A82="Chkvlv"</formula>
    </cfRule>
  </conditionalFormatting>
  <conditionalFormatting sqref="L82">
    <cfRule type="expression" dxfId="2121" priority="2251" stopIfTrue="1">
      <formula>$A82="Inrvlv"</formula>
    </cfRule>
  </conditionalFormatting>
  <conditionalFormatting sqref="L82">
    <cfRule type="expression" dxfId="2120" priority="2252" stopIfTrue="1">
      <formula>$A82="Tmdpjun"</formula>
    </cfRule>
  </conditionalFormatting>
  <conditionalFormatting sqref="L82">
    <cfRule type="expression" dxfId="2119" priority="2253" stopIfTrue="1">
      <formula>$A82="Pump"</formula>
    </cfRule>
  </conditionalFormatting>
  <conditionalFormatting sqref="L82">
    <cfRule type="expression" dxfId="2118" priority="2254" stopIfTrue="1">
      <formula>$A82="Tmdpvol"</formula>
    </cfRule>
  </conditionalFormatting>
  <conditionalFormatting sqref="L82">
    <cfRule type="expression" dxfId="2117" priority="2255" stopIfTrue="1">
      <formula>$A82="Snglvol"</formula>
    </cfRule>
  </conditionalFormatting>
  <conditionalFormatting sqref="E82">
    <cfRule type="expression" dxfId="2116" priority="2231" stopIfTrue="1">
      <formula>$A82="Pipe"</formula>
    </cfRule>
  </conditionalFormatting>
  <conditionalFormatting sqref="E82">
    <cfRule type="expression" dxfId="2115" priority="2232" stopIfTrue="1">
      <formula>$A82="Junction"</formula>
    </cfRule>
  </conditionalFormatting>
  <conditionalFormatting sqref="E82">
    <cfRule type="expression" dxfId="2114" priority="2233" stopIfTrue="1">
      <formula>$A82="Sngljun"</formula>
    </cfRule>
  </conditionalFormatting>
  <conditionalFormatting sqref="E82">
    <cfRule type="expression" dxfId="2113" priority="2234" stopIfTrue="1">
      <formula>$A82="Mtrvlv"</formula>
    </cfRule>
  </conditionalFormatting>
  <conditionalFormatting sqref="E82">
    <cfRule type="expression" dxfId="2112" priority="2235" stopIfTrue="1">
      <formula>$A82="Srvvlv"</formula>
    </cfRule>
  </conditionalFormatting>
  <conditionalFormatting sqref="E82">
    <cfRule type="expression" dxfId="2111" priority="2236" stopIfTrue="1">
      <formula>$A82="Chkvlv"</formula>
    </cfRule>
  </conditionalFormatting>
  <conditionalFormatting sqref="E82">
    <cfRule type="expression" dxfId="2110" priority="2237" stopIfTrue="1">
      <formula>$A82="Inrvlv"</formula>
    </cfRule>
  </conditionalFormatting>
  <conditionalFormatting sqref="E82">
    <cfRule type="expression" dxfId="2109" priority="2238" stopIfTrue="1">
      <formula>$A82="Tmdpjun"</formula>
    </cfRule>
  </conditionalFormatting>
  <conditionalFormatting sqref="E82">
    <cfRule type="expression" dxfId="2108" priority="2239" stopIfTrue="1">
      <formula>$A82="Pump"</formula>
    </cfRule>
  </conditionalFormatting>
  <conditionalFormatting sqref="E82">
    <cfRule type="expression" dxfId="2107" priority="2240" stopIfTrue="1">
      <formula>$A82="Tmdpvol"</formula>
    </cfRule>
  </conditionalFormatting>
  <conditionalFormatting sqref="E82">
    <cfRule type="expression" dxfId="2106" priority="2241" stopIfTrue="1">
      <formula>$A82="Snglvol"</formula>
    </cfRule>
  </conditionalFormatting>
  <conditionalFormatting sqref="E82">
    <cfRule type="expression" dxfId="2105" priority="2242" stopIfTrue="1">
      <formula>$A82="Timestep"</formula>
    </cfRule>
  </conditionalFormatting>
  <conditionalFormatting sqref="E82">
    <cfRule type="expression" dxfId="2104" priority="2243" stopIfTrue="1">
      <formula>$A82="Tripvar"</formula>
    </cfRule>
  </conditionalFormatting>
  <conditionalFormatting sqref="E82">
    <cfRule type="expression" dxfId="2103" priority="2244" stopIfTrue="1">
      <formula>$A82="Triplog"</formula>
    </cfRule>
  </conditionalFormatting>
  <conditionalFormatting sqref="U92:V92 Q92 A92:D92 F92:K92">
    <cfRule type="expression" dxfId="2102" priority="2163" stopIfTrue="1">
      <formula>$A92="Pipe"</formula>
    </cfRule>
  </conditionalFormatting>
  <conditionalFormatting sqref="M92:P92 U92:V92 A92:B92 H92:K92">
    <cfRule type="expression" dxfId="2101" priority="2164" stopIfTrue="1">
      <formula>$A92="Junction"</formula>
    </cfRule>
  </conditionalFormatting>
  <conditionalFormatting sqref="M92:P92 T92:V92 A92:B92 H92:K92">
    <cfRule type="expression" dxfId="2100" priority="2165" stopIfTrue="1">
      <formula>$A92="Mtrvlv"</formula>
    </cfRule>
  </conditionalFormatting>
  <conditionalFormatting sqref="M92:P92 T92:V92 B92 H92:K92">
    <cfRule type="expression" dxfId="2099" priority="2166" stopIfTrue="1">
      <formula>$A92="Srvvlv"</formula>
    </cfRule>
  </conditionalFormatting>
  <conditionalFormatting sqref="V92 T92 N92:P92 A92 H92:J92">
    <cfRule type="expression" dxfId="2098" priority="2167" stopIfTrue="1">
      <formula>$A92="Chkvlv"</formula>
    </cfRule>
  </conditionalFormatting>
  <conditionalFormatting sqref="M92:P92 T92:V92 A92:B92 H92:K92">
    <cfRule type="expression" dxfId="2097" priority="2168" stopIfTrue="1">
      <formula>$A92="Inrvlv"</formula>
    </cfRule>
  </conditionalFormatting>
  <conditionalFormatting sqref="M92:P92 T92:V92 B92 H92:K92">
    <cfRule type="expression" dxfId="2096" priority="2169" stopIfTrue="1">
      <formula>$A92="Tmdpjun"</formula>
    </cfRule>
  </conditionalFormatting>
  <conditionalFormatting sqref="M92:P92 T92:V92 A92:C92 F92:K92">
    <cfRule type="expression" dxfId="2095" priority="2170" stopIfTrue="1">
      <formula>$A92="Pump"</formula>
    </cfRule>
  </conditionalFormatting>
  <conditionalFormatting sqref="U92:V92 Q92 J92:K92 F92:G92 A92:C92">
    <cfRule type="expression" dxfId="2094" priority="2171" stopIfTrue="1">
      <formula>$A92="Tmdpvol"</formula>
    </cfRule>
  </conditionalFormatting>
  <conditionalFormatting sqref="V92 J92 F92:G92 A92">
    <cfRule type="expression" dxfId="2093" priority="2172" stopIfTrue="1">
      <formula>$A92="Snglvol"</formula>
    </cfRule>
  </conditionalFormatting>
  <conditionalFormatting sqref="M92:P92 U92:V92 A92:B92 H92:K92">
    <cfRule type="expression" dxfId="2092" priority="2173" stopIfTrue="1">
      <formula>$A92="Sngljun"</formula>
    </cfRule>
  </conditionalFormatting>
  <conditionalFormatting sqref="M92:P92 R92:T92">
    <cfRule type="expression" dxfId="2091" priority="2174" stopIfTrue="1">
      <formula>$A92="Pipe"</formula>
    </cfRule>
  </conditionalFormatting>
  <conditionalFormatting sqref="C92">
    <cfRule type="expression" dxfId="2090" priority="2175" stopIfTrue="1">
      <formula>$A92="Junction"</formula>
    </cfRule>
    <cfRule type="expression" dxfId="2089" priority="2201" stopIfTrue="1">
      <formula>$A92="Snglvol"</formula>
    </cfRule>
    <cfRule type="expression" dxfId="2088" priority="2214" stopIfTrue="1">
      <formula>$A92="InitGas"</formula>
    </cfRule>
    <cfRule type="expression" dxfId="2087" priority="2226" stopIfTrue="1">
      <formula>$A92="Tripvar"</formula>
    </cfRule>
  </conditionalFormatting>
  <conditionalFormatting sqref="Q92:T92 F92:G92 D92">
    <cfRule type="expression" dxfId="2086" priority="2176" stopIfTrue="1">
      <formula>$A92="Junction"</formula>
    </cfRule>
  </conditionalFormatting>
  <conditionalFormatting sqref="Q92:T92 F92:G92 C92:D92">
    <cfRule type="expression" dxfId="2085" priority="2177" stopIfTrue="1">
      <formula>$A92="Sngljun"</formula>
    </cfRule>
  </conditionalFormatting>
  <conditionalFormatting sqref="Q92:S92 F92:G92 C92:D92">
    <cfRule type="expression" dxfId="2084" priority="2178" stopIfTrue="1">
      <formula>$A92="Mtrvlv"</formula>
    </cfRule>
  </conditionalFormatting>
  <conditionalFormatting sqref="A92">
    <cfRule type="expression" dxfId="2083" priority="2179" stopIfTrue="1">
      <formula>$A92="Srvvlv"</formula>
    </cfRule>
    <cfRule type="expression" dxfId="2082" priority="2190" stopIfTrue="1">
      <formula>$A92="Tmdpjun"</formula>
    </cfRule>
  </conditionalFormatting>
  <conditionalFormatting sqref="S92 Q92 F92:G92 C92:D92">
    <cfRule type="expression" dxfId="2081" priority="2180" stopIfTrue="1">
      <formula>$A92="Srvvlv"</formula>
    </cfRule>
  </conditionalFormatting>
  <conditionalFormatting sqref="R92">
    <cfRule type="expression" dxfId="2080" priority="2181" stopIfTrue="1">
      <formula>$A92="Srvvlv"</formula>
    </cfRule>
    <cfRule type="expression" dxfId="2079" priority="2192" stopIfTrue="1">
      <formula>$A92="Tmdpjun"</formula>
    </cfRule>
    <cfRule type="expression" dxfId="2078" priority="2195" stopIfTrue="1">
      <formula>$A92="Pump"</formula>
    </cfRule>
    <cfRule type="expression" dxfId="2077" priority="2198" stopIfTrue="1">
      <formula>$A92="Tmdpvol"</formula>
    </cfRule>
    <cfRule type="expression" dxfId="2076" priority="2205" stopIfTrue="1">
      <formula>$A92="Snglvol"</formula>
    </cfRule>
  </conditionalFormatting>
  <conditionalFormatting sqref="B92">
    <cfRule type="expression" dxfId="2075" priority="2182" stopIfTrue="1">
      <formula>$A92="Chkvlv"</formula>
    </cfRule>
    <cfRule type="expression" dxfId="2074" priority="2208" stopIfTrue="1">
      <formula>$A92="Relapnr"</formula>
    </cfRule>
    <cfRule type="expression" dxfId="2073" priority="2213" stopIfTrue="1">
      <formula>$A92="InitGas"</formula>
    </cfRule>
    <cfRule type="expression" dxfId="2072" priority="2219" stopIfTrue="1">
      <formula>$A92="Replacements"</formula>
    </cfRule>
    <cfRule type="expression" dxfId="2071" priority="2223" stopIfTrue="1">
      <formula>$A92="Custom"</formula>
    </cfRule>
    <cfRule type="expression" dxfId="2070" priority="2228" stopIfTrue="1">
      <formula>$A92="Triplog"</formula>
    </cfRule>
  </conditionalFormatting>
  <conditionalFormatting sqref="C92 Q92:S92 F92:G92">
    <cfRule type="expression" dxfId="2069" priority="2183" stopIfTrue="1">
      <formula>$A92="Chkvlv"</formula>
    </cfRule>
  </conditionalFormatting>
  <conditionalFormatting sqref="D92">
    <cfRule type="expression" dxfId="2068" priority="2184" stopIfTrue="1">
      <formula>$A92="Chkvlv"</formula>
    </cfRule>
    <cfRule type="expression" dxfId="2067" priority="2230" stopIfTrue="1">
      <formula>$A92="Triplog"</formula>
    </cfRule>
  </conditionalFormatting>
  <conditionalFormatting sqref="U92 K92">
    <cfRule type="expression" dxfId="2066" priority="2185" stopIfTrue="1">
      <formula>$A92="Chkvlv"</formula>
    </cfRule>
    <cfRule type="expression" dxfId="2065" priority="2203" stopIfTrue="1">
      <formula>$A92="Snglvol"</formula>
    </cfRule>
  </conditionalFormatting>
  <conditionalFormatting sqref="M92">
    <cfRule type="expression" dxfId="2064" priority="2186" stopIfTrue="1">
      <formula>$A92="Chkvlv"</formula>
    </cfRule>
    <cfRule type="expression" dxfId="2063" priority="2204" stopIfTrue="1">
      <formula>$A92="Snglvol"</formula>
    </cfRule>
  </conditionalFormatting>
  <conditionalFormatting sqref="C92">
    <cfRule type="expression" dxfId="2062" priority="2187" stopIfTrue="1">
      <formula>$A92="Inrvlv"</formula>
    </cfRule>
    <cfRule type="expression" dxfId="2061" priority="2211" stopIfTrue="1">
      <formula>$A92="Init"</formula>
    </cfRule>
    <cfRule type="expression" dxfId="2060" priority="2217" stopIfTrue="1">
      <formula>$A92="Timestep"</formula>
    </cfRule>
    <cfRule type="expression" dxfId="2059" priority="2229" stopIfTrue="1">
      <formula>$A92="Triplog"</formula>
    </cfRule>
  </conditionalFormatting>
  <conditionalFormatting sqref="Q92:R92 F92:G92 D92">
    <cfRule type="expression" dxfId="2058" priority="2188" stopIfTrue="1">
      <formula>$A92="Inrvlv"</formula>
    </cfRule>
  </conditionalFormatting>
  <conditionalFormatting sqref="S92">
    <cfRule type="expression" dxfId="2057" priority="2189" stopIfTrue="1">
      <formula>$A92="Inrvlv"</formula>
    </cfRule>
    <cfRule type="expression" dxfId="2056" priority="2193" stopIfTrue="1">
      <formula>$A92="Tmdpjun"</formula>
    </cfRule>
    <cfRule type="expression" dxfId="2055" priority="2196" stopIfTrue="1">
      <formula>$A92="Pump"</formula>
    </cfRule>
    <cfRule type="expression" dxfId="2054" priority="2199" stopIfTrue="1">
      <formula>$A92="Tmdpvol"</formula>
    </cfRule>
    <cfRule type="expression" dxfId="2053" priority="2206" stopIfTrue="1">
      <formula>$A92="Snglvol"</formula>
    </cfRule>
  </conditionalFormatting>
  <conditionalFormatting sqref="Q92 F92:G92 C92:D92">
    <cfRule type="expression" dxfId="2052" priority="2191" stopIfTrue="1">
      <formula>$A92="Tmdpjun"</formula>
    </cfRule>
  </conditionalFormatting>
  <conditionalFormatting sqref="Q92 D92">
    <cfRule type="expression" dxfId="2051" priority="2194" stopIfTrue="1">
      <formula>$A92="Pump"</formula>
    </cfRule>
  </conditionalFormatting>
  <conditionalFormatting sqref="T92 H92:I92 D92 M92:P92">
    <cfRule type="expression" dxfId="2050" priority="2197" stopIfTrue="1">
      <formula>$A92="Tmdpvol"</formula>
    </cfRule>
  </conditionalFormatting>
  <conditionalFormatting sqref="B92">
    <cfRule type="expression" dxfId="2049" priority="2200" stopIfTrue="1">
      <formula>$A92="Snglvol"</formula>
    </cfRule>
    <cfRule type="expression" dxfId="2048" priority="2210" stopIfTrue="1">
      <formula>$A92="Init"</formula>
    </cfRule>
    <cfRule type="expression" dxfId="2047" priority="2216" stopIfTrue="1">
      <formula>$A92="Timestep"</formula>
    </cfRule>
    <cfRule type="expression" dxfId="2046" priority="2221" stopIfTrue="1">
      <formula>$A92="Triggerwords"</formula>
    </cfRule>
    <cfRule type="expression" dxfId="2045" priority="2225" stopIfTrue="1">
      <formula>$A92="Tripvar"</formula>
    </cfRule>
  </conditionalFormatting>
  <conditionalFormatting sqref="T92 N92:Q92 H92:I92 D92">
    <cfRule type="expression" dxfId="2044" priority="2202" stopIfTrue="1">
      <formula>$A92="Snglvol"</formula>
    </cfRule>
  </conditionalFormatting>
  <conditionalFormatting sqref="A92">
    <cfRule type="expression" dxfId="2043" priority="2207" stopIfTrue="1">
      <formula>$A92="Relapnr"</formula>
    </cfRule>
  </conditionalFormatting>
  <conditionalFormatting sqref="A92">
    <cfRule type="expression" dxfId="2042" priority="2209" stopIfTrue="1">
      <formula>$A92="Init"</formula>
    </cfRule>
  </conditionalFormatting>
  <conditionalFormatting sqref="A92">
    <cfRule type="expression" dxfId="2041" priority="2212" stopIfTrue="1">
      <formula>$A92="InitGas"</formula>
    </cfRule>
  </conditionalFormatting>
  <conditionalFormatting sqref="A92 D92">
    <cfRule type="expression" dxfId="2040" priority="2215" stopIfTrue="1">
      <formula>$A92="Timestep"</formula>
    </cfRule>
  </conditionalFormatting>
  <conditionalFormatting sqref="A92">
    <cfRule type="expression" dxfId="2039" priority="2218" stopIfTrue="1">
      <formula>$A92="Replacements"</formula>
    </cfRule>
  </conditionalFormatting>
  <conditionalFormatting sqref="A92">
    <cfRule type="expression" dxfId="2038" priority="2220" stopIfTrue="1">
      <formula>$A92="Triggerwords"</formula>
    </cfRule>
  </conditionalFormatting>
  <conditionalFormatting sqref="A92">
    <cfRule type="expression" dxfId="2037" priority="2222" stopIfTrue="1">
      <formula>$A92="Custom"</formula>
    </cfRule>
  </conditionalFormatting>
  <conditionalFormatting sqref="A92 F92:I92 D92">
    <cfRule type="expression" dxfId="2036" priority="2224" stopIfTrue="1">
      <formula>$A92="Tripvar"</formula>
    </cfRule>
  </conditionalFormatting>
  <conditionalFormatting sqref="A92 F92">
    <cfRule type="expression" dxfId="2035" priority="2227" stopIfTrue="1">
      <formula>$A92="Triplog"</formula>
    </cfRule>
  </conditionalFormatting>
  <conditionalFormatting sqref="L92">
    <cfRule type="expression" dxfId="2034" priority="2138" stopIfTrue="1">
      <formula>$A92="Pipe"</formula>
    </cfRule>
  </conditionalFormatting>
  <conditionalFormatting sqref="L92">
    <cfRule type="expression" dxfId="2033" priority="2139" stopIfTrue="1">
      <formula>$A92="Junction"</formula>
    </cfRule>
  </conditionalFormatting>
  <conditionalFormatting sqref="L92">
    <cfRule type="expression" dxfId="2032" priority="2140" stopIfTrue="1">
      <formula>$A92="Sngljun"</formula>
    </cfRule>
  </conditionalFormatting>
  <conditionalFormatting sqref="L92">
    <cfRule type="expression" dxfId="2031" priority="2141" stopIfTrue="1">
      <formula>$A92="Mtrvlv"</formula>
    </cfRule>
  </conditionalFormatting>
  <conditionalFormatting sqref="L92">
    <cfRule type="expression" dxfId="2030" priority="2142" stopIfTrue="1">
      <formula>$A92="Srvvlv"</formula>
    </cfRule>
  </conditionalFormatting>
  <conditionalFormatting sqref="L92">
    <cfRule type="expression" dxfId="2029" priority="2143" stopIfTrue="1">
      <formula>$A92="Chkvlv"</formula>
    </cfRule>
  </conditionalFormatting>
  <conditionalFormatting sqref="L92">
    <cfRule type="expression" dxfId="2028" priority="2144" stopIfTrue="1">
      <formula>$A92="Inrvlv"</formula>
    </cfRule>
  </conditionalFormatting>
  <conditionalFormatting sqref="L92">
    <cfRule type="expression" dxfId="2027" priority="2145" stopIfTrue="1">
      <formula>$A92="Tmdpjun"</formula>
    </cfRule>
  </conditionalFormatting>
  <conditionalFormatting sqref="L92">
    <cfRule type="expression" dxfId="2026" priority="2146" stopIfTrue="1">
      <formula>$A92="Pump"</formula>
    </cfRule>
  </conditionalFormatting>
  <conditionalFormatting sqref="L92">
    <cfRule type="expression" dxfId="2025" priority="2147" stopIfTrue="1">
      <formula>$A92="Tmdpvol"</formula>
    </cfRule>
  </conditionalFormatting>
  <conditionalFormatting sqref="L92">
    <cfRule type="expression" dxfId="2024" priority="2148" stopIfTrue="1">
      <formula>$A92="Snglvol"</formula>
    </cfRule>
  </conditionalFormatting>
  <conditionalFormatting sqref="E91">
    <cfRule type="expression" dxfId="2023" priority="2124" stopIfTrue="1">
      <formula>$A91="Pipe"</formula>
    </cfRule>
  </conditionalFormatting>
  <conditionalFormatting sqref="E91">
    <cfRule type="expression" dxfId="2022" priority="2125" stopIfTrue="1">
      <formula>$A91="Junction"</formula>
    </cfRule>
  </conditionalFormatting>
  <conditionalFormatting sqref="E91">
    <cfRule type="expression" dxfId="2021" priority="2126" stopIfTrue="1">
      <formula>$A91="Sngljun"</formula>
    </cfRule>
  </conditionalFormatting>
  <conditionalFormatting sqref="E91">
    <cfRule type="expression" dxfId="2020" priority="2127" stopIfTrue="1">
      <formula>$A91="Mtrvlv"</formula>
    </cfRule>
  </conditionalFormatting>
  <conditionalFormatting sqref="E91">
    <cfRule type="expression" dxfId="2019" priority="2128" stopIfTrue="1">
      <formula>$A91="Srvvlv"</formula>
    </cfRule>
  </conditionalFormatting>
  <conditionalFormatting sqref="E91">
    <cfRule type="expression" dxfId="2018" priority="2129" stopIfTrue="1">
      <formula>$A91="Chkvlv"</formula>
    </cfRule>
  </conditionalFormatting>
  <conditionalFormatting sqref="E91">
    <cfRule type="expression" dxfId="2017" priority="2130" stopIfTrue="1">
      <formula>$A91="Inrvlv"</formula>
    </cfRule>
  </conditionalFormatting>
  <conditionalFormatting sqref="E91">
    <cfRule type="expression" dxfId="2016" priority="2131" stopIfTrue="1">
      <formula>$A91="Tmdpjun"</formula>
    </cfRule>
  </conditionalFormatting>
  <conditionalFormatting sqref="E91">
    <cfRule type="expression" dxfId="2015" priority="2132" stopIfTrue="1">
      <formula>$A91="Pump"</formula>
    </cfRule>
  </conditionalFormatting>
  <conditionalFormatting sqref="E91">
    <cfRule type="expression" dxfId="2014" priority="2133" stopIfTrue="1">
      <formula>$A91="Tmdpvol"</formula>
    </cfRule>
  </conditionalFormatting>
  <conditionalFormatting sqref="E91">
    <cfRule type="expression" dxfId="2013" priority="2134" stopIfTrue="1">
      <formula>$A91="Snglvol"</formula>
    </cfRule>
  </conditionalFormatting>
  <conditionalFormatting sqref="E91">
    <cfRule type="expression" dxfId="2012" priority="2135" stopIfTrue="1">
      <formula>$A91="Timestep"</formula>
    </cfRule>
  </conditionalFormatting>
  <conditionalFormatting sqref="E91">
    <cfRule type="expression" dxfId="2011" priority="2136" stopIfTrue="1">
      <formula>$A91="Tripvar"</formula>
    </cfRule>
  </conditionalFormatting>
  <conditionalFormatting sqref="E91">
    <cfRule type="expression" dxfId="2010" priority="2137" stopIfTrue="1">
      <formula>$A91="Triplog"</formula>
    </cfRule>
  </conditionalFormatting>
  <conditionalFormatting sqref="E92">
    <cfRule type="expression" dxfId="2009" priority="2110" stopIfTrue="1">
      <formula>$A92="Pipe"</formula>
    </cfRule>
  </conditionalFormatting>
  <conditionalFormatting sqref="E92">
    <cfRule type="expression" dxfId="2008" priority="2111" stopIfTrue="1">
      <formula>$A92="Junction"</formula>
    </cfRule>
  </conditionalFormatting>
  <conditionalFormatting sqref="E92">
    <cfRule type="expression" dxfId="2007" priority="2112" stopIfTrue="1">
      <formula>$A92="Sngljun"</formula>
    </cfRule>
  </conditionalFormatting>
  <conditionalFormatting sqref="E92">
    <cfRule type="expression" dxfId="2006" priority="2113" stopIfTrue="1">
      <formula>$A92="Mtrvlv"</formula>
    </cfRule>
  </conditionalFormatting>
  <conditionalFormatting sqref="E92">
    <cfRule type="expression" dxfId="2005" priority="2114" stopIfTrue="1">
      <formula>$A92="Srvvlv"</formula>
    </cfRule>
  </conditionalFormatting>
  <conditionalFormatting sqref="E92">
    <cfRule type="expression" dxfId="2004" priority="2115" stopIfTrue="1">
      <formula>$A92="Chkvlv"</formula>
    </cfRule>
  </conditionalFormatting>
  <conditionalFormatting sqref="E92">
    <cfRule type="expression" dxfId="2003" priority="2116" stopIfTrue="1">
      <formula>$A92="Inrvlv"</formula>
    </cfRule>
  </conditionalFormatting>
  <conditionalFormatting sqref="E92">
    <cfRule type="expression" dxfId="2002" priority="2117" stopIfTrue="1">
      <formula>$A92="Tmdpjun"</formula>
    </cfRule>
  </conditionalFormatting>
  <conditionalFormatting sqref="E92">
    <cfRule type="expression" dxfId="2001" priority="2118" stopIfTrue="1">
      <formula>$A92="Pump"</formula>
    </cfRule>
  </conditionalFormatting>
  <conditionalFormatting sqref="E92">
    <cfRule type="expression" dxfId="2000" priority="2119" stopIfTrue="1">
      <formula>$A92="Tmdpvol"</formula>
    </cfRule>
  </conditionalFormatting>
  <conditionalFormatting sqref="E92">
    <cfRule type="expression" dxfId="1999" priority="2120" stopIfTrue="1">
      <formula>$A92="Snglvol"</formula>
    </cfRule>
  </conditionalFormatting>
  <conditionalFormatting sqref="E92">
    <cfRule type="expression" dxfId="1998" priority="2121" stopIfTrue="1">
      <formula>$A92="Timestep"</formula>
    </cfRule>
  </conditionalFormatting>
  <conditionalFormatting sqref="E92">
    <cfRule type="expression" dxfId="1997" priority="2122" stopIfTrue="1">
      <formula>$A92="Tripvar"</formula>
    </cfRule>
  </conditionalFormatting>
  <conditionalFormatting sqref="E92">
    <cfRule type="expression" dxfId="1996" priority="2123" stopIfTrue="1">
      <formula>$A92="Triplog"</formula>
    </cfRule>
  </conditionalFormatting>
  <conditionalFormatting sqref="E102 E113 E104:E107">
    <cfRule type="expression" dxfId="1995" priority="2082" stopIfTrue="1">
      <formula>$A102="Pipe"</formula>
    </cfRule>
  </conditionalFormatting>
  <conditionalFormatting sqref="E102 E113 E104:E107">
    <cfRule type="expression" dxfId="1994" priority="2083" stopIfTrue="1">
      <formula>$A102="Junction"</formula>
    </cfRule>
  </conditionalFormatting>
  <conditionalFormatting sqref="E102 E113 E104:E107">
    <cfRule type="expression" dxfId="1993" priority="2084" stopIfTrue="1">
      <formula>$A102="Sngljun"</formula>
    </cfRule>
  </conditionalFormatting>
  <conditionalFormatting sqref="E102 E113 E104:E107">
    <cfRule type="expression" dxfId="1992" priority="2085" stopIfTrue="1">
      <formula>$A102="Mtrvlv"</formula>
    </cfRule>
  </conditionalFormatting>
  <conditionalFormatting sqref="E102 E113 E104:E107">
    <cfRule type="expression" dxfId="1991" priority="2086" stopIfTrue="1">
      <formula>$A102="Srvvlv"</formula>
    </cfRule>
  </conditionalFormatting>
  <conditionalFormatting sqref="E102 E113 E104:E107">
    <cfRule type="expression" dxfId="1990" priority="2087" stopIfTrue="1">
      <formula>$A102="Chkvlv"</formula>
    </cfRule>
  </conditionalFormatting>
  <conditionalFormatting sqref="E102 E113 E104:E107">
    <cfRule type="expression" dxfId="1989" priority="2088" stopIfTrue="1">
      <formula>$A102="Inrvlv"</formula>
    </cfRule>
  </conditionalFormatting>
  <conditionalFormatting sqref="E102 E113 E104:E107">
    <cfRule type="expression" dxfId="1988" priority="2089" stopIfTrue="1">
      <formula>$A102="Tmdpjun"</formula>
    </cfRule>
  </conditionalFormatting>
  <conditionalFormatting sqref="E102 E113 E104:E107">
    <cfRule type="expression" dxfId="1987" priority="2090" stopIfTrue="1">
      <formula>$A102="Pump"</formula>
    </cfRule>
  </conditionalFormatting>
  <conditionalFormatting sqref="E102 E113 E104:E107">
    <cfRule type="expression" dxfId="1986" priority="2091" stopIfTrue="1">
      <formula>$A102="Tmdpvol"</formula>
    </cfRule>
  </conditionalFormatting>
  <conditionalFormatting sqref="E102 E113 E104:E107">
    <cfRule type="expression" dxfId="1985" priority="2092" stopIfTrue="1">
      <formula>$A102="Snglvol"</formula>
    </cfRule>
  </conditionalFormatting>
  <conditionalFormatting sqref="E102 E113 E104:E107">
    <cfRule type="expression" dxfId="1984" priority="2093" stopIfTrue="1">
      <formula>$A102="Timestep"</formula>
    </cfRule>
  </conditionalFormatting>
  <conditionalFormatting sqref="E102 E113 E104:E107">
    <cfRule type="expression" dxfId="1983" priority="2094" stopIfTrue="1">
      <formula>$A102="Tripvar"</formula>
    </cfRule>
  </conditionalFormatting>
  <conditionalFormatting sqref="E102 E113 E104:E107">
    <cfRule type="expression" dxfId="1982" priority="2095" stopIfTrue="1">
      <formula>$A102="Triplog"</formula>
    </cfRule>
  </conditionalFormatting>
  <conditionalFormatting sqref="A33:A34">
    <cfRule type="expression" dxfId="1981" priority="2062" stopIfTrue="1">
      <formula>$A33="Pipe"</formula>
    </cfRule>
  </conditionalFormatting>
  <conditionalFormatting sqref="A33:A34">
    <cfRule type="expression" dxfId="1980" priority="2063" stopIfTrue="1">
      <formula>$A33="Junction"</formula>
    </cfRule>
  </conditionalFormatting>
  <conditionalFormatting sqref="A33:A34">
    <cfRule type="expression" dxfId="1979" priority="2064" stopIfTrue="1">
      <formula>$A33="Sngljun"</formula>
    </cfRule>
  </conditionalFormatting>
  <conditionalFormatting sqref="A33:A34">
    <cfRule type="expression" dxfId="1978" priority="2065" stopIfTrue="1">
      <formula>$A33="Mtrvlv"</formula>
    </cfRule>
  </conditionalFormatting>
  <conditionalFormatting sqref="A33:A34">
    <cfRule type="expression" dxfId="1977" priority="2066" stopIfTrue="1">
      <formula>$A33="Srvvlv"</formula>
    </cfRule>
    <cfRule type="expression" dxfId="1976" priority="2069" stopIfTrue="1">
      <formula>$A33="Tmdpjun"</formula>
    </cfRule>
  </conditionalFormatting>
  <conditionalFormatting sqref="A33:A34">
    <cfRule type="expression" dxfId="1975" priority="2067" stopIfTrue="1">
      <formula>$A33="Chkvlv"</formula>
    </cfRule>
  </conditionalFormatting>
  <conditionalFormatting sqref="A33:A34">
    <cfRule type="expression" dxfId="1974" priority="2068" stopIfTrue="1">
      <formula>$A33="Inrvlv"</formula>
    </cfRule>
  </conditionalFormatting>
  <conditionalFormatting sqref="A33:A34">
    <cfRule type="expression" dxfId="1973" priority="2070" stopIfTrue="1">
      <formula>$A33="Pump"</formula>
    </cfRule>
  </conditionalFormatting>
  <conditionalFormatting sqref="A33:A34">
    <cfRule type="expression" dxfId="1972" priority="2071" stopIfTrue="1">
      <formula>$A33="Tmdpvol"</formula>
    </cfRule>
  </conditionalFormatting>
  <conditionalFormatting sqref="A33:A34">
    <cfRule type="expression" dxfId="1971" priority="2072" stopIfTrue="1">
      <formula>$A33="Snglvol"</formula>
    </cfRule>
  </conditionalFormatting>
  <conditionalFormatting sqref="A33:A34">
    <cfRule type="expression" dxfId="1970" priority="2073" stopIfTrue="1">
      <formula>$A33="Relapnr"</formula>
    </cfRule>
  </conditionalFormatting>
  <conditionalFormatting sqref="A33:A34">
    <cfRule type="expression" dxfId="1969" priority="2074" stopIfTrue="1">
      <formula>$A33="Init"</formula>
    </cfRule>
  </conditionalFormatting>
  <conditionalFormatting sqref="A33:A34">
    <cfRule type="expression" dxfId="1968" priority="2075" stopIfTrue="1">
      <formula>$A33="InitGas"</formula>
    </cfRule>
  </conditionalFormatting>
  <conditionalFormatting sqref="A33:A34">
    <cfRule type="expression" dxfId="1967" priority="2076" stopIfTrue="1">
      <formula>$A33="Timestep"</formula>
    </cfRule>
  </conditionalFormatting>
  <conditionalFormatting sqref="A33:A34">
    <cfRule type="expression" dxfId="1966" priority="2077" stopIfTrue="1">
      <formula>$A33="Replacements"</formula>
    </cfRule>
  </conditionalFormatting>
  <conditionalFormatting sqref="A33:A34">
    <cfRule type="expression" dxfId="1965" priority="2078" stopIfTrue="1">
      <formula>$A33="Triggerwords"</formula>
    </cfRule>
  </conditionalFormatting>
  <conditionalFormatting sqref="A33:A34">
    <cfRule type="expression" dxfId="1964" priority="2079" stopIfTrue="1">
      <formula>$A33="Custom"</formula>
    </cfRule>
  </conditionalFormatting>
  <conditionalFormatting sqref="A33:A34">
    <cfRule type="expression" dxfId="1963" priority="2080" stopIfTrue="1">
      <formula>$A33="Tripvar"</formula>
    </cfRule>
  </conditionalFormatting>
  <conditionalFormatting sqref="A33:A34">
    <cfRule type="expression" dxfId="1962" priority="2081" stopIfTrue="1">
      <formula>$A33="Triplog"</formula>
    </cfRule>
  </conditionalFormatting>
  <conditionalFormatting sqref="A35">
    <cfRule type="expression" dxfId="1961" priority="2042" stopIfTrue="1">
      <formula>$A35="Pipe"</formula>
    </cfRule>
  </conditionalFormatting>
  <conditionalFormatting sqref="A35">
    <cfRule type="expression" dxfId="1960" priority="2043" stopIfTrue="1">
      <formula>$A35="Junction"</formula>
    </cfRule>
  </conditionalFormatting>
  <conditionalFormatting sqref="A35">
    <cfRule type="expression" dxfId="1959" priority="2044" stopIfTrue="1">
      <formula>$A35="Sngljun"</formula>
    </cfRule>
  </conditionalFormatting>
  <conditionalFormatting sqref="A35">
    <cfRule type="expression" dxfId="1958" priority="2045" stopIfTrue="1">
      <formula>$A35="Mtrvlv"</formula>
    </cfRule>
  </conditionalFormatting>
  <conditionalFormatting sqref="A35">
    <cfRule type="expression" dxfId="1957" priority="2046" stopIfTrue="1">
      <formula>$A35="Srvvlv"</formula>
    </cfRule>
    <cfRule type="expression" dxfId="1956" priority="2049" stopIfTrue="1">
      <formula>$A35="Tmdpjun"</formula>
    </cfRule>
  </conditionalFormatting>
  <conditionalFormatting sqref="A35">
    <cfRule type="expression" dxfId="1955" priority="2047" stopIfTrue="1">
      <formula>$A35="Chkvlv"</formula>
    </cfRule>
  </conditionalFormatting>
  <conditionalFormatting sqref="A35">
    <cfRule type="expression" dxfId="1954" priority="2048" stopIfTrue="1">
      <formula>$A35="Inrvlv"</formula>
    </cfRule>
  </conditionalFormatting>
  <conditionalFormatting sqref="A35">
    <cfRule type="expression" dxfId="1953" priority="2050" stopIfTrue="1">
      <formula>$A35="Pump"</formula>
    </cfRule>
  </conditionalFormatting>
  <conditionalFormatting sqref="A35">
    <cfRule type="expression" dxfId="1952" priority="2051" stopIfTrue="1">
      <formula>$A35="Tmdpvol"</formula>
    </cfRule>
  </conditionalFormatting>
  <conditionalFormatting sqref="A35">
    <cfRule type="expression" dxfId="1951" priority="2052" stopIfTrue="1">
      <formula>$A35="Snglvol"</formula>
    </cfRule>
  </conditionalFormatting>
  <conditionalFormatting sqref="A35">
    <cfRule type="expression" dxfId="1950" priority="2053" stopIfTrue="1">
      <formula>$A35="Relapnr"</formula>
    </cfRule>
  </conditionalFormatting>
  <conditionalFormatting sqref="A35">
    <cfRule type="expression" dxfId="1949" priority="2054" stopIfTrue="1">
      <formula>$A35="Init"</formula>
    </cfRule>
  </conditionalFormatting>
  <conditionalFormatting sqref="A35">
    <cfRule type="expression" dxfId="1948" priority="2055" stopIfTrue="1">
      <formula>$A35="InitGas"</formula>
    </cfRule>
  </conditionalFormatting>
  <conditionalFormatting sqref="A35">
    <cfRule type="expression" dxfId="1947" priority="2056" stopIfTrue="1">
      <formula>$A35="Timestep"</formula>
    </cfRule>
  </conditionalFormatting>
  <conditionalFormatting sqref="A35">
    <cfRule type="expression" dxfId="1946" priority="2057" stopIfTrue="1">
      <formula>$A35="Replacements"</formula>
    </cfRule>
  </conditionalFormatting>
  <conditionalFormatting sqref="A35">
    <cfRule type="expression" dxfId="1945" priority="2058" stopIfTrue="1">
      <formula>$A35="Triggerwords"</formula>
    </cfRule>
  </conditionalFormatting>
  <conditionalFormatting sqref="A35">
    <cfRule type="expression" dxfId="1944" priority="2059" stopIfTrue="1">
      <formula>$A35="Custom"</formula>
    </cfRule>
  </conditionalFormatting>
  <conditionalFormatting sqref="A35">
    <cfRule type="expression" dxfId="1943" priority="2060" stopIfTrue="1">
      <formula>$A35="Tripvar"</formula>
    </cfRule>
  </conditionalFormatting>
  <conditionalFormatting sqref="A35">
    <cfRule type="expression" dxfId="1942" priority="2061" stopIfTrue="1">
      <formula>$A35="Triplog"</formula>
    </cfRule>
  </conditionalFormatting>
  <conditionalFormatting sqref="C33:C34">
    <cfRule type="expression" dxfId="1941" priority="2026" stopIfTrue="1">
      <formula>$A33="Pipe"</formula>
    </cfRule>
  </conditionalFormatting>
  <conditionalFormatting sqref="C33:C34">
    <cfRule type="expression" dxfId="1940" priority="2027" stopIfTrue="1">
      <formula>$A33="Junction"</formula>
    </cfRule>
    <cfRule type="expression" dxfId="1939" priority="2036" stopIfTrue="1">
      <formula>$A33="Snglvol"</formula>
    </cfRule>
    <cfRule type="expression" dxfId="1938" priority="2038" stopIfTrue="1">
      <formula>$A33="InitGas"</formula>
    </cfRule>
    <cfRule type="expression" dxfId="1937" priority="2040" stopIfTrue="1">
      <formula>$A33="Tripvar"</formula>
    </cfRule>
  </conditionalFormatting>
  <conditionalFormatting sqref="C33:C34">
    <cfRule type="expression" dxfId="1936" priority="2028" stopIfTrue="1">
      <formula>$A33="Sngljun"</formula>
    </cfRule>
  </conditionalFormatting>
  <conditionalFormatting sqref="C33:C34">
    <cfRule type="expression" dxfId="1935" priority="2029" stopIfTrue="1">
      <formula>$A33="Mtrvlv"</formula>
    </cfRule>
  </conditionalFormatting>
  <conditionalFormatting sqref="C33:C34">
    <cfRule type="expression" dxfId="1934" priority="2030" stopIfTrue="1">
      <formula>$A33="Srvvlv"</formula>
    </cfRule>
  </conditionalFormatting>
  <conditionalFormatting sqref="C33:C34">
    <cfRule type="expression" dxfId="1933" priority="2031" stopIfTrue="1">
      <formula>$A33="Chkvlv"</formula>
    </cfRule>
  </conditionalFormatting>
  <conditionalFormatting sqref="C33:C34">
    <cfRule type="expression" dxfId="1932" priority="2032" stopIfTrue="1">
      <formula>$A33="Inrvlv"</formula>
    </cfRule>
    <cfRule type="expression" dxfId="1931" priority="2037" stopIfTrue="1">
      <formula>$A33="Init"</formula>
    </cfRule>
    <cfRule type="expression" dxfId="1930" priority="2039" stopIfTrue="1">
      <formula>$A33="Timestep"</formula>
    </cfRule>
    <cfRule type="expression" dxfId="1929" priority="2041" stopIfTrue="1">
      <formula>$A33="Triplog"</formula>
    </cfRule>
  </conditionalFormatting>
  <conditionalFormatting sqref="C33:C34">
    <cfRule type="expression" dxfId="1928" priority="2033" stopIfTrue="1">
      <formula>$A33="Tmdpjun"</formula>
    </cfRule>
  </conditionalFormatting>
  <conditionalFormatting sqref="C33:C34">
    <cfRule type="expression" dxfId="1927" priority="2034" stopIfTrue="1">
      <formula>$A33="Pump"</formula>
    </cfRule>
  </conditionalFormatting>
  <conditionalFormatting sqref="C33:C34">
    <cfRule type="expression" dxfId="1926" priority="2035" stopIfTrue="1">
      <formula>$A33="Tmdpvol"</formula>
    </cfRule>
  </conditionalFormatting>
  <conditionalFormatting sqref="C35">
    <cfRule type="expression" dxfId="1925" priority="2010" stopIfTrue="1">
      <formula>$A35="Pipe"</formula>
    </cfRule>
  </conditionalFormatting>
  <conditionalFormatting sqref="C35">
    <cfRule type="expression" dxfId="1924" priority="2011" stopIfTrue="1">
      <formula>$A35="Junction"</formula>
    </cfRule>
    <cfRule type="expression" dxfId="1923" priority="2020" stopIfTrue="1">
      <formula>$A35="Snglvol"</formula>
    </cfRule>
    <cfRule type="expression" dxfId="1922" priority="2022" stopIfTrue="1">
      <formula>$A35="InitGas"</formula>
    </cfRule>
    <cfRule type="expression" dxfId="1921" priority="2024" stopIfTrue="1">
      <formula>$A35="Tripvar"</formula>
    </cfRule>
  </conditionalFormatting>
  <conditionalFormatting sqref="C35">
    <cfRule type="expression" dxfId="1920" priority="2012" stopIfTrue="1">
      <formula>$A35="Sngljun"</formula>
    </cfRule>
  </conditionalFormatting>
  <conditionalFormatting sqref="C35">
    <cfRule type="expression" dxfId="1919" priority="2013" stopIfTrue="1">
      <formula>$A35="Mtrvlv"</formula>
    </cfRule>
  </conditionalFormatting>
  <conditionalFormatting sqref="C35">
    <cfRule type="expression" dxfId="1918" priority="2014" stopIfTrue="1">
      <formula>$A35="Srvvlv"</formula>
    </cfRule>
  </conditionalFormatting>
  <conditionalFormatting sqref="C35">
    <cfRule type="expression" dxfId="1917" priority="2015" stopIfTrue="1">
      <formula>$A35="Chkvlv"</formula>
    </cfRule>
  </conditionalFormatting>
  <conditionalFormatting sqref="C35">
    <cfRule type="expression" dxfId="1916" priority="2016" stopIfTrue="1">
      <formula>$A35="Inrvlv"</formula>
    </cfRule>
    <cfRule type="expression" dxfId="1915" priority="2021" stopIfTrue="1">
      <formula>$A35="Init"</formula>
    </cfRule>
    <cfRule type="expression" dxfId="1914" priority="2023" stopIfTrue="1">
      <formula>$A35="Timestep"</formula>
    </cfRule>
    <cfRule type="expression" dxfId="1913" priority="2025" stopIfTrue="1">
      <formula>$A35="Triplog"</formula>
    </cfRule>
  </conditionalFormatting>
  <conditionalFormatting sqref="C35">
    <cfRule type="expression" dxfId="1912" priority="2017" stopIfTrue="1">
      <formula>$A35="Tmdpjun"</formula>
    </cfRule>
  </conditionalFormatting>
  <conditionalFormatting sqref="C35">
    <cfRule type="expression" dxfId="1911" priority="2018" stopIfTrue="1">
      <formula>$A35="Pump"</formula>
    </cfRule>
  </conditionalFormatting>
  <conditionalFormatting sqref="C35">
    <cfRule type="expression" dxfId="1910" priority="2019" stopIfTrue="1">
      <formula>$A35="Tmdpvol"</formula>
    </cfRule>
  </conditionalFormatting>
  <conditionalFormatting sqref="B28">
    <cfRule type="expression" dxfId="1909" priority="1990" stopIfTrue="1">
      <formula>$A28="Pipe"</formula>
    </cfRule>
  </conditionalFormatting>
  <conditionalFormatting sqref="B28">
    <cfRule type="expression" dxfId="1908" priority="1991" stopIfTrue="1">
      <formula>$A28="Junction"</formula>
    </cfRule>
  </conditionalFormatting>
  <conditionalFormatting sqref="B28">
    <cfRule type="expression" dxfId="1907" priority="1992" stopIfTrue="1">
      <formula>$A28="Sngljun"</formula>
    </cfRule>
  </conditionalFormatting>
  <conditionalFormatting sqref="B28">
    <cfRule type="expression" dxfId="1906" priority="1993" stopIfTrue="1">
      <formula>$A28="Mtrvlv"</formula>
    </cfRule>
  </conditionalFormatting>
  <conditionalFormatting sqref="B28">
    <cfRule type="expression" dxfId="1905" priority="1994" stopIfTrue="1">
      <formula>$A28="Srvvlv"</formula>
    </cfRule>
  </conditionalFormatting>
  <conditionalFormatting sqref="B28">
    <cfRule type="expression" dxfId="1904" priority="1995" stopIfTrue="1">
      <formula>$A28="Chkvlv"</formula>
    </cfRule>
    <cfRule type="expression" dxfId="1903" priority="2001" stopIfTrue="1">
      <formula>$A28="Relapnr"</formula>
    </cfRule>
    <cfRule type="expression" dxfId="1902" priority="2003" stopIfTrue="1">
      <formula>$A28="InitGas"</formula>
    </cfRule>
    <cfRule type="expression" dxfId="1901" priority="2005" stopIfTrue="1">
      <formula>$A28="Replacements"</formula>
    </cfRule>
    <cfRule type="expression" dxfId="1900" priority="2007" stopIfTrue="1">
      <formula>$A28="Custom"</formula>
    </cfRule>
    <cfRule type="expression" dxfId="1899" priority="2009" stopIfTrue="1">
      <formula>$A28="Triplog"</formula>
    </cfRule>
  </conditionalFormatting>
  <conditionalFormatting sqref="B28">
    <cfRule type="expression" dxfId="1898" priority="1996" stopIfTrue="1">
      <formula>$A28="Inrvlv"</formula>
    </cfRule>
  </conditionalFormatting>
  <conditionalFormatting sqref="B28">
    <cfRule type="expression" dxfId="1897" priority="1997" stopIfTrue="1">
      <formula>$A28="Tmdpjun"</formula>
    </cfRule>
  </conditionalFormatting>
  <conditionalFormatting sqref="B28">
    <cfRule type="expression" dxfId="1896" priority="1998" stopIfTrue="1">
      <formula>$A28="Pump"</formula>
    </cfRule>
  </conditionalFormatting>
  <conditionalFormatting sqref="B28">
    <cfRule type="expression" dxfId="1895" priority="1999" stopIfTrue="1">
      <formula>$A28="Tmdpvol"</formula>
    </cfRule>
  </conditionalFormatting>
  <conditionalFormatting sqref="B28">
    <cfRule type="expression" dxfId="1894" priority="2000" stopIfTrue="1">
      <formula>$A28="Snglvol"</formula>
    </cfRule>
    <cfRule type="expression" dxfId="1893" priority="2002" stopIfTrue="1">
      <formula>$A28="Init"</formula>
    </cfRule>
    <cfRule type="expression" dxfId="1892" priority="2004" stopIfTrue="1">
      <formula>$A28="Timestep"</formula>
    </cfRule>
    <cfRule type="expression" dxfId="1891" priority="2006" stopIfTrue="1">
      <formula>$A28="Triggerwords"</formula>
    </cfRule>
    <cfRule type="expression" dxfId="1890" priority="2008" stopIfTrue="1">
      <formula>$A28="Tripvar"</formula>
    </cfRule>
  </conditionalFormatting>
  <conditionalFormatting sqref="B33:B34">
    <cfRule type="expression" dxfId="1889" priority="1970" stopIfTrue="1">
      <formula>$A33="Pipe"</formula>
    </cfRule>
  </conditionalFormatting>
  <conditionalFormatting sqref="B33:B34">
    <cfRule type="expression" dxfId="1888" priority="1971" stopIfTrue="1">
      <formula>$A33="Junction"</formula>
    </cfRule>
  </conditionalFormatting>
  <conditionalFormatting sqref="B33:B34">
    <cfRule type="expression" dxfId="1887" priority="1972" stopIfTrue="1">
      <formula>$A33="Sngljun"</formula>
    </cfRule>
  </conditionalFormatting>
  <conditionalFormatting sqref="B33:B34">
    <cfRule type="expression" dxfId="1886" priority="1973" stopIfTrue="1">
      <formula>$A33="Mtrvlv"</formula>
    </cfRule>
  </conditionalFormatting>
  <conditionalFormatting sqref="B33:B34">
    <cfRule type="expression" dxfId="1885" priority="1974" stopIfTrue="1">
      <formula>$A33="Srvvlv"</formula>
    </cfRule>
  </conditionalFormatting>
  <conditionalFormatting sqref="B33:B34">
    <cfRule type="expression" dxfId="1884" priority="1975" stopIfTrue="1">
      <formula>$A33="Chkvlv"</formula>
    </cfRule>
    <cfRule type="expression" dxfId="1883" priority="1981" stopIfTrue="1">
      <formula>$A33="Relapnr"</formula>
    </cfRule>
    <cfRule type="expression" dxfId="1882" priority="1983" stopIfTrue="1">
      <formula>$A33="InitGas"</formula>
    </cfRule>
    <cfRule type="expression" dxfId="1881" priority="1985" stopIfTrue="1">
      <formula>$A33="Replacements"</formula>
    </cfRule>
    <cfRule type="expression" dxfId="1880" priority="1987" stopIfTrue="1">
      <formula>$A33="Custom"</formula>
    </cfRule>
    <cfRule type="expression" dxfId="1879" priority="1989" stopIfTrue="1">
      <formula>$A33="Triplog"</formula>
    </cfRule>
  </conditionalFormatting>
  <conditionalFormatting sqref="B33:B34">
    <cfRule type="expression" dxfId="1878" priority="1976" stopIfTrue="1">
      <formula>$A33="Inrvlv"</formula>
    </cfRule>
  </conditionalFormatting>
  <conditionalFormatting sqref="B33:B34">
    <cfRule type="expression" dxfId="1877" priority="1977" stopIfTrue="1">
      <formula>$A33="Tmdpjun"</formula>
    </cfRule>
  </conditionalFormatting>
  <conditionalFormatting sqref="B33:B34">
    <cfRule type="expression" dxfId="1876" priority="1978" stopIfTrue="1">
      <formula>$A33="Pump"</formula>
    </cfRule>
  </conditionalFormatting>
  <conditionalFormatting sqref="B33:B34">
    <cfRule type="expression" dxfId="1875" priority="1979" stopIfTrue="1">
      <formula>$A33="Tmdpvol"</formula>
    </cfRule>
  </conditionalFormatting>
  <conditionalFormatting sqref="B33:B34">
    <cfRule type="expression" dxfId="1874" priority="1980" stopIfTrue="1">
      <formula>$A33="Snglvol"</formula>
    </cfRule>
    <cfRule type="expression" dxfId="1873" priority="1982" stopIfTrue="1">
      <formula>$A33="Init"</formula>
    </cfRule>
    <cfRule type="expression" dxfId="1872" priority="1984" stopIfTrue="1">
      <formula>$A33="Timestep"</formula>
    </cfRule>
    <cfRule type="expression" dxfId="1871" priority="1986" stopIfTrue="1">
      <formula>$A33="Triggerwords"</formula>
    </cfRule>
    <cfRule type="expression" dxfId="1870" priority="1988" stopIfTrue="1">
      <formula>$A33="Tripvar"</formula>
    </cfRule>
  </conditionalFormatting>
  <conditionalFormatting sqref="B35">
    <cfRule type="expression" dxfId="1869" priority="1950" stopIfTrue="1">
      <formula>$A35="Pipe"</formula>
    </cfRule>
  </conditionalFormatting>
  <conditionalFormatting sqref="B35">
    <cfRule type="expression" dxfId="1868" priority="1951" stopIfTrue="1">
      <formula>$A35="Junction"</formula>
    </cfRule>
  </conditionalFormatting>
  <conditionalFormatting sqref="B35">
    <cfRule type="expression" dxfId="1867" priority="1952" stopIfTrue="1">
      <formula>$A35="Sngljun"</formula>
    </cfRule>
  </conditionalFormatting>
  <conditionalFormatting sqref="B35">
    <cfRule type="expression" dxfId="1866" priority="1953" stopIfTrue="1">
      <formula>$A35="Mtrvlv"</formula>
    </cfRule>
  </conditionalFormatting>
  <conditionalFormatting sqref="B35">
    <cfRule type="expression" dxfId="1865" priority="1954" stopIfTrue="1">
      <formula>$A35="Srvvlv"</formula>
    </cfRule>
  </conditionalFormatting>
  <conditionalFormatting sqref="B35">
    <cfRule type="expression" dxfId="1864" priority="1955" stopIfTrue="1">
      <formula>$A35="Chkvlv"</formula>
    </cfRule>
    <cfRule type="expression" dxfId="1863" priority="1961" stopIfTrue="1">
      <formula>$A35="Relapnr"</formula>
    </cfRule>
    <cfRule type="expression" dxfId="1862" priority="1963" stopIfTrue="1">
      <formula>$A35="InitGas"</formula>
    </cfRule>
    <cfRule type="expression" dxfId="1861" priority="1965" stopIfTrue="1">
      <formula>$A35="Replacements"</formula>
    </cfRule>
    <cfRule type="expression" dxfId="1860" priority="1967" stopIfTrue="1">
      <formula>$A35="Custom"</formula>
    </cfRule>
    <cfRule type="expression" dxfId="1859" priority="1969" stopIfTrue="1">
      <formula>$A35="Triplog"</formula>
    </cfRule>
  </conditionalFormatting>
  <conditionalFormatting sqref="B35">
    <cfRule type="expression" dxfId="1858" priority="1956" stopIfTrue="1">
      <formula>$A35="Inrvlv"</formula>
    </cfRule>
  </conditionalFormatting>
  <conditionalFormatting sqref="B35">
    <cfRule type="expression" dxfId="1857" priority="1957" stopIfTrue="1">
      <formula>$A35="Tmdpjun"</formula>
    </cfRule>
  </conditionalFormatting>
  <conditionalFormatting sqref="B35">
    <cfRule type="expression" dxfId="1856" priority="1958" stopIfTrue="1">
      <formula>$A35="Pump"</formula>
    </cfRule>
  </conditionalFormatting>
  <conditionalFormatting sqref="B35">
    <cfRule type="expression" dxfId="1855" priority="1959" stopIfTrue="1">
      <formula>$A35="Tmdpvol"</formula>
    </cfRule>
  </conditionalFormatting>
  <conditionalFormatting sqref="B35">
    <cfRule type="expression" dxfId="1854" priority="1960" stopIfTrue="1">
      <formula>$A35="Snglvol"</formula>
    </cfRule>
    <cfRule type="expression" dxfId="1853" priority="1962" stopIfTrue="1">
      <formula>$A35="Init"</formula>
    </cfRule>
    <cfRule type="expression" dxfId="1852" priority="1964" stopIfTrue="1">
      <formula>$A35="Timestep"</formula>
    </cfRule>
    <cfRule type="expression" dxfId="1851" priority="1966" stopIfTrue="1">
      <formula>$A35="Triggerwords"</formula>
    </cfRule>
    <cfRule type="expression" dxfId="1850" priority="1968" stopIfTrue="1">
      <formula>$A35="Tripvar"</formula>
    </cfRule>
  </conditionalFormatting>
  <conditionalFormatting sqref="B180">
    <cfRule type="expression" dxfId="1849" priority="1930" stopIfTrue="1">
      <formula>$A180="Pipe"</formula>
    </cfRule>
  </conditionalFormatting>
  <conditionalFormatting sqref="B180">
    <cfRule type="expression" dxfId="1848" priority="1931" stopIfTrue="1">
      <formula>$A180="Junction"</formula>
    </cfRule>
  </conditionalFormatting>
  <conditionalFormatting sqref="B180">
    <cfRule type="expression" dxfId="1847" priority="1932" stopIfTrue="1">
      <formula>$A180="Sngljun"</formula>
    </cfRule>
  </conditionalFormatting>
  <conditionalFormatting sqref="B180">
    <cfRule type="expression" dxfId="1846" priority="1933" stopIfTrue="1">
      <formula>$A180="Mtrvlv"</formula>
    </cfRule>
  </conditionalFormatting>
  <conditionalFormatting sqref="B180">
    <cfRule type="expression" dxfId="1845" priority="1934" stopIfTrue="1">
      <formula>$A180="Srvvlv"</formula>
    </cfRule>
  </conditionalFormatting>
  <conditionalFormatting sqref="B180">
    <cfRule type="expression" dxfId="1844" priority="1935" stopIfTrue="1">
      <formula>$A180="Chkvlv"</formula>
    </cfRule>
    <cfRule type="expression" dxfId="1843" priority="1941" stopIfTrue="1">
      <formula>$A180="Relapnr"</formula>
    </cfRule>
    <cfRule type="expression" dxfId="1842" priority="1943" stopIfTrue="1">
      <formula>$A180="InitGas"</formula>
    </cfRule>
    <cfRule type="expression" dxfId="1841" priority="1945" stopIfTrue="1">
      <formula>$A180="Replacements"</formula>
    </cfRule>
    <cfRule type="expression" dxfId="1840" priority="1947" stopIfTrue="1">
      <formula>$A180="Custom"</formula>
    </cfRule>
    <cfRule type="expression" dxfId="1839" priority="1949" stopIfTrue="1">
      <formula>$A180="Triplog"</formula>
    </cfRule>
  </conditionalFormatting>
  <conditionalFormatting sqref="B180">
    <cfRule type="expression" dxfId="1838" priority="1936" stopIfTrue="1">
      <formula>$A180="Inrvlv"</formula>
    </cfRule>
  </conditionalFormatting>
  <conditionalFormatting sqref="B180">
    <cfRule type="expression" dxfId="1837" priority="1937" stopIfTrue="1">
      <formula>$A180="Tmdpjun"</formula>
    </cfRule>
  </conditionalFormatting>
  <conditionalFormatting sqref="B180">
    <cfRule type="expression" dxfId="1836" priority="1938" stopIfTrue="1">
      <formula>$A180="Pump"</formula>
    </cfRule>
  </conditionalFormatting>
  <conditionalFormatting sqref="B180">
    <cfRule type="expression" dxfId="1835" priority="1939" stopIfTrue="1">
      <formula>$A180="Tmdpvol"</formula>
    </cfRule>
  </conditionalFormatting>
  <conditionalFormatting sqref="B180">
    <cfRule type="expression" dxfId="1834" priority="1940" stopIfTrue="1">
      <formula>$A180="Snglvol"</formula>
    </cfRule>
    <cfRule type="expression" dxfId="1833" priority="1942" stopIfTrue="1">
      <formula>$A180="Init"</formula>
    </cfRule>
    <cfRule type="expression" dxfId="1832" priority="1944" stopIfTrue="1">
      <formula>$A180="Timestep"</formula>
    </cfRule>
    <cfRule type="expression" dxfId="1831" priority="1946" stopIfTrue="1">
      <formula>$A180="Triggerwords"</formula>
    </cfRule>
    <cfRule type="expression" dxfId="1830" priority="1948" stopIfTrue="1">
      <formula>$A180="Tripvar"</formula>
    </cfRule>
  </conditionalFormatting>
  <conditionalFormatting sqref="E206">
    <cfRule type="expression" dxfId="1829" priority="1916" stopIfTrue="1">
      <formula>$A206="Pipe"</formula>
    </cfRule>
  </conditionalFormatting>
  <conditionalFormatting sqref="E206">
    <cfRule type="expression" dxfId="1828" priority="1917" stopIfTrue="1">
      <formula>$A206="Junction"</formula>
    </cfRule>
  </conditionalFormatting>
  <conditionalFormatting sqref="E206">
    <cfRule type="expression" dxfId="1827" priority="1918" stopIfTrue="1">
      <formula>$A206="Sngljun"</formula>
    </cfRule>
  </conditionalFormatting>
  <conditionalFormatting sqref="E206">
    <cfRule type="expression" dxfId="1826" priority="1919" stopIfTrue="1">
      <formula>$A206="Mtrvlv"</formula>
    </cfRule>
  </conditionalFormatting>
  <conditionalFormatting sqref="E206">
    <cfRule type="expression" dxfId="1825" priority="1920" stopIfTrue="1">
      <formula>$A206="Srvvlv"</formula>
    </cfRule>
  </conditionalFormatting>
  <conditionalFormatting sqref="E206">
    <cfRule type="expression" dxfId="1824" priority="1921" stopIfTrue="1">
      <formula>$A206="Chkvlv"</formula>
    </cfRule>
  </conditionalFormatting>
  <conditionalFormatting sqref="E206">
    <cfRule type="expression" dxfId="1823" priority="1922" stopIfTrue="1">
      <formula>$A206="Inrvlv"</formula>
    </cfRule>
  </conditionalFormatting>
  <conditionalFormatting sqref="E206">
    <cfRule type="expression" dxfId="1822" priority="1923" stopIfTrue="1">
      <formula>$A206="Tmdpjun"</formula>
    </cfRule>
  </conditionalFormatting>
  <conditionalFormatting sqref="E206">
    <cfRule type="expression" dxfId="1821" priority="1924" stopIfTrue="1">
      <formula>$A206="Pump"</formula>
    </cfRule>
  </conditionalFormatting>
  <conditionalFormatting sqref="E206">
    <cfRule type="expression" dxfId="1820" priority="1925" stopIfTrue="1">
      <formula>$A206="Tmdpvol"</formula>
    </cfRule>
  </conditionalFormatting>
  <conditionalFormatting sqref="E206">
    <cfRule type="expression" dxfId="1819" priority="1926" stopIfTrue="1">
      <formula>$A206="Snglvol"</formula>
    </cfRule>
  </conditionalFormatting>
  <conditionalFormatting sqref="E206">
    <cfRule type="expression" dxfId="1818" priority="1927" stopIfTrue="1">
      <formula>$A206="Timestep"</formula>
    </cfRule>
  </conditionalFormatting>
  <conditionalFormatting sqref="E206">
    <cfRule type="expression" dxfId="1817" priority="1928" stopIfTrue="1">
      <formula>$A206="Tripvar"</formula>
    </cfRule>
  </conditionalFormatting>
  <conditionalFormatting sqref="E206">
    <cfRule type="expression" dxfId="1816" priority="1929" stopIfTrue="1">
      <formula>$A206="Triplog"</formula>
    </cfRule>
  </conditionalFormatting>
  <conditionalFormatting sqref="E235">
    <cfRule type="expression" dxfId="1815" priority="1902" stopIfTrue="1">
      <formula>$A235="Pipe"</formula>
    </cfRule>
  </conditionalFormatting>
  <conditionalFormatting sqref="E235">
    <cfRule type="expression" dxfId="1814" priority="1903" stopIfTrue="1">
      <formula>$A235="Junction"</formula>
    </cfRule>
  </conditionalFormatting>
  <conditionalFormatting sqref="E235">
    <cfRule type="expression" dxfId="1813" priority="1904" stopIfTrue="1">
      <formula>$A235="Sngljun"</formula>
    </cfRule>
  </conditionalFormatting>
  <conditionalFormatting sqref="E235">
    <cfRule type="expression" dxfId="1812" priority="1905" stopIfTrue="1">
      <formula>$A235="Mtrvlv"</formula>
    </cfRule>
  </conditionalFormatting>
  <conditionalFormatting sqref="E235">
    <cfRule type="expression" dxfId="1811" priority="1906" stopIfTrue="1">
      <formula>$A235="Srvvlv"</formula>
    </cfRule>
  </conditionalFormatting>
  <conditionalFormatting sqref="E235">
    <cfRule type="expression" dxfId="1810" priority="1907" stopIfTrue="1">
      <formula>$A235="Chkvlv"</formula>
    </cfRule>
  </conditionalFormatting>
  <conditionalFormatting sqref="E235">
    <cfRule type="expression" dxfId="1809" priority="1908" stopIfTrue="1">
      <formula>$A235="Inrvlv"</formula>
    </cfRule>
  </conditionalFormatting>
  <conditionalFormatting sqref="E235">
    <cfRule type="expression" dxfId="1808" priority="1909" stopIfTrue="1">
      <formula>$A235="Tmdpjun"</formula>
    </cfRule>
  </conditionalFormatting>
  <conditionalFormatting sqref="E235">
    <cfRule type="expression" dxfId="1807" priority="1910" stopIfTrue="1">
      <formula>$A235="Pump"</formula>
    </cfRule>
  </conditionalFormatting>
  <conditionalFormatting sqref="E235">
    <cfRule type="expression" dxfId="1806" priority="1911" stopIfTrue="1">
      <formula>$A235="Tmdpvol"</formula>
    </cfRule>
  </conditionalFormatting>
  <conditionalFormatting sqref="E235">
    <cfRule type="expression" dxfId="1805" priority="1912" stopIfTrue="1">
      <formula>$A235="Snglvol"</formula>
    </cfRule>
  </conditionalFormatting>
  <conditionalFormatting sqref="E235">
    <cfRule type="expression" dxfId="1804" priority="1913" stopIfTrue="1">
      <formula>$A235="Timestep"</formula>
    </cfRule>
  </conditionalFormatting>
  <conditionalFormatting sqref="E235">
    <cfRule type="expression" dxfId="1803" priority="1914" stopIfTrue="1">
      <formula>$A235="Tripvar"</formula>
    </cfRule>
  </conditionalFormatting>
  <conditionalFormatting sqref="E235">
    <cfRule type="expression" dxfId="1802" priority="1915" stopIfTrue="1">
      <formula>$A235="Triplog"</formula>
    </cfRule>
  </conditionalFormatting>
  <conditionalFormatting sqref="E256">
    <cfRule type="expression" dxfId="1801" priority="1888" stopIfTrue="1">
      <formula>$A256="Pipe"</formula>
    </cfRule>
  </conditionalFormatting>
  <conditionalFormatting sqref="E256">
    <cfRule type="expression" dxfId="1800" priority="1889" stopIfTrue="1">
      <formula>$A256="Junction"</formula>
    </cfRule>
  </conditionalFormatting>
  <conditionalFormatting sqref="E256">
    <cfRule type="expression" dxfId="1799" priority="1890" stopIfTrue="1">
      <formula>$A256="Sngljun"</formula>
    </cfRule>
  </conditionalFormatting>
  <conditionalFormatting sqref="E256">
    <cfRule type="expression" dxfId="1798" priority="1891" stopIfTrue="1">
      <formula>$A256="Mtrvlv"</formula>
    </cfRule>
  </conditionalFormatting>
  <conditionalFormatting sqref="E256">
    <cfRule type="expression" dxfId="1797" priority="1892" stopIfTrue="1">
      <formula>$A256="Srvvlv"</formula>
    </cfRule>
  </conditionalFormatting>
  <conditionalFormatting sqref="E256">
    <cfRule type="expression" dxfId="1796" priority="1893" stopIfTrue="1">
      <formula>$A256="Chkvlv"</formula>
    </cfRule>
  </conditionalFormatting>
  <conditionalFormatting sqref="E256">
    <cfRule type="expression" dxfId="1795" priority="1894" stopIfTrue="1">
      <formula>$A256="Inrvlv"</formula>
    </cfRule>
  </conditionalFormatting>
  <conditionalFormatting sqref="E256">
    <cfRule type="expression" dxfId="1794" priority="1895" stopIfTrue="1">
      <formula>$A256="Tmdpjun"</formula>
    </cfRule>
  </conditionalFormatting>
  <conditionalFormatting sqref="E256">
    <cfRule type="expression" dxfId="1793" priority="1896" stopIfTrue="1">
      <formula>$A256="Pump"</formula>
    </cfRule>
  </conditionalFormatting>
  <conditionalFormatting sqref="E256">
    <cfRule type="expression" dxfId="1792" priority="1897" stopIfTrue="1">
      <formula>$A256="Tmdpvol"</formula>
    </cfRule>
  </conditionalFormatting>
  <conditionalFormatting sqref="E256">
    <cfRule type="expression" dxfId="1791" priority="1898" stopIfTrue="1">
      <formula>$A256="Snglvol"</formula>
    </cfRule>
  </conditionalFormatting>
  <conditionalFormatting sqref="E256">
    <cfRule type="expression" dxfId="1790" priority="1899" stopIfTrue="1">
      <formula>$A256="Timestep"</formula>
    </cfRule>
  </conditionalFormatting>
  <conditionalFormatting sqref="E256">
    <cfRule type="expression" dxfId="1789" priority="1900" stopIfTrue="1">
      <formula>$A256="Tripvar"</formula>
    </cfRule>
  </conditionalFormatting>
  <conditionalFormatting sqref="E256">
    <cfRule type="expression" dxfId="1788" priority="1901" stopIfTrue="1">
      <formula>$A256="Triplog"</formula>
    </cfRule>
  </conditionalFormatting>
  <conditionalFormatting sqref="E270">
    <cfRule type="expression" dxfId="1787" priority="1874" stopIfTrue="1">
      <formula>$A270="Pipe"</formula>
    </cfRule>
  </conditionalFormatting>
  <conditionalFormatting sqref="E270">
    <cfRule type="expression" dxfId="1786" priority="1875" stopIfTrue="1">
      <formula>$A270="Junction"</formula>
    </cfRule>
  </conditionalFormatting>
  <conditionalFormatting sqref="E270">
    <cfRule type="expression" dxfId="1785" priority="1876" stopIfTrue="1">
      <formula>$A270="Sngljun"</formula>
    </cfRule>
  </conditionalFormatting>
  <conditionalFormatting sqref="E270">
    <cfRule type="expression" dxfId="1784" priority="1877" stopIfTrue="1">
      <formula>$A270="Mtrvlv"</formula>
    </cfRule>
  </conditionalFormatting>
  <conditionalFormatting sqref="E270">
    <cfRule type="expression" dxfId="1783" priority="1878" stopIfTrue="1">
      <formula>$A270="Srvvlv"</formula>
    </cfRule>
  </conditionalFormatting>
  <conditionalFormatting sqref="E270">
    <cfRule type="expression" dxfId="1782" priority="1879" stopIfTrue="1">
      <formula>$A270="Chkvlv"</formula>
    </cfRule>
  </conditionalFormatting>
  <conditionalFormatting sqref="E270">
    <cfRule type="expression" dxfId="1781" priority="1880" stopIfTrue="1">
      <formula>$A270="Inrvlv"</formula>
    </cfRule>
  </conditionalFormatting>
  <conditionalFormatting sqref="E270">
    <cfRule type="expression" dxfId="1780" priority="1881" stopIfTrue="1">
      <formula>$A270="Tmdpjun"</formula>
    </cfRule>
  </conditionalFormatting>
  <conditionalFormatting sqref="E270">
    <cfRule type="expression" dxfId="1779" priority="1882" stopIfTrue="1">
      <formula>$A270="Pump"</formula>
    </cfRule>
  </conditionalFormatting>
  <conditionalFormatting sqref="E270">
    <cfRule type="expression" dxfId="1778" priority="1883" stopIfTrue="1">
      <formula>$A270="Tmdpvol"</formula>
    </cfRule>
  </conditionalFormatting>
  <conditionalFormatting sqref="E270">
    <cfRule type="expression" dxfId="1777" priority="1884" stopIfTrue="1">
      <formula>$A270="Snglvol"</formula>
    </cfRule>
  </conditionalFormatting>
  <conditionalFormatting sqref="E270">
    <cfRule type="expression" dxfId="1776" priority="1885" stopIfTrue="1">
      <formula>$A270="Timestep"</formula>
    </cfRule>
  </conditionalFormatting>
  <conditionalFormatting sqref="E270">
    <cfRule type="expression" dxfId="1775" priority="1886" stopIfTrue="1">
      <formula>$A270="Tripvar"</formula>
    </cfRule>
  </conditionalFormatting>
  <conditionalFormatting sqref="E270">
    <cfRule type="expression" dxfId="1774" priority="1887" stopIfTrue="1">
      <formula>$A270="Triplog"</formula>
    </cfRule>
  </conditionalFormatting>
  <conditionalFormatting sqref="E167">
    <cfRule type="expression" dxfId="1773" priority="1860" stopIfTrue="1">
      <formula>$A167="Pipe"</formula>
    </cfRule>
  </conditionalFormatting>
  <conditionalFormatting sqref="E167">
    <cfRule type="expression" dxfId="1772" priority="1861" stopIfTrue="1">
      <formula>$A167="Junction"</formula>
    </cfRule>
  </conditionalFormatting>
  <conditionalFormatting sqref="E167">
    <cfRule type="expression" dxfId="1771" priority="1862" stopIfTrue="1">
      <formula>$A167="Sngljun"</formula>
    </cfRule>
  </conditionalFormatting>
  <conditionalFormatting sqref="E167">
    <cfRule type="expression" dxfId="1770" priority="1863" stopIfTrue="1">
      <formula>$A167="Mtrvlv"</formula>
    </cfRule>
  </conditionalFormatting>
  <conditionalFormatting sqref="E167">
    <cfRule type="expression" dxfId="1769" priority="1864" stopIfTrue="1">
      <formula>$A167="Srvvlv"</formula>
    </cfRule>
  </conditionalFormatting>
  <conditionalFormatting sqref="E167">
    <cfRule type="expression" dxfId="1768" priority="1865" stopIfTrue="1">
      <formula>$A167="Chkvlv"</formula>
    </cfRule>
  </conditionalFormatting>
  <conditionalFormatting sqref="E167">
    <cfRule type="expression" dxfId="1767" priority="1866" stopIfTrue="1">
      <formula>$A167="Inrvlv"</formula>
    </cfRule>
  </conditionalFormatting>
  <conditionalFormatting sqref="E167">
    <cfRule type="expression" dxfId="1766" priority="1867" stopIfTrue="1">
      <formula>$A167="Tmdpjun"</formula>
    </cfRule>
  </conditionalFormatting>
  <conditionalFormatting sqref="E167">
    <cfRule type="expression" dxfId="1765" priority="1868" stopIfTrue="1">
      <formula>$A167="Pump"</formula>
    </cfRule>
  </conditionalFormatting>
  <conditionalFormatting sqref="E167">
    <cfRule type="expression" dxfId="1764" priority="1869" stopIfTrue="1">
      <formula>$A167="Tmdpvol"</formula>
    </cfRule>
  </conditionalFormatting>
  <conditionalFormatting sqref="E167">
    <cfRule type="expression" dxfId="1763" priority="1870" stopIfTrue="1">
      <formula>$A167="Snglvol"</formula>
    </cfRule>
  </conditionalFormatting>
  <conditionalFormatting sqref="E167">
    <cfRule type="expression" dxfId="1762" priority="1871" stopIfTrue="1">
      <formula>$A167="Timestep"</formula>
    </cfRule>
  </conditionalFormatting>
  <conditionalFormatting sqref="E167">
    <cfRule type="expression" dxfId="1761" priority="1872" stopIfTrue="1">
      <formula>$A167="Tripvar"</formula>
    </cfRule>
  </conditionalFormatting>
  <conditionalFormatting sqref="E167">
    <cfRule type="expression" dxfId="1760" priority="1873" stopIfTrue="1">
      <formula>$A167="Triplog"</formula>
    </cfRule>
  </conditionalFormatting>
  <conditionalFormatting sqref="E57">
    <cfRule type="expression" dxfId="1759" priority="1846" stopIfTrue="1">
      <formula>$A57="Pipe"</formula>
    </cfRule>
  </conditionalFormatting>
  <conditionalFormatting sqref="E57">
    <cfRule type="expression" dxfId="1758" priority="1847" stopIfTrue="1">
      <formula>$A57="Junction"</formula>
    </cfRule>
  </conditionalFormatting>
  <conditionalFormatting sqref="E57">
    <cfRule type="expression" dxfId="1757" priority="1848" stopIfTrue="1">
      <formula>$A57="Sngljun"</formula>
    </cfRule>
  </conditionalFormatting>
  <conditionalFormatting sqref="E57">
    <cfRule type="expression" dxfId="1756" priority="1849" stopIfTrue="1">
      <formula>$A57="Mtrvlv"</formula>
    </cfRule>
  </conditionalFormatting>
  <conditionalFormatting sqref="E57">
    <cfRule type="expression" dxfId="1755" priority="1850" stopIfTrue="1">
      <formula>$A57="Srvvlv"</formula>
    </cfRule>
  </conditionalFormatting>
  <conditionalFormatting sqref="E57">
    <cfRule type="expression" dxfId="1754" priority="1851" stopIfTrue="1">
      <formula>$A57="Chkvlv"</formula>
    </cfRule>
  </conditionalFormatting>
  <conditionalFormatting sqref="E57">
    <cfRule type="expression" dxfId="1753" priority="1852" stopIfTrue="1">
      <formula>$A57="Inrvlv"</formula>
    </cfRule>
  </conditionalFormatting>
  <conditionalFormatting sqref="E57">
    <cfRule type="expression" dxfId="1752" priority="1853" stopIfTrue="1">
      <formula>$A57="Tmdpjun"</formula>
    </cfRule>
  </conditionalFormatting>
  <conditionalFormatting sqref="E57">
    <cfRule type="expression" dxfId="1751" priority="1854" stopIfTrue="1">
      <formula>$A57="Pump"</formula>
    </cfRule>
  </conditionalFormatting>
  <conditionalFormatting sqref="E57">
    <cfRule type="expression" dxfId="1750" priority="1855" stopIfTrue="1">
      <formula>$A57="Tmdpvol"</formula>
    </cfRule>
  </conditionalFormatting>
  <conditionalFormatting sqref="E57">
    <cfRule type="expression" dxfId="1749" priority="1856" stopIfTrue="1">
      <formula>$A57="Snglvol"</formula>
    </cfRule>
  </conditionalFormatting>
  <conditionalFormatting sqref="E57">
    <cfRule type="expression" dxfId="1748" priority="1857" stopIfTrue="1">
      <formula>$A57="Timestep"</formula>
    </cfRule>
  </conditionalFormatting>
  <conditionalFormatting sqref="E57">
    <cfRule type="expression" dxfId="1747" priority="1858" stopIfTrue="1">
      <formula>$A57="Tripvar"</formula>
    </cfRule>
  </conditionalFormatting>
  <conditionalFormatting sqref="E57">
    <cfRule type="expression" dxfId="1746" priority="1859" stopIfTrue="1">
      <formula>$A57="Triplog"</formula>
    </cfRule>
  </conditionalFormatting>
  <conditionalFormatting sqref="T139">
    <cfRule type="expression" dxfId="1745" priority="1835" stopIfTrue="1">
      <formula>$A139="Mtrvlv"</formula>
    </cfRule>
  </conditionalFormatting>
  <conditionalFormatting sqref="T139">
    <cfRule type="expression" dxfId="1744" priority="1836" stopIfTrue="1">
      <formula>$A139="Srvvlv"</formula>
    </cfRule>
  </conditionalFormatting>
  <conditionalFormatting sqref="T139">
    <cfRule type="expression" dxfId="1743" priority="1837" stopIfTrue="1">
      <formula>$A139="Chkvlv"</formula>
    </cfRule>
  </conditionalFormatting>
  <conditionalFormatting sqref="T139">
    <cfRule type="expression" dxfId="1742" priority="1838" stopIfTrue="1">
      <formula>$A139="Inrvlv"</formula>
    </cfRule>
  </conditionalFormatting>
  <conditionalFormatting sqref="T139">
    <cfRule type="expression" dxfId="1741" priority="1839" stopIfTrue="1">
      <formula>$A139="Tmdpjun"</formula>
    </cfRule>
  </conditionalFormatting>
  <conditionalFormatting sqref="T139">
    <cfRule type="expression" dxfId="1740" priority="1840" stopIfTrue="1">
      <formula>$A139="Pump"</formula>
    </cfRule>
  </conditionalFormatting>
  <conditionalFormatting sqref="T139">
    <cfRule type="expression" dxfId="1739" priority="1841" stopIfTrue="1">
      <formula>$A139="Pipe"</formula>
    </cfRule>
  </conditionalFormatting>
  <conditionalFormatting sqref="T139">
    <cfRule type="expression" dxfId="1738" priority="1842" stopIfTrue="1">
      <formula>$A139="Junction"</formula>
    </cfRule>
  </conditionalFormatting>
  <conditionalFormatting sqref="T139">
    <cfRule type="expression" dxfId="1737" priority="1843" stopIfTrue="1">
      <formula>$A139="Sngljun"</formula>
    </cfRule>
  </conditionalFormatting>
  <conditionalFormatting sqref="T139">
    <cfRule type="expression" dxfId="1736" priority="1844" stopIfTrue="1">
      <formula>$A139="Tmdpvol"</formula>
    </cfRule>
  </conditionalFormatting>
  <conditionalFormatting sqref="T139">
    <cfRule type="expression" dxfId="1735" priority="1845" stopIfTrue="1">
      <formula>$A139="Snglvol"</formula>
    </cfRule>
  </conditionalFormatting>
  <conditionalFormatting sqref="A43:A46 A50">
    <cfRule type="expression" dxfId="1734" priority="1795" stopIfTrue="1">
      <formula>$A43="Pipe"</formula>
    </cfRule>
  </conditionalFormatting>
  <conditionalFormatting sqref="B43:B46 B50">
    <cfRule type="expression" dxfId="1733" priority="1796" stopIfTrue="1">
      <formula>$A43="Pipe"</formula>
    </cfRule>
  </conditionalFormatting>
  <conditionalFormatting sqref="A43:A46 A50">
    <cfRule type="expression" dxfId="1732" priority="1797" stopIfTrue="1">
      <formula>$A43="Junction"</formula>
    </cfRule>
  </conditionalFormatting>
  <conditionalFormatting sqref="B43:B46 B50">
    <cfRule type="expression" dxfId="1731" priority="1798" stopIfTrue="1">
      <formula>$A43="Junction"</formula>
    </cfRule>
  </conditionalFormatting>
  <conditionalFormatting sqref="A43:A46 A50">
    <cfRule type="expression" dxfId="1730" priority="1799" stopIfTrue="1">
      <formula>$A43="Sngljun"</formula>
    </cfRule>
  </conditionalFormatting>
  <conditionalFormatting sqref="B43:B46 B50">
    <cfRule type="expression" dxfId="1729" priority="1800" stopIfTrue="1">
      <formula>$A43="Sngljun"</formula>
    </cfRule>
  </conditionalFormatting>
  <conditionalFormatting sqref="A43:A46 A50">
    <cfRule type="expression" dxfId="1728" priority="1801" stopIfTrue="1">
      <formula>$A43="Mtrvlv"</formula>
    </cfRule>
  </conditionalFormatting>
  <conditionalFormatting sqref="B43:B46 B50">
    <cfRule type="expression" dxfId="1727" priority="1802" stopIfTrue="1">
      <formula>$A43="Mtrvlv"</formula>
    </cfRule>
  </conditionalFormatting>
  <conditionalFormatting sqref="A43:A46 A50">
    <cfRule type="expression" dxfId="1726" priority="1803" stopIfTrue="1">
      <formula>$A43="Srvvlv"</formula>
    </cfRule>
    <cfRule type="expression" dxfId="1725" priority="1809" stopIfTrue="1">
      <formula>$A43="Tmdpjun"</formula>
    </cfRule>
  </conditionalFormatting>
  <conditionalFormatting sqref="B43:B46 B50">
    <cfRule type="expression" dxfId="1724" priority="1804" stopIfTrue="1">
      <formula>$A43="Srvvlv"</formula>
    </cfRule>
  </conditionalFormatting>
  <conditionalFormatting sqref="A43:A46 A50">
    <cfRule type="expression" dxfId="1723" priority="1805" stopIfTrue="1">
      <formula>$A43="Chkvlv"</formula>
    </cfRule>
  </conditionalFormatting>
  <conditionalFormatting sqref="B43:B46 B50">
    <cfRule type="expression" dxfId="1722" priority="1806" stopIfTrue="1">
      <formula>$A43="Chkvlv"</formula>
    </cfRule>
    <cfRule type="expression" dxfId="1721" priority="1818" stopIfTrue="1">
      <formula>$A43="Relapnr"</formula>
    </cfRule>
    <cfRule type="expression" dxfId="1720" priority="1822" stopIfTrue="1">
      <formula>$A43="InitGas"</formula>
    </cfRule>
    <cfRule type="expression" dxfId="1719" priority="1826" stopIfTrue="1">
      <formula>$A43="Replacements"</formula>
    </cfRule>
    <cfRule type="expression" dxfId="1718" priority="1830" stopIfTrue="1">
      <formula>$A43="Custom"</formula>
    </cfRule>
    <cfRule type="expression" dxfId="1717" priority="1834" stopIfTrue="1">
      <formula>$A43="Triplog"</formula>
    </cfRule>
  </conditionalFormatting>
  <conditionalFormatting sqref="A43:A46 A50">
    <cfRule type="expression" dxfId="1716" priority="1807" stopIfTrue="1">
      <formula>$A43="Inrvlv"</formula>
    </cfRule>
  </conditionalFormatting>
  <conditionalFormatting sqref="B43:B46 B50">
    <cfRule type="expression" dxfId="1715" priority="1808" stopIfTrue="1">
      <formula>$A43="Inrvlv"</formula>
    </cfRule>
  </conditionalFormatting>
  <conditionalFormatting sqref="B43:B46 B50">
    <cfRule type="expression" dxfId="1714" priority="1810" stopIfTrue="1">
      <formula>$A43="Tmdpjun"</formula>
    </cfRule>
  </conditionalFormatting>
  <conditionalFormatting sqref="A43:A46 A50">
    <cfRule type="expression" dxfId="1713" priority="1811" stopIfTrue="1">
      <formula>$A43="Pump"</formula>
    </cfRule>
  </conditionalFormatting>
  <conditionalFormatting sqref="B43:B46 B50">
    <cfRule type="expression" dxfId="1712" priority="1812" stopIfTrue="1">
      <formula>$A43="Pump"</formula>
    </cfRule>
  </conditionalFormatting>
  <conditionalFormatting sqref="A43:A46 A50">
    <cfRule type="expression" dxfId="1711" priority="1813" stopIfTrue="1">
      <formula>$A43="Tmdpvol"</formula>
    </cfRule>
  </conditionalFormatting>
  <conditionalFormatting sqref="B43:B46 B50">
    <cfRule type="expression" dxfId="1710" priority="1814" stopIfTrue="1">
      <formula>$A43="Tmdpvol"</formula>
    </cfRule>
  </conditionalFormatting>
  <conditionalFormatting sqref="A43:A46 A50">
    <cfRule type="expression" dxfId="1709" priority="1815" stopIfTrue="1">
      <formula>$A43="Snglvol"</formula>
    </cfRule>
  </conditionalFormatting>
  <conditionalFormatting sqref="B43:B46 B50">
    <cfRule type="expression" dxfId="1708" priority="1816" stopIfTrue="1">
      <formula>$A43="Snglvol"</formula>
    </cfRule>
    <cfRule type="expression" dxfId="1707" priority="1820" stopIfTrue="1">
      <formula>$A43="Init"</formula>
    </cfRule>
    <cfRule type="expression" dxfId="1706" priority="1824" stopIfTrue="1">
      <formula>$A43="Timestep"</formula>
    </cfRule>
    <cfRule type="expression" dxfId="1705" priority="1828" stopIfTrue="1">
      <formula>$A43="Triggerwords"</formula>
    </cfRule>
    <cfRule type="expression" dxfId="1704" priority="1832" stopIfTrue="1">
      <formula>$A43="Tripvar"</formula>
    </cfRule>
  </conditionalFormatting>
  <conditionalFormatting sqref="A43:A46 A50">
    <cfRule type="expression" dxfId="1703" priority="1817" stopIfTrue="1">
      <formula>$A43="Relapnr"</formula>
    </cfRule>
  </conditionalFormatting>
  <conditionalFormatting sqref="A43:A46 A50">
    <cfRule type="expression" dxfId="1702" priority="1819" stopIfTrue="1">
      <formula>$A43="Init"</formula>
    </cfRule>
  </conditionalFormatting>
  <conditionalFormatting sqref="A43:A46 A50">
    <cfRule type="expression" dxfId="1701" priority="1821" stopIfTrue="1">
      <formula>$A43="InitGas"</formula>
    </cfRule>
  </conditionalFormatting>
  <conditionalFormatting sqref="A43:A46 A50">
    <cfRule type="expression" dxfId="1700" priority="1823" stopIfTrue="1">
      <formula>$A43="Timestep"</formula>
    </cfRule>
  </conditionalFormatting>
  <conditionalFormatting sqref="A43:A46 A50">
    <cfRule type="expression" dxfId="1699" priority="1825" stopIfTrue="1">
      <formula>$A43="Replacements"</formula>
    </cfRule>
  </conditionalFormatting>
  <conditionalFormatting sqref="A43:A46 A50">
    <cfRule type="expression" dxfId="1698" priority="1827" stopIfTrue="1">
      <formula>$A43="Triggerwords"</formula>
    </cfRule>
  </conditionalFormatting>
  <conditionalFormatting sqref="A43:A46 A50">
    <cfRule type="expression" dxfId="1697" priority="1829" stopIfTrue="1">
      <formula>$A43="Custom"</formula>
    </cfRule>
  </conditionalFormatting>
  <conditionalFormatting sqref="A43:A46 A50">
    <cfRule type="expression" dxfId="1696" priority="1831" stopIfTrue="1">
      <formula>$A43="Tripvar"</formula>
    </cfRule>
  </conditionalFormatting>
  <conditionalFormatting sqref="A43:A46 A50">
    <cfRule type="expression" dxfId="1695" priority="1833" stopIfTrue="1">
      <formula>$A43="Triplog"</formula>
    </cfRule>
  </conditionalFormatting>
  <conditionalFormatting sqref="K104:K107 K113">
    <cfRule type="expression" dxfId="1694" priority="1784" stopIfTrue="1">
      <formula>$A104="Pipe"</formula>
    </cfRule>
  </conditionalFormatting>
  <conditionalFormatting sqref="K104:K107 K113">
    <cfRule type="expression" dxfId="1693" priority="1785" stopIfTrue="1">
      <formula>$A104="Junction"</formula>
    </cfRule>
  </conditionalFormatting>
  <conditionalFormatting sqref="K104:K107 K113">
    <cfRule type="expression" dxfId="1692" priority="1786" stopIfTrue="1">
      <formula>$A104="Mtrvlv"</formula>
    </cfRule>
  </conditionalFormatting>
  <conditionalFormatting sqref="K104:K107 K113">
    <cfRule type="expression" dxfId="1691" priority="1787" stopIfTrue="1">
      <formula>$A104="Srvvlv"</formula>
    </cfRule>
  </conditionalFormatting>
  <conditionalFormatting sqref="K104:K107 K113">
    <cfRule type="expression" dxfId="1690" priority="1788" stopIfTrue="1">
      <formula>$A104="Inrvlv"</formula>
    </cfRule>
  </conditionalFormatting>
  <conditionalFormatting sqref="K104:K107 K113">
    <cfRule type="expression" dxfId="1689" priority="1789" stopIfTrue="1">
      <formula>$A104="Tmdpjun"</formula>
    </cfRule>
  </conditionalFormatting>
  <conditionalFormatting sqref="K104:K107 K113">
    <cfRule type="expression" dxfId="1688" priority="1790" stopIfTrue="1">
      <formula>$A104="Pump"</formula>
    </cfRule>
  </conditionalFormatting>
  <conditionalFormatting sqref="K104:K107 K113">
    <cfRule type="expression" dxfId="1687" priority="1791" stopIfTrue="1">
      <formula>$A104="Tmdpvol"</formula>
    </cfRule>
  </conditionalFormatting>
  <conditionalFormatting sqref="K104:K107 K113">
    <cfRule type="expression" dxfId="1686" priority="1792" stopIfTrue="1">
      <formula>$A104="Sngljun"</formula>
    </cfRule>
  </conditionalFormatting>
  <conditionalFormatting sqref="K104:K107 K113">
    <cfRule type="expression" dxfId="1685" priority="1793" stopIfTrue="1">
      <formula>$A104="Chkvlv"</formula>
    </cfRule>
    <cfRule type="expression" dxfId="1684" priority="1794" stopIfTrue="1">
      <formula>$A104="Snglvol"</formula>
    </cfRule>
  </conditionalFormatting>
  <conditionalFormatting sqref="U103:V103 Q103 A103:D103 F103:J103">
    <cfRule type="expression" dxfId="1683" priority="1716" stopIfTrue="1">
      <formula>$A103="Pipe"</formula>
    </cfRule>
  </conditionalFormatting>
  <conditionalFormatting sqref="M103:P103 U103:V103 A103:B103 H103:J103">
    <cfRule type="expression" dxfId="1682" priority="1717" stopIfTrue="1">
      <formula>$A103="Junction"</formula>
    </cfRule>
  </conditionalFormatting>
  <conditionalFormatting sqref="M103:P103 T103:V103 A103:B103 H103:J103">
    <cfRule type="expression" dxfId="1681" priority="1718" stopIfTrue="1">
      <formula>$A103="Mtrvlv"</formula>
    </cfRule>
  </conditionalFormatting>
  <conditionalFormatting sqref="M103:P103 T103:V103 B103 H103:J103">
    <cfRule type="expression" dxfId="1680" priority="1719" stopIfTrue="1">
      <formula>$A103="Srvvlv"</formula>
    </cfRule>
  </conditionalFormatting>
  <conditionalFormatting sqref="V103 T103 N103:P103 A103 H103:J103">
    <cfRule type="expression" dxfId="1679" priority="1720" stopIfTrue="1">
      <formula>$A103="Chkvlv"</formula>
    </cfRule>
  </conditionalFormatting>
  <conditionalFormatting sqref="M103:P103 T103:V103 A103:B103 H103:J103">
    <cfRule type="expression" dxfId="1678" priority="1721" stopIfTrue="1">
      <formula>$A103="Inrvlv"</formula>
    </cfRule>
  </conditionalFormatting>
  <conditionalFormatting sqref="M103:P103 T103:V103 B103 H103:J103">
    <cfRule type="expression" dxfId="1677" priority="1722" stopIfTrue="1">
      <formula>$A103="Tmdpjun"</formula>
    </cfRule>
  </conditionalFormatting>
  <conditionalFormatting sqref="M103:P103 T103:V103 A103:C103 F103:J103">
    <cfRule type="expression" dxfId="1676" priority="1723" stopIfTrue="1">
      <formula>$A103="Pump"</formula>
    </cfRule>
  </conditionalFormatting>
  <conditionalFormatting sqref="U103:V103 Q103 J103 F103:G103 A103:C103">
    <cfRule type="expression" dxfId="1675" priority="1724" stopIfTrue="1">
      <formula>$A103="Tmdpvol"</formula>
    </cfRule>
  </conditionalFormatting>
  <conditionalFormatting sqref="V103 J103 F103:G103 A103">
    <cfRule type="expression" dxfId="1674" priority="1725" stopIfTrue="1">
      <formula>$A103="Snglvol"</formula>
    </cfRule>
  </conditionalFormatting>
  <conditionalFormatting sqref="M103:P103 U103:V103 A103:B103 H103:J103">
    <cfRule type="expression" dxfId="1673" priority="1726" stopIfTrue="1">
      <formula>$A103="Sngljun"</formula>
    </cfRule>
  </conditionalFormatting>
  <conditionalFormatting sqref="M103:P103 R103:T103">
    <cfRule type="expression" dxfId="1672" priority="1727" stopIfTrue="1">
      <formula>$A103="Pipe"</formula>
    </cfRule>
  </conditionalFormatting>
  <conditionalFormatting sqref="C103">
    <cfRule type="expression" dxfId="1671" priority="1728" stopIfTrue="1">
      <formula>$A103="Junction"</formula>
    </cfRule>
    <cfRule type="expression" dxfId="1670" priority="1754" stopIfTrue="1">
      <formula>$A103="Snglvol"</formula>
    </cfRule>
    <cfRule type="expression" dxfId="1669" priority="1767" stopIfTrue="1">
      <formula>$A103="InitGas"</formula>
    </cfRule>
    <cfRule type="expression" dxfId="1668" priority="1779" stopIfTrue="1">
      <formula>$A103="Tripvar"</formula>
    </cfRule>
  </conditionalFormatting>
  <conditionalFormatting sqref="Q103:T103 F103:G103 D103">
    <cfRule type="expression" dxfId="1667" priority="1729" stopIfTrue="1">
      <formula>$A103="Junction"</formula>
    </cfRule>
  </conditionalFormatting>
  <conditionalFormatting sqref="Q103:T103 F103:G103 C103:D103">
    <cfRule type="expression" dxfId="1666" priority="1730" stopIfTrue="1">
      <formula>$A103="Sngljun"</formula>
    </cfRule>
  </conditionalFormatting>
  <conditionalFormatting sqref="Q103:S103 F103:G103 C103:D103">
    <cfRule type="expression" dxfId="1665" priority="1731" stopIfTrue="1">
      <formula>$A103="Mtrvlv"</formula>
    </cfRule>
  </conditionalFormatting>
  <conditionalFormatting sqref="A103">
    <cfRule type="expression" dxfId="1664" priority="1732" stopIfTrue="1">
      <formula>$A103="Srvvlv"</formula>
    </cfRule>
    <cfRule type="expression" dxfId="1663" priority="1743" stopIfTrue="1">
      <formula>$A103="Tmdpjun"</formula>
    </cfRule>
  </conditionalFormatting>
  <conditionalFormatting sqref="S103 Q103 F103:G103 C103:D103">
    <cfRule type="expression" dxfId="1662" priority="1733" stopIfTrue="1">
      <formula>$A103="Srvvlv"</formula>
    </cfRule>
  </conditionalFormatting>
  <conditionalFormatting sqref="R103">
    <cfRule type="expression" dxfId="1661" priority="1734" stopIfTrue="1">
      <formula>$A103="Srvvlv"</formula>
    </cfRule>
    <cfRule type="expression" dxfId="1660" priority="1745" stopIfTrue="1">
      <formula>$A103="Tmdpjun"</formula>
    </cfRule>
    <cfRule type="expression" dxfId="1659" priority="1748" stopIfTrue="1">
      <formula>$A103="Pump"</formula>
    </cfRule>
    <cfRule type="expression" dxfId="1658" priority="1751" stopIfTrue="1">
      <formula>$A103="Tmdpvol"</formula>
    </cfRule>
    <cfRule type="expression" dxfId="1657" priority="1758" stopIfTrue="1">
      <formula>$A103="Snglvol"</formula>
    </cfRule>
  </conditionalFormatting>
  <conditionalFormatting sqref="B103">
    <cfRule type="expression" dxfId="1656" priority="1735" stopIfTrue="1">
      <formula>$A103="Chkvlv"</formula>
    </cfRule>
    <cfRule type="expression" dxfId="1655" priority="1761" stopIfTrue="1">
      <formula>$A103="Relapnr"</formula>
    </cfRule>
    <cfRule type="expression" dxfId="1654" priority="1766" stopIfTrue="1">
      <formula>$A103="InitGas"</formula>
    </cfRule>
    <cfRule type="expression" dxfId="1653" priority="1772" stopIfTrue="1">
      <formula>$A103="Replacements"</formula>
    </cfRule>
    <cfRule type="expression" dxfId="1652" priority="1776" stopIfTrue="1">
      <formula>$A103="Custom"</formula>
    </cfRule>
    <cfRule type="expression" dxfId="1651" priority="1781" stopIfTrue="1">
      <formula>$A103="Triplog"</formula>
    </cfRule>
  </conditionalFormatting>
  <conditionalFormatting sqref="C103 Q103:S103 F103:G103">
    <cfRule type="expression" dxfId="1650" priority="1736" stopIfTrue="1">
      <formula>$A103="Chkvlv"</formula>
    </cfRule>
  </conditionalFormatting>
  <conditionalFormatting sqref="D103">
    <cfRule type="expression" dxfId="1649" priority="1737" stopIfTrue="1">
      <formula>$A103="Chkvlv"</formula>
    </cfRule>
    <cfRule type="expression" dxfId="1648" priority="1783" stopIfTrue="1">
      <formula>$A103="Triplog"</formula>
    </cfRule>
  </conditionalFormatting>
  <conditionalFormatting sqref="U103">
    <cfRule type="expression" dxfId="1647" priority="1738" stopIfTrue="1">
      <formula>$A103="Chkvlv"</formula>
    </cfRule>
    <cfRule type="expression" dxfId="1646" priority="1756" stopIfTrue="1">
      <formula>$A103="Snglvol"</formula>
    </cfRule>
  </conditionalFormatting>
  <conditionalFormatting sqref="M103">
    <cfRule type="expression" dxfId="1645" priority="1739" stopIfTrue="1">
      <formula>$A103="Chkvlv"</formula>
    </cfRule>
    <cfRule type="expression" dxfId="1644" priority="1757" stopIfTrue="1">
      <formula>$A103="Snglvol"</formula>
    </cfRule>
  </conditionalFormatting>
  <conditionalFormatting sqref="C103">
    <cfRule type="expression" dxfId="1643" priority="1740" stopIfTrue="1">
      <formula>$A103="Inrvlv"</formula>
    </cfRule>
    <cfRule type="expression" dxfId="1642" priority="1764" stopIfTrue="1">
      <formula>$A103="Init"</formula>
    </cfRule>
    <cfRule type="expression" dxfId="1641" priority="1770" stopIfTrue="1">
      <formula>$A103="Timestep"</formula>
    </cfRule>
    <cfRule type="expression" dxfId="1640" priority="1782" stopIfTrue="1">
      <formula>$A103="Triplog"</formula>
    </cfRule>
  </conditionalFormatting>
  <conditionalFormatting sqref="Q103:R103 F103:G103 D103">
    <cfRule type="expression" dxfId="1639" priority="1741" stopIfTrue="1">
      <formula>$A103="Inrvlv"</formula>
    </cfRule>
  </conditionalFormatting>
  <conditionalFormatting sqref="S103">
    <cfRule type="expression" dxfId="1638" priority="1742" stopIfTrue="1">
      <formula>$A103="Inrvlv"</formula>
    </cfRule>
    <cfRule type="expression" dxfId="1637" priority="1746" stopIfTrue="1">
      <formula>$A103="Tmdpjun"</formula>
    </cfRule>
    <cfRule type="expression" dxfId="1636" priority="1749" stopIfTrue="1">
      <formula>$A103="Pump"</formula>
    </cfRule>
    <cfRule type="expression" dxfId="1635" priority="1752" stopIfTrue="1">
      <formula>$A103="Tmdpvol"</formula>
    </cfRule>
    <cfRule type="expression" dxfId="1634" priority="1759" stopIfTrue="1">
      <formula>$A103="Snglvol"</formula>
    </cfRule>
  </conditionalFormatting>
  <conditionalFormatting sqref="Q103 F103:G103 C103:D103">
    <cfRule type="expression" dxfId="1633" priority="1744" stopIfTrue="1">
      <formula>$A103="Tmdpjun"</formula>
    </cfRule>
  </conditionalFormatting>
  <conditionalFormatting sqref="Q103 D103">
    <cfRule type="expression" dxfId="1632" priority="1747" stopIfTrue="1">
      <formula>$A103="Pump"</formula>
    </cfRule>
  </conditionalFormatting>
  <conditionalFormatting sqref="T103 H103:I103 D103 M103:P103">
    <cfRule type="expression" dxfId="1631" priority="1750" stopIfTrue="1">
      <formula>$A103="Tmdpvol"</formula>
    </cfRule>
  </conditionalFormatting>
  <conditionalFormatting sqref="B103">
    <cfRule type="expression" dxfId="1630" priority="1753" stopIfTrue="1">
      <formula>$A103="Snglvol"</formula>
    </cfRule>
    <cfRule type="expression" dxfId="1629" priority="1763" stopIfTrue="1">
      <formula>$A103="Init"</formula>
    </cfRule>
    <cfRule type="expression" dxfId="1628" priority="1769" stopIfTrue="1">
      <formula>$A103="Timestep"</formula>
    </cfRule>
    <cfRule type="expression" dxfId="1627" priority="1774" stopIfTrue="1">
      <formula>$A103="Triggerwords"</formula>
    </cfRule>
    <cfRule type="expression" dxfId="1626" priority="1778" stopIfTrue="1">
      <formula>$A103="Tripvar"</formula>
    </cfRule>
  </conditionalFormatting>
  <conditionalFormatting sqref="T103 N103:Q103 H103:I103 D103">
    <cfRule type="expression" dxfId="1625" priority="1755" stopIfTrue="1">
      <formula>$A103="Snglvol"</formula>
    </cfRule>
  </conditionalFormatting>
  <conditionalFormatting sqref="A103">
    <cfRule type="expression" dxfId="1624" priority="1760" stopIfTrue="1">
      <formula>$A103="Relapnr"</formula>
    </cfRule>
  </conditionalFormatting>
  <conditionalFormatting sqref="A103">
    <cfRule type="expression" dxfId="1623" priority="1762" stopIfTrue="1">
      <formula>$A103="Init"</formula>
    </cfRule>
  </conditionalFormatting>
  <conditionalFormatting sqref="A103">
    <cfRule type="expression" dxfId="1622" priority="1765" stopIfTrue="1">
      <formula>$A103="InitGas"</formula>
    </cfRule>
  </conditionalFormatting>
  <conditionalFormatting sqref="A103 D103">
    <cfRule type="expression" dxfId="1621" priority="1768" stopIfTrue="1">
      <formula>$A103="Timestep"</formula>
    </cfRule>
  </conditionalFormatting>
  <conditionalFormatting sqref="A103">
    <cfRule type="expression" dxfId="1620" priority="1771" stopIfTrue="1">
      <formula>$A103="Replacements"</formula>
    </cfRule>
  </conditionalFormatting>
  <conditionalFormatting sqref="A103">
    <cfRule type="expression" dxfId="1619" priority="1773" stopIfTrue="1">
      <formula>$A103="Triggerwords"</formula>
    </cfRule>
  </conditionalFormatting>
  <conditionalFormatting sqref="A103">
    <cfRule type="expression" dxfId="1618" priority="1775" stopIfTrue="1">
      <formula>$A103="Custom"</formula>
    </cfRule>
  </conditionalFormatting>
  <conditionalFormatting sqref="A103 F103:I103 D103">
    <cfRule type="expression" dxfId="1617" priority="1777" stopIfTrue="1">
      <formula>$A103="Tripvar"</formula>
    </cfRule>
  </conditionalFormatting>
  <conditionalFormatting sqref="A103 F103">
    <cfRule type="expression" dxfId="1616" priority="1780" stopIfTrue="1">
      <formula>$A103="Triplog"</formula>
    </cfRule>
  </conditionalFormatting>
  <conditionalFormatting sqref="L103">
    <cfRule type="expression" dxfId="1615" priority="1705" stopIfTrue="1">
      <formula>$A103="Pipe"</formula>
    </cfRule>
  </conditionalFormatting>
  <conditionalFormatting sqref="L103">
    <cfRule type="expression" dxfId="1614" priority="1706" stopIfTrue="1">
      <formula>$A103="Junction"</formula>
    </cfRule>
  </conditionalFormatting>
  <conditionalFormatting sqref="L103">
    <cfRule type="expression" dxfId="1613" priority="1707" stopIfTrue="1">
      <formula>$A103="Sngljun"</formula>
    </cfRule>
  </conditionalFormatting>
  <conditionalFormatting sqref="L103">
    <cfRule type="expression" dxfId="1612" priority="1708" stopIfTrue="1">
      <formula>$A103="Mtrvlv"</formula>
    </cfRule>
  </conditionalFormatting>
  <conditionalFormatting sqref="L103">
    <cfRule type="expression" dxfId="1611" priority="1709" stopIfTrue="1">
      <formula>$A103="Srvvlv"</formula>
    </cfRule>
  </conditionalFormatting>
  <conditionalFormatting sqref="L103">
    <cfRule type="expression" dxfId="1610" priority="1710" stopIfTrue="1">
      <formula>$A103="Chkvlv"</formula>
    </cfRule>
  </conditionalFormatting>
  <conditionalFormatting sqref="L103">
    <cfRule type="expression" dxfId="1609" priority="1711" stopIfTrue="1">
      <formula>$A103="Inrvlv"</formula>
    </cfRule>
  </conditionalFormatting>
  <conditionalFormatting sqref="L103">
    <cfRule type="expression" dxfId="1608" priority="1712" stopIfTrue="1">
      <formula>$A103="Tmdpjun"</formula>
    </cfRule>
  </conditionalFormatting>
  <conditionalFormatting sqref="L103">
    <cfRule type="expression" dxfId="1607" priority="1713" stopIfTrue="1">
      <formula>$A103="Pump"</formula>
    </cfRule>
  </conditionalFormatting>
  <conditionalFormatting sqref="L103">
    <cfRule type="expression" dxfId="1606" priority="1714" stopIfTrue="1">
      <formula>$A103="Tmdpvol"</formula>
    </cfRule>
  </conditionalFormatting>
  <conditionalFormatting sqref="L103">
    <cfRule type="expression" dxfId="1605" priority="1715" stopIfTrue="1">
      <formula>$A103="Snglvol"</formula>
    </cfRule>
  </conditionalFormatting>
  <conditionalFormatting sqref="K108:K109">
    <cfRule type="expression" dxfId="1604" priority="1469" stopIfTrue="1">
      <formula>$A108="Pipe"</formula>
    </cfRule>
  </conditionalFormatting>
  <conditionalFormatting sqref="K108:K109">
    <cfRule type="expression" dxfId="1603" priority="1470" stopIfTrue="1">
      <formula>$A108="Junction"</formula>
    </cfRule>
  </conditionalFormatting>
  <conditionalFormatting sqref="E114:E115">
    <cfRule type="expression" dxfId="1602" priority="1119" stopIfTrue="1">
      <formula>$A114="Sngljun"</formula>
    </cfRule>
  </conditionalFormatting>
  <conditionalFormatting sqref="E114:E115">
    <cfRule type="expression" dxfId="1601" priority="1120" stopIfTrue="1">
      <formula>$A114="Mtrvlv"</formula>
    </cfRule>
  </conditionalFormatting>
  <conditionalFormatting sqref="E114:E115">
    <cfRule type="expression" dxfId="1600" priority="1121" stopIfTrue="1">
      <formula>$A114="Srvvlv"</formula>
    </cfRule>
  </conditionalFormatting>
  <conditionalFormatting sqref="E114:E115">
    <cfRule type="expression" dxfId="1599" priority="1122" stopIfTrue="1">
      <formula>$A114="Chkvlv"</formula>
    </cfRule>
  </conditionalFormatting>
  <conditionalFormatting sqref="E114:E115">
    <cfRule type="expression" dxfId="1598" priority="1123" stopIfTrue="1">
      <formula>$A114="Inrvlv"</formula>
    </cfRule>
  </conditionalFormatting>
  <conditionalFormatting sqref="E114:E115">
    <cfRule type="expression" dxfId="1597" priority="1124" stopIfTrue="1">
      <formula>$A114="Tmdpjun"</formula>
    </cfRule>
  </conditionalFormatting>
  <conditionalFormatting sqref="E114:E115">
    <cfRule type="expression" dxfId="1596" priority="1125" stopIfTrue="1">
      <formula>$A114="Pump"</formula>
    </cfRule>
  </conditionalFormatting>
  <conditionalFormatting sqref="E114:E115">
    <cfRule type="expression" dxfId="1595" priority="1126" stopIfTrue="1">
      <formula>$A114="Tmdpvol"</formula>
    </cfRule>
  </conditionalFormatting>
  <conditionalFormatting sqref="E114:E115">
    <cfRule type="expression" dxfId="1594" priority="1127" stopIfTrue="1">
      <formula>$A114="Snglvol"</formula>
    </cfRule>
  </conditionalFormatting>
  <conditionalFormatting sqref="E114:E115">
    <cfRule type="expression" dxfId="1593" priority="1128" stopIfTrue="1">
      <formula>$A114="Timestep"</formula>
    </cfRule>
  </conditionalFormatting>
  <conditionalFormatting sqref="E114:E115">
    <cfRule type="expression" dxfId="1592" priority="1129" stopIfTrue="1">
      <formula>$A114="Tripvar"</formula>
    </cfRule>
  </conditionalFormatting>
  <conditionalFormatting sqref="E114:E115">
    <cfRule type="expression" dxfId="1591" priority="1130" stopIfTrue="1">
      <formula>$A114="Triplog"</formula>
    </cfRule>
  </conditionalFormatting>
  <conditionalFormatting sqref="K103">
    <cfRule type="expression" dxfId="1590" priority="1680" stopIfTrue="1">
      <formula>$A103="Pipe"</formula>
    </cfRule>
  </conditionalFormatting>
  <conditionalFormatting sqref="K103">
    <cfRule type="expression" dxfId="1589" priority="1681" stopIfTrue="1">
      <formula>$A103="Junction"</formula>
    </cfRule>
  </conditionalFormatting>
  <conditionalFormatting sqref="K103">
    <cfRule type="expression" dxfId="1588" priority="1682" stopIfTrue="1">
      <formula>$A103="Mtrvlv"</formula>
    </cfRule>
  </conditionalFormatting>
  <conditionalFormatting sqref="K103">
    <cfRule type="expression" dxfId="1587" priority="1683" stopIfTrue="1">
      <formula>$A103="Srvvlv"</formula>
    </cfRule>
  </conditionalFormatting>
  <conditionalFormatting sqref="K103">
    <cfRule type="expression" dxfId="1586" priority="1684" stopIfTrue="1">
      <formula>$A103="Inrvlv"</formula>
    </cfRule>
  </conditionalFormatting>
  <conditionalFormatting sqref="K103">
    <cfRule type="expression" dxfId="1585" priority="1685" stopIfTrue="1">
      <formula>$A103="Tmdpjun"</formula>
    </cfRule>
  </conditionalFormatting>
  <conditionalFormatting sqref="K103">
    <cfRule type="expression" dxfId="1584" priority="1686" stopIfTrue="1">
      <formula>$A103="Pump"</formula>
    </cfRule>
  </conditionalFormatting>
  <conditionalFormatting sqref="K103">
    <cfRule type="expression" dxfId="1583" priority="1687" stopIfTrue="1">
      <formula>$A103="Tmdpvol"</formula>
    </cfRule>
  </conditionalFormatting>
  <conditionalFormatting sqref="K103">
    <cfRule type="expression" dxfId="1582" priority="1688" stopIfTrue="1">
      <formula>$A103="Sngljun"</formula>
    </cfRule>
  </conditionalFormatting>
  <conditionalFormatting sqref="K103">
    <cfRule type="expression" dxfId="1581" priority="1689" stopIfTrue="1">
      <formula>$A103="Chkvlv"</formula>
    </cfRule>
    <cfRule type="expression" dxfId="1580" priority="1690" stopIfTrue="1">
      <formula>$A103="Snglvol"</formula>
    </cfRule>
  </conditionalFormatting>
  <conditionalFormatting sqref="A101 F101">
    <cfRule type="expression" dxfId="1579" priority="1676" stopIfTrue="1">
      <formula>$A101="Triplog"</formula>
    </cfRule>
  </conditionalFormatting>
  <conditionalFormatting sqref="U101:V101 Q101 A101:D101 F101:K101">
    <cfRule type="expression" dxfId="1578" priority="1612" stopIfTrue="1">
      <formula>$A101="Pipe"</formula>
    </cfRule>
  </conditionalFormatting>
  <conditionalFormatting sqref="M101:P101 U101:V101 A101:B101 H101:K101">
    <cfRule type="expression" dxfId="1577" priority="1613" stopIfTrue="1">
      <formula>$A101="Junction"</formula>
    </cfRule>
  </conditionalFormatting>
  <conditionalFormatting sqref="M101:P101 T101:V101 A101:B101 H101:K101">
    <cfRule type="expression" dxfId="1576" priority="1614" stopIfTrue="1">
      <formula>$A101="Mtrvlv"</formula>
    </cfRule>
  </conditionalFormatting>
  <conditionalFormatting sqref="M101:P101 T101:V101 B101 H101:K101">
    <cfRule type="expression" dxfId="1575" priority="1615" stopIfTrue="1">
      <formula>$A101="Srvvlv"</formula>
    </cfRule>
  </conditionalFormatting>
  <conditionalFormatting sqref="V101 T101 N101:P101 A101 H101:J101">
    <cfRule type="expression" dxfId="1574" priority="1616" stopIfTrue="1">
      <formula>$A101="Chkvlv"</formula>
    </cfRule>
  </conditionalFormatting>
  <conditionalFormatting sqref="M101:P101 T101:V101 A101:B101 H101:K101">
    <cfRule type="expression" dxfId="1573" priority="1617" stopIfTrue="1">
      <formula>$A101="Inrvlv"</formula>
    </cfRule>
  </conditionalFormatting>
  <conditionalFormatting sqref="M101:P101 T101:V101 B101 H101:K101">
    <cfRule type="expression" dxfId="1572" priority="1618" stopIfTrue="1">
      <formula>$A101="Tmdpjun"</formula>
    </cfRule>
  </conditionalFormatting>
  <conditionalFormatting sqref="M101:P101 T101:V101 A101:C101 F101:K101">
    <cfRule type="expression" dxfId="1571" priority="1619" stopIfTrue="1">
      <formula>$A101="Pump"</formula>
    </cfRule>
  </conditionalFormatting>
  <conditionalFormatting sqref="U101:V101 Q101 J101:K101 F101:G101 A101:C101">
    <cfRule type="expression" dxfId="1570" priority="1620" stopIfTrue="1">
      <formula>$A101="Tmdpvol"</formula>
    </cfRule>
  </conditionalFormatting>
  <conditionalFormatting sqref="V101 J101 F101:G101 A101">
    <cfRule type="expression" dxfId="1569" priority="1621" stopIfTrue="1">
      <formula>$A101="Snglvol"</formula>
    </cfRule>
  </conditionalFormatting>
  <conditionalFormatting sqref="M101:P101 U101:V101 A101:B101 H101:K101">
    <cfRule type="expression" dxfId="1568" priority="1622" stopIfTrue="1">
      <formula>$A101="Sngljun"</formula>
    </cfRule>
  </conditionalFormatting>
  <conditionalFormatting sqref="M101:P101 R101:T101">
    <cfRule type="expression" dxfId="1567" priority="1623" stopIfTrue="1">
      <formula>$A101="Pipe"</formula>
    </cfRule>
  </conditionalFormatting>
  <conditionalFormatting sqref="C101">
    <cfRule type="expression" dxfId="1566" priority="1624" stopIfTrue="1">
      <formula>$A101="Junction"</formula>
    </cfRule>
    <cfRule type="expression" dxfId="1565" priority="1650" stopIfTrue="1">
      <formula>$A101="Snglvol"</formula>
    </cfRule>
    <cfRule type="expression" dxfId="1564" priority="1663" stopIfTrue="1">
      <formula>$A101="InitGas"</formula>
    </cfRule>
    <cfRule type="expression" dxfId="1563" priority="1675" stopIfTrue="1">
      <formula>$A101="Tripvar"</formula>
    </cfRule>
  </conditionalFormatting>
  <conditionalFormatting sqref="Q101:T101 F101:G101 D101">
    <cfRule type="expression" dxfId="1562" priority="1625" stopIfTrue="1">
      <formula>$A101="Junction"</formula>
    </cfRule>
  </conditionalFormatting>
  <conditionalFormatting sqref="Q101:T101 F101:G101 C101:D101">
    <cfRule type="expression" dxfId="1561" priority="1626" stopIfTrue="1">
      <formula>$A101="Sngljun"</formula>
    </cfRule>
  </conditionalFormatting>
  <conditionalFormatting sqref="Q101:S101 F101:G101 C101:D101">
    <cfRule type="expression" dxfId="1560" priority="1627" stopIfTrue="1">
      <formula>$A101="Mtrvlv"</formula>
    </cfRule>
  </conditionalFormatting>
  <conditionalFormatting sqref="A101">
    <cfRule type="expression" dxfId="1559" priority="1628" stopIfTrue="1">
      <formula>$A101="Srvvlv"</formula>
    </cfRule>
    <cfRule type="expression" dxfId="1558" priority="1639" stopIfTrue="1">
      <formula>$A101="Tmdpjun"</formula>
    </cfRule>
  </conditionalFormatting>
  <conditionalFormatting sqref="S101 Q101 F101:G101 C101:D101">
    <cfRule type="expression" dxfId="1557" priority="1629" stopIfTrue="1">
      <formula>$A101="Srvvlv"</formula>
    </cfRule>
  </conditionalFormatting>
  <conditionalFormatting sqref="R101">
    <cfRule type="expression" dxfId="1556" priority="1630" stopIfTrue="1">
      <formula>$A101="Srvvlv"</formula>
    </cfRule>
    <cfRule type="expression" dxfId="1555" priority="1641" stopIfTrue="1">
      <formula>$A101="Tmdpjun"</formula>
    </cfRule>
    <cfRule type="expression" dxfId="1554" priority="1644" stopIfTrue="1">
      <formula>$A101="Pump"</formula>
    </cfRule>
    <cfRule type="expression" dxfId="1553" priority="1647" stopIfTrue="1">
      <formula>$A101="Tmdpvol"</formula>
    </cfRule>
    <cfRule type="expression" dxfId="1552" priority="1654" stopIfTrue="1">
      <formula>$A101="Snglvol"</formula>
    </cfRule>
  </conditionalFormatting>
  <conditionalFormatting sqref="B101">
    <cfRule type="expression" dxfId="1551" priority="1631" stopIfTrue="1">
      <formula>$A101="Chkvlv"</formula>
    </cfRule>
    <cfRule type="expression" dxfId="1550" priority="1657" stopIfTrue="1">
      <formula>$A101="Relapnr"</formula>
    </cfRule>
    <cfRule type="expression" dxfId="1549" priority="1662" stopIfTrue="1">
      <formula>$A101="InitGas"</formula>
    </cfRule>
    <cfRule type="expression" dxfId="1548" priority="1668" stopIfTrue="1">
      <formula>$A101="Replacements"</formula>
    </cfRule>
    <cfRule type="expression" dxfId="1547" priority="1672" stopIfTrue="1">
      <formula>$A101="Custom"</formula>
    </cfRule>
    <cfRule type="expression" dxfId="1546" priority="1677" stopIfTrue="1">
      <formula>$A101="Triplog"</formula>
    </cfRule>
  </conditionalFormatting>
  <conditionalFormatting sqref="C101 Q101:S101 F101:G101">
    <cfRule type="expression" dxfId="1545" priority="1632" stopIfTrue="1">
      <formula>$A101="Chkvlv"</formula>
    </cfRule>
  </conditionalFormatting>
  <conditionalFormatting sqref="D101">
    <cfRule type="expression" dxfId="1544" priority="1633" stopIfTrue="1">
      <formula>$A101="Chkvlv"</formula>
    </cfRule>
    <cfRule type="expression" dxfId="1543" priority="1679" stopIfTrue="1">
      <formula>$A101="Triplog"</formula>
    </cfRule>
  </conditionalFormatting>
  <conditionalFormatting sqref="U101 K101">
    <cfRule type="expression" dxfId="1542" priority="1634" stopIfTrue="1">
      <formula>$A101="Chkvlv"</formula>
    </cfRule>
    <cfRule type="expression" dxfId="1541" priority="1652" stopIfTrue="1">
      <formula>$A101="Snglvol"</formula>
    </cfRule>
  </conditionalFormatting>
  <conditionalFormatting sqref="M101">
    <cfRule type="expression" dxfId="1540" priority="1635" stopIfTrue="1">
      <formula>$A101="Chkvlv"</formula>
    </cfRule>
    <cfRule type="expression" dxfId="1539" priority="1653" stopIfTrue="1">
      <formula>$A101="Snglvol"</formula>
    </cfRule>
  </conditionalFormatting>
  <conditionalFormatting sqref="C101">
    <cfRule type="expression" dxfId="1538" priority="1636" stopIfTrue="1">
      <formula>$A101="Inrvlv"</formula>
    </cfRule>
    <cfRule type="expression" dxfId="1537" priority="1660" stopIfTrue="1">
      <formula>$A101="Init"</formula>
    </cfRule>
    <cfRule type="expression" dxfId="1536" priority="1666" stopIfTrue="1">
      <formula>$A101="Timestep"</formula>
    </cfRule>
    <cfRule type="expression" dxfId="1535" priority="1678" stopIfTrue="1">
      <formula>$A101="Triplog"</formula>
    </cfRule>
  </conditionalFormatting>
  <conditionalFormatting sqref="Q101:R101 F101:G101 D101">
    <cfRule type="expression" dxfId="1534" priority="1637" stopIfTrue="1">
      <formula>$A101="Inrvlv"</formula>
    </cfRule>
  </conditionalFormatting>
  <conditionalFormatting sqref="S101">
    <cfRule type="expression" dxfId="1533" priority="1638" stopIfTrue="1">
      <formula>$A101="Inrvlv"</formula>
    </cfRule>
    <cfRule type="expression" dxfId="1532" priority="1642" stopIfTrue="1">
      <formula>$A101="Tmdpjun"</formula>
    </cfRule>
    <cfRule type="expression" dxfId="1531" priority="1645" stopIfTrue="1">
      <formula>$A101="Pump"</formula>
    </cfRule>
    <cfRule type="expression" dxfId="1530" priority="1648" stopIfTrue="1">
      <formula>$A101="Tmdpvol"</formula>
    </cfRule>
    <cfRule type="expression" dxfId="1529" priority="1655" stopIfTrue="1">
      <formula>$A101="Snglvol"</formula>
    </cfRule>
  </conditionalFormatting>
  <conditionalFormatting sqref="Q101 F101:G101 C101:D101">
    <cfRule type="expression" dxfId="1528" priority="1640" stopIfTrue="1">
      <formula>$A101="Tmdpjun"</formula>
    </cfRule>
  </conditionalFormatting>
  <conditionalFormatting sqref="Q101 D101">
    <cfRule type="expression" dxfId="1527" priority="1643" stopIfTrue="1">
      <formula>$A101="Pump"</formula>
    </cfRule>
  </conditionalFormatting>
  <conditionalFormatting sqref="T101 H101:I101 D101 M101:P101">
    <cfRule type="expression" dxfId="1526" priority="1646" stopIfTrue="1">
      <formula>$A101="Tmdpvol"</formula>
    </cfRule>
  </conditionalFormatting>
  <conditionalFormatting sqref="B101">
    <cfRule type="expression" dxfId="1525" priority="1649" stopIfTrue="1">
      <formula>$A101="Snglvol"</formula>
    </cfRule>
    <cfRule type="expression" dxfId="1524" priority="1659" stopIfTrue="1">
      <formula>$A101="Init"</formula>
    </cfRule>
    <cfRule type="expression" dxfId="1523" priority="1665" stopIfTrue="1">
      <formula>$A101="Timestep"</formula>
    </cfRule>
    <cfRule type="expression" dxfId="1522" priority="1670" stopIfTrue="1">
      <formula>$A101="Triggerwords"</formula>
    </cfRule>
    <cfRule type="expression" dxfId="1521" priority="1674" stopIfTrue="1">
      <formula>$A101="Tripvar"</formula>
    </cfRule>
  </conditionalFormatting>
  <conditionalFormatting sqref="T101 N101:Q101 H101:I101 D101">
    <cfRule type="expression" dxfId="1520" priority="1651" stopIfTrue="1">
      <formula>$A101="Snglvol"</formula>
    </cfRule>
  </conditionalFormatting>
  <conditionalFormatting sqref="A101">
    <cfRule type="expression" dxfId="1519" priority="1656" stopIfTrue="1">
      <formula>$A101="Relapnr"</formula>
    </cfRule>
  </conditionalFormatting>
  <conditionalFormatting sqref="A101">
    <cfRule type="expression" dxfId="1518" priority="1658" stopIfTrue="1">
      <formula>$A101="Init"</formula>
    </cfRule>
  </conditionalFormatting>
  <conditionalFormatting sqref="A101">
    <cfRule type="expression" dxfId="1517" priority="1661" stopIfTrue="1">
      <formula>$A101="InitGas"</formula>
    </cfRule>
  </conditionalFormatting>
  <conditionalFormatting sqref="A101 D101">
    <cfRule type="expression" dxfId="1516" priority="1664" stopIfTrue="1">
      <formula>$A101="Timestep"</formula>
    </cfRule>
  </conditionalFormatting>
  <conditionalFormatting sqref="A101">
    <cfRule type="expression" dxfId="1515" priority="1667" stopIfTrue="1">
      <formula>$A101="Replacements"</formula>
    </cfRule>
  </conditionalFormatting>
  <conditionalFormatting sqref="A101">
    <cfRule type="expression" dxfId="1514" priority="1669" stopIfTrue="1">
      <formula>$A101="Triggerwords"</formula>
    </cfRule>
  </conditionalFormatting>
  <conditionalFormatting sqref="A101">
    <cfRule type="expression" dxfId="1513" priority="1671" stopIfTrue="1">
      <formula>$A101="Custom"</formula>
    </cfRule>
  </conditionalFormatting>
  <conditionalFormatting sqref="A101 F101:I101 D101">
    <cfRule type="expression" dxfId="1512" priority="1673" stopIfTrue="1">
      <formula>$A101="Tripvar"</formula>
    </cfRule>
  </conditionalFormatting>
  <conditionalFormatting sqref="L101">
    <cfRule type="expression" dxfId="1511" priority="1601" stopIfTrue="1">
      <formula>$A101="Pipe"</formula>
    </cfRule>
  </conditionalFormatting>
  <conditionalFormatting sqref="L101">
    <cfRule type="expression" dxfId="1510" priority="1602" stopIfTrue="1">
      <formula>$A101="Junction"</formula>
    </cfRule>
  </conditionalFormatting>
  <conditionalFormatting sqref="L101">
    <cfRule type="expression" dxfId="1509" priority="1603" stopIfTrue="1">
      <formula>$A101="Sngljun"</formula>
    </cfRule>
  </conditionalFormatting>
  <conditionalFormatting sqref="L101">
    <cfRule type="expression" dxfId="1508" priority="1604" stopIfTrue="1">
      <formula>$A101="Mtrvlv"</formula>
    </cfRule>
  </conditionalFormatting>
  <conditionalFormatting sqref="L101">
    <cfRule type="expression" dxfId="1507" priority="1605" stopIfTrue="1">
      <formula>$A101="Srvvlv"</formula>
    </cfRule>
  </conditionalFormatting>
  <conditionalFormatting sqref="L101">
    <cfRule type="expression" dxfId="1506" priority="1606" stopIfTrue="1">
      <formula>$A101="Chkvlv"</formula>
    </cfRule>
  </conditionalFormatting>
  <conditionalFormatting sqref="L101">
    <cfRule type="expression" dxfId="1505" priority="1607" stopIfTrue="1">
      <formula>$A101="Inrvlv"</formula>
    </cfRule>
  </conditionalFormatting>
  <conditionalFormatting sqref="L101">
    <cfRule type="expression" dxfId="1504" priority="1608" stopIfTrue="1">
      <formula>$A101="Tmdpjun"</formula>
    </cfRule>
  </conditionalFormatting>
  <conditionalFormatting sqref="L101">
    <cfRule type="expression" dxfId="1503" priority="1609" stopIfTrue="1">
      <formula>$A101="Pump"</formula>
    </cfRule>
  </conditionalFormatting>
  <conditionalFormatting sqref="L101">
    <cfRule type="expression" dxfId="1502" priority="1610" stopIfTrue="1">
      <formula>$A101="Tmdpvol"</formula>
    </cfRule>
  </conditionalFormatting>
  <conditionalFormatting sqref="L101">
    <cfRule type="expression" dxfId="1501" priority="1611" stopIfTrue="1">
      <formula>$A101="Snglvol"</formula>
    </cfRule>
  </conditionalFormatting>
  <conditionalFormatting sqref="E101">
    <cfRule type="expression" dxfId="1500" priority="1587" stopIfTrue="1">
      <formula>$A101="Pipe"</formula>
    </cfRule>
  </conditionalFormatting>
  <conditionalFormatting sqref="E101">
    <cfRule type="expression" dxfId="1499" priority="1588" stopIfTrue="1">
      <formula>$A101="Junction"</formula>
    </cfRule>
  </conditionalFormatting>
  <conditionalFormatting sqref="E101">
    <cfRule type="expression" dxfId="1498" priority="1589" stopIfTrue="1">
      <formula>$A101="Sngljun"</formula>
    </cfRule>
  </conditionalFormatting>
  <conditionalFormatting sqref="E101">
    <cfRule type="expression" dxfId="1497" priority="1590" stopIfTrue="1">
      <formula>$A101="Mtrvlv"</formula>
    </cfRule>
  </conditionalFormatting>
  <conditionalFormatting sqref="E101">
    <cfRule type="expression" dxfId="1496" priority="1591" stopIfTrue="1">
      <formula>$A101="Srvvlv"</formula>
    </cfRule>
  </conditionalFormatting>
  <conditionalFormatting sqref="E101">
    <cfRule type="expression" dxfId="1495" priority="1592" stopIfTrue="1">
      <formula>$A101="Chkvlv"</formula>
    </cfRule>
  </conditionalFormatting>
  <conditionalFormatting sqref="E101">
    <cfRule type="expression" dxfId="1494" priority="1593" stopIfTrue="1">
      <formula>$A101="Inrvlv"</formula>
    </cfRule>
  </conditionalFormatting>
  <conditionalFormatting sqref="E101">
    <cfRule type="expression" dxfId="1493" priority="1594" stopIfTrue="1">
      <formula>$A101="Tmdpjun"</formula>
    </cfRule>
  </conditionalFormatting>
  <conditionalFormatting sqref="E101">
    <cfRule type="expression" dxfId="1492" priority="1595" stopIfTrue="1">
      <formula>$A101="Pump"</formula>
    </cfRule>
  </conditionalFormatting>
  <conditionalFormatting sqref="E101">
    <cfRule type="expression" dxfId="1491" priority="1596" stopIfTrue="1">
      <formula>$A101="Tmdpvol"</formula>
    </cfRule>
  </conditionalFormatting>
  <conditionalFormatting sqref="E101">
    <cfRule type="expression" dxfId="1490" priority="1597" stopIfTrue="1">
      <formula>$A101="Snglvol"</formula>
    </cfRule>
  </conditionalFormatting>
  <conditionalFormatting sqref="E101">
    <cfRule type="expression" dxfId="1489" priority="1598" stopIfTrue="1">
      <formula>$A101="Timestep"</formula>
    </cfRule>
  </conditionalFormatting>
  <conditionalFormatting sqref="E101">
    <cfRule type="expression" dxfId="1488" priority="1599" stopIfTrue="1">
      <formula>$A101="Tripvar"</formula>
    </cfRule>
  </conditionalFormatting>
  <conditionalFormatting sqref="E101">
    <cfRule type="expression" dxfId="1487" priority="1600" stopIfTrue="1">
      <formula>$A101="Triplog"</formula>
    </cfRule>
  </conditionalFormatting>
  <conditionalFormatting sqref="E103">
    <cfRule type="expression" dxfId="1486" priority="1573" stopIfTrue="1">
      <formula>$A103="Pipe"</formula>
    </cfRule>
  </conditionalFormatting>
  <conditionalFormatting sqref="E103">
    <cfRule type="expression" dxfId="1485" priority="1574" stopIfTrue="1">
      <formula>$A103="Junction"</formula>
    </cfRule>
  </conditionalFormatting>
  <conditionalFormatting sqref="E103">
    <cfRule type="expression" dxfId="1484" priority="1575" stopIfTrue="1">
      <formula>$A103="Sngljun"</formula>
    </cfRule>
  </conditionalFormatting>
  <conditionalFormatting sqref="E103">
    <cfRule type="expression" dxfId="1483" priority="1576" stopIfTrue="1">
      <formula>$A103="Mtrvlv"</formula>
    </cfRule>
  </conditionalFormatting>
  <conditionalFormatting sqref="E103">
    <cfRule type="expression" dxfId="1482" priority="1577" stopIfTrue="1">
      <formula>$A103="Srvvlv"</formula>
    </cfRule>
  </conditionalFormatting>
  <conditionalFormatting sqref="E103">
    <cfRule type="expression" dxfId="1481" priority="1578" stopIfTrue="1">
      <formula>$A103="Chkvlv"</formula>
    </cfRule>
  </conditionalFormatting>
  <conditionalFormatting sqref="E103">
    <cfRule type="expression" dxfId="1480" priority="1579" stopIfTrue="1">
      <formula>$A103="Inrvlv"</formula>
    </cfRule>
  </conditionalFormatting>
  <conditionalFormatting sqref="E103">
    <cfRule type="expression" dxfId="1479" priority="1580" stopIfTrue="1">
      <formula>$A103="Tmdpjun"</formula>
    </cfRule>
  </conditionalFormatting>
  <conditionalFormatting sqref="E103">
    <cfRule type="expression" dxfId="1478" priority="1581" stopIfTrue="1">
      <formula>$A103="Pump"</formula>
    </cfRule>
  </conditionalFormatting>
  <conditionalFormatting sqref="E103">
    <cfRule type="expression" dxfId="1477" priority="1582" stopIfTrue="1">
      <formula>$A103="Tmdpvol"</formula>
    </cfRule>
  </conditionalFormatting>
  <conditionalFormatting sqref="E103">
    <cfRule type="expression" dxfId="1476" priority="1583" stopIfTrue="1">
      <formula>$A103="Snglvol"</formula>
    </cfRule>
  </conditionalFormatting>
  <conditionalFormatting sqref="E103">
    <cfRule type="expression" dxfId="1475" priority="1584" stopIfTrue="1">
      <formula>$A103="Timestep"</formula>
    </cfRule>
  </conditionalFormatting>
  <conditionalFormatting sqref="E103">
    <cfRule type="expression" dxfId="1474" priority="1585" stopIfTrue="1">
      <formula>$A103="Tripvar"</formula>
    </cfRule>
  </conditionalFormatting>
  <conditionalFormatting sqref="E103">
    <cfRule type="expression" dxfId="1473" priority="1586" stopIfTrue="1">
      <formula>$A103="Triplog"</formula>
    </cfRule>
  </conditionalFormatting>
  <conditionalFormatting sqref="U108:V109 Q108:Q109 A108:D109 F108:J109">
    <cfRule type="expression" dxfId="1472" priority="1505" stopIfTrue="1">
      <formula>$A108="Pipe"</formula>
    </cfRule>
  </conditionalFormatting>
  <conditionalFormatting sqref="M108:P109 U108:V109 A108:B109 H108:J109">
    <cfRule type="expression" dxfId="1471" priority="1506" stopIfTrue="1">
      <formula>$A108="Junction"</formula>
    </cfRule>
  </conditionalFormatting>
  <conditionalFormatting sqref="M108:P109 T108:V109 A108:B109 H108:J109">
    <cfRule type="expression" dxfId="1470" priority="1507" stopIfTrue="1">
      <formula>$A108="Mtrvlv"</formula>
    </cfRule>
  </conditionalFormatting>
  <conditionalFormatting sqref="M108:P109 T108:V109 B108:B109 H108:J109">
    <cfRule type="expression" dxfId="1469" priority="1508" stopIfTrue="1">
      <formula>$A108="Srvvlv"</formula>
    </cfRule>
  </conditionalFormatting>
  <conditionalFormatting sqref="V108:V109 T108:T109 N108:P109 A108:A109 H108:J109">
    <cfRule type="expression" dxfId="1468" priority="1509" stopIfTrue="1">
      <formula>$A108="Chkvlv"</formula>
    </cfRule>
  </conditionalFormatting>
  <conditionalFormatting sqref="M108:P109 T108:V109 A108:B109 H108:J109">
    <cfRule type="expression" dxfId="1467" priority="1510" stopIfTrue="1">
      <formula>$A108="Inrvlv"</formula>
    </cfRule>
  </conditionalFormatting>
  <conditionalFormatting sqref="M108:P109 T108:V109 B108:B109 H108:J109">
    <cfRule type="expression" dxfId="1466" priority="1511" stopIfTrue="1">
      <formula>$A108="Tmdpjun"</formula>
    </cfRule>
  </conditionalFormatting>
  <conditionalFormatting sqref="M108:P109 T108:V109 A108:C109 F108:J109">
    <cfRule type="expression" dxfId="1465" priority="1512" stopIfTrue="1">
      <formula>$A108="Pump"</formula>
    </cfRule>
  </conditionalFormatting>
  <conditionalFormatting sqref="U108:V109 Q108:Q109 J108:J109 F108:G109 A108:C109">
    <cfRule type="expression" dxfId="1464" priority="1513" stopIfTrue="1">
      <formula>$A108="Tmdpvol"</formula>
    </cfRule>
  </conditionalFormatting>
  <conditionalFormatting sqref="V108:V109 J108:J109 F108:G109 A108:A109">
    <cfRule type="expression" dxfId="1463" priority="1514" stopIfTrue="1">
      <formula>$A108="Snglvol"</formula>
    </cfRule>
  </conditionalFormatting>
  <conditionalFormatting sqref="M108:P109 U108:V109 A108:B109 H108:J109">
    <cfRule type="expression" dxfId="1462" priority="1515" stopIfTrue="1">
      <formula>$A108="Sngljun"</formula>
    </cfRule>
  </conditionalFormatting>
  <conditionalFormatting sqref="M108:P109 R108:T109">
    <cfRule type="expression" dxfId="1461" priority="1516" stopIfTrue="1">
      <formula>$A108="Pipe"</formula>
    </cfRule>
  </conditionalFormatting>
  <conditionalFormatting sqref="C108:C109">
    <cfRule type="expression" dxfId="1460" priority="1517" stopIfTrue="1">
      <formula>$A108="Junction"</formula>
    </cfRule>
    <cfRule type="expression" dxfId="1459" priority="1543" stopIfTrue="1">
      <formula>$A108="Snglvol"</formula>
    </cfRule>
    <cfRule type="expression" dxfId="1458" priority="1556" stopIfTrue="1">
      <formula>$A108="InitGas"</formula>
    </cfRule>
    <cfRule type="expression" dxfId="1457" priority="1568" stopIfTrue="1">
      <formula>$A108="Tripvar"</formula>
    </cfRule>
  </conditionalFormatting>
  <conditionalFormatting sqref="Q108:T109 F108:G109 D108:D109">
    <cfRule type="expression" dxfId="1456" priority="1518" stopIfTrue="1">
      <formula>$A108="Junction"</formula>
    </cfRule>
  </conditionalFormatting>
  <conditionalFormatting sqref="Q108:T109 F108:G109 C108:D109">
    <cfRule type="expression" dxfId="1455" priority="1519" stopIfTrue="1">
      <formula>$A108="Sngljun"</formula>
    </cfRule>
  </conditionalFormatting>
  <conditionalFormatting sqref="Q108:S109 F108:G109 C108:D109">
    <cfRule type="expression" dxfId="1454" priority="1520" stopIfTrue="1">
      <formula>$A108="Mtrvlv"</formula>
    </cfRule>
  </conditionalFormatting>
  <conditionalFormatting sqref="A108:A109">
    <cfRule type="expression" dxfId="1453" priority="1521" stopIfTrue="1">
      <formula>$A108="Srvvlv"</formula>
    </cfRule>
    <cfRule type="expression" dxfId="1452" priority="1532" stopIfTrue="1">
      <formula>$A108="Tmdpjun"</formula>
    </cfRule>
  </conditionalFormatting>
  <conditionalFormatting sqref="S108:S109 Q108:Q109 F108:G109 C108:D109">
    <cfRule type="expression" dxfId="1451" priority="1522" stopIfTrue="1">
      <formula>$A108="Srvvlv"</formula>
    </cfRule>
  </conditionalFormatting>
  <conditionalFormatting sqref="R108:R109">
    <cfRule type="expression" dxfId="1450" priority="1523" stopIfTrue="1">
      <formula>$A108="Srvvlv"</formula>
    </cfRule>
    <cfRule type="expression" dxfId="1449" priority="1534" stopIfTrue="1">
      <formula>$A108="Tmdpjun"</formula>
    </cfRule>
    <cfRule type="expression" dxfId="1448" priority="1537" stopIfTrue="1">
      <formula>$A108="Pump"</formula>
    </cfRule>
    <cfRule type="expression" dxfId="1447" priority="1540" stopIfTrue="1">
      <formula>$A108="Tmdpvol"</formula>
    </cfRule>
    <cfRule type="expression" dxfId="1446" priority="1547" stopIfTrue="1">
      <formula>$A108="Snglvol"</formula>
    </cfRule>
  </conditionalFormatting>
  <conditionalFormatting sqref="B108:B109">
    <cfRule type="expression" dxfId="1445" priority="1524" stopIfTrue="1">
      <formula>$A108="Chkvlv"</formula>
    </cfRule>
    <cfRule type="expression" dxfId="1444" priority="1550" stopIfTrue="1">
      <formula>$A108="Relapnr"</formula>
    </cfRule>
    <cfRule type="expression" dxfId="1443" priority="1555" stopIfTrue="1">
      <formula>$A108="InitGas"</formula>
    </cfRule>
    <cfRule type="expression" dxfId="1442" priority="1561" stopIfTrue="1">
      <formula>$A108="Replacements"</formula>
    </cfRule>
    <cfRule type="expression" dxfId="1441" priority="1565" stopIfTrue="1">
      <formula>$A108="Custom"</formula>
    </cfRule>
    <cfRule type="expression" dxfId="1440" priority="1570" stopIfTrue="1">
      <formula>$A108="Triplog"</formula>
    </cfRule>
  </conditionalFormatting>
  <conditionalFormatting sqref="C108:C109 Q108:S109 F108:G109">
    <cfRule type="expression" dxfId="1439" priority="1525" stopIfTrue="1">
      <formula>$A108="Chkvlv"</formula>
    </cfRule>
  </conditionalFormatting>
  <conditionalFormatting sqref="D108:D109">
    <cfRule type="expression" dxfId="1438" priority="1526" stopIfTrue="1">
      <formula>$A108="Chkvlv"</formula>
    </cfRule>
    <cfRule type="expression" dxfId="1437" priority="1572" stopIfTrue="1">
      <formula>$A108="Triplog"</formula>
    </cfRule>
  </conditionalFormatting>
  <conditionalFormatting sqref="U108:U109">
    <cfRule type="expression" dxfId="1436" priority="1527" stopIfTrue="1">
      <formula>$A108="Chkvlv"</formula>
    </cfRule>
    <cfRule type="expression" dxfId="1435" priority="1545" stopIfTrue="1">
      <formula>$A108="Snglvol"</formula>
    </cfRule>
  </conditionalFormatting>
  <conditionalFormatting sqref="M108:M109">
    <cfRule type="expression" dxfId="1434" priority="1528" stopIfTrue="1">
      <formula>$A108="Chkvlv"</formula>
    </cfRule>
    <cfRule type="expression" dxfId="1433" priority="1546" stopIfTrue="1">
      <formula>$A108="Snglvol"</formula>
    </cfRule>
  </conditionalFormatting>
  <conditionalFormatting sqref="C108:C109">
    <cfRule type="expression" dxfId="1432" priority="1529" stopIfTrue="1">
      <formula>$A108="Inrvlv"</formula>
    </cfRule>
    <cfRule type="expression" dxfId="1431" priority="1553" stopIfTrue="1">
      <formula>$A108="Init"</formula>
    </cfRule>
    <cfRule type="expression" dxfId="1430" priority="1559" stopIfTrue="1">
      <formula>$A108="Timestep"</formula>
    </cfRule>
    <cfRule type="expression" dxfId="1429" priority="1571" stopIfTrue="1">
      <formula>$A108="Triplog"</formula>
    </cfRule>
  </conditionalFormatting>
  <conditionalFormatting sqref="Q108:R109 F108:G109 D108:D109">
    <cfRule type="expression" dxfId="1428" priority="1530" stopIfTrue="1">
      <formula>$A108="Inrvlv"</formula>
    </cfRule>
  </conditionalFormatting>
  <conditionalFormatting sqref="S108:S109">
    <cfRule type="expression" dxfId="1427" priority="1531" stopIfTrue="1">
      <formula>$A108="Inrvlv"</formula>
    </cfRule>
    <cfRule type="expression" dxfId="1426" priority="1535" stopIfTrue="1">
      <formula>$A108="Tmdpjun"</formula>
    </cfRule>
    <cfRule type="expression" dxfId="1425" priority="1538" stopIfTrue="1">
      <formula>$A108="Pump"</formula>
    </cfRule>
    <cfRule type="expression" dxfId="1424" priority="1541" stopIfTrue="1">
      <formula>$A108="Tmdpvol"</formula>
    </cfRule>
    <cfRule type="expression" dxfId="1423" priority="1548" stopIfTrue="1">
      <formula>$A108="Snglvol"</formula>
    </cfRule>
  </conditionalFormatting>
  <conditionalFormatting sqref="Q108:Q109 F108:G109 C108:D109">
    <cfRule type="expression" dxfId="1422" priority="1533" stopIfTrue="1">
      <formula>$A108="Tmdpjun"</formula>
    </cfRule>
  </conditionalFormatting>
  <conditionalFormatting sqref="Q108:Q109 D108:D109">
    <cfRule type="expression" dxfId="1421" priority="1536" stopIfTrue="1">
      <formula>$A108="Pump"</formula>
    </cfRule>
  </conditionalFormatting>
  <conditionalFormatting sqref="T108:T109 H108:I109 D108:D109 M108:P109">
    <cfRule type="expression" dxfId="1420" priority="1539" stopIfTrue="1">
      <formula>$A108="Tmdpvol"</formula>
    </cfRule>
  </conditionalFormatting>
  <conditionalFormatting sqref="B108:B109">
    <cfRule type="expression" dxfId="1419" priority="1542" stopIfTrue="1">
      <formula>$A108="Snglvol"</formula>
    </cfRule>
    <cfRule type="expression" dxfId="1418" priority="1552" stopIfTrue="1">
      <formula>$A108="Init"</formula>
    </cfRule>
    <cfRule type="expression" dxfId="1417" priority="1558" stopIfTrue="1">
      <formula>$A108="Timestep"</formula>
    </cfRule>
    <cfRule type="expression" dxfId="1416" priority="1563" stopIfTrue="1">
      <formula>$A108="Triggerwords"</formula>
    </cfRule>
    <cfRule type="expression" dxfId="1415" priority="1567" stopIfTrue="1">
      <formula>$A108="Tripvar"</formula>
    </cfRule>
  </conditionalFormatting>
  <conditionalFormatting sqref="T108:T109 N108:Q109 H108:I109 D108:D109">
    <cfRule type="expression" dxfId="1414" priority="1544" stopIfTrue="1">
      <formula>$A108="Snglvol"</formula>
    </cfRule>
  </conditionalFormatting>
  <conditionalFormatting sqref="A108:A109">
    <cfRule type="expression" dxfId="1413" priority="1549" stopIfTrue="1">
      <formula>$A108="Relapnr"</formula>
    </cfRule>
  </conditionalFormatting>
  <conditionalFormatting sqref="A108:A109">
    <cfRule type="expression" dxfId="1412" priority="1551" stopIfTrue="1">
      <formula>$A108="Init"</formula>
    </cfRule>
  </conditionalFormatting>
  <conditionalFormatting sqref="A108:A109">
    <cfRule type="expression" dxfId="1411" priority="1554" stopIfTrue="1">
      <formula>$A108="InitGas"</formula>
    </cfRule>
  </conditionalFormatting>
  <conditionalFormatting sqref="A108:A109 D108:D109">
    <cfRule type="expression" dxfId="1410" priority="1557" stopIfTrue="1">
      <formula>$A108="Timestep"</formula>
    </cfRule>
  </conditionalFormatting>
  <conditionalFormatting sqref="A108:A109">
    <cfRule type="expression" dxfId="1409" priority="1560" stopIfTrue="1">
      <formula>$A108="Replacements"</formula>
    </cfRule>
  </conditionalFormatting>
  <conditionalFormatting sqref="A108:A109">
    <cfRule type="expression" dxfId="1408" priority="1562" stopIfTrue="1">
      <formula>$A108="Triggerwords"</formula>
    </cfRule>
  </conditionalFormatting>
  <conditionalFormatting sqref="A108:A109">
    <cfRule type="expression" dxfId="1407" priority="1564" stopIfTrue="1">
      <formula>$A108="Custom"</formula>
    </cfRule>
  </conditionalFormatting>
  <conditionalFormatting sqref="A108:A109 F108:I109 D108:D109">
    <cfRule type="expression" dxfId="1406" priority="1566" stopIfTrue="1">
      <formula>$A108="Tripvar"</formula>
    </cfRule>
  </conditionalFormatting>
  <conditionalFormatting sqref="A108:A109 F108:F109">
    <cfRule type="expression" dxfId="1405" priority="1569" stopIfTrue="1">
      <formula>$A108="Triplog"</formula>
    </cfRule>
  </conditionalFormatting>
  <conditionalFormatting sqref="L108:L109">
    <cfRule type="expression" dxfId="1404" priority="1494" stopIfTrue="1">
      <formula>$A108="Pipe"</formula>
    </cfRule>
  </conditionalFormatting>
  <conditionalFormatting sqref="L108:L109">
    <cfRule type="expression" dxfId="1403" priority="1495" stopIfTrue="1">
      <formula>$A108="Junction"</formula>
    </cfRule>
  </conditionalFormatting>
  <conditionalFormatting sqref="L108:L109">
    <cfRule type="expression" dxfId="1402" priority="1496" stopIfTrue="1">
      <formula>$A108="Sngljun"</formula>
    </cfRule>
  </conditionalFormatting>
  <conditionalFormatting sqref="L108:L109">
    <cfRule type="expression" dxfId="1401" priority="1497" stopIfTrue="1">
      <formula>$A108="Mtrvlv"</formula>
    </cfRule>
  </conditionalFormatting>
  <conditionalFormatting sqref="L108:L109">
    <cfRule type="expression" dxfId="1400" priority="1498" stopIfTrue="1">
      <formula>$A108="Srvvlv"</formula>
    </cfRule>
  </conditionalFormatting>
  <conditionalFormatting sqref="L108:L109">
    <cfRule type="expression" dxfId="1399" priority="1499" stopIfTrue="1">
      <formula>$A108="Chkvlv"</formula>
    </cfRule>
  </conditionalFormatting>
  <conditionalFormatting sqref="L108:L109">
    <cfRule type="expression" dxfId="1398" priority="1500" stopIfTrue="1">
      <formula>$A108="Inrvlv"</formula>
    </cfRule>
  </conditionalFormatting>
  <conditionalFormatting sqref="L108:L109">
    <cfRule type="expression" dxfId="1397" priority="1501" stopIfTrue="1">
      <formula>$A108="Tmdpjun"</formula>
    </cfRule>
  </conditionalFormatting>
  <conditionalFormatting sqref="L108:L109">
    <cfRule type="expression" dxfId="1396" priority="1502" stopIfTrue="1">
      <formula>$A108="Pump"</formula>
    </cfRule>
  </conditionalFormatting>
  <conditionalFormatting sqref="L108:L109">
    <cfRule type="expression" dxfId="1395" priority="1503" stopIfTrue="1">
      <formula>$A108="Tmdpvol"</formula>
    </cfRule>
  </conditionalFormatting>
  <conditionalFormatting sqref="L108:L109">
    <cfRule type="expression" dxfId="1394" priority="1504" stopIfTrue="1">
      <formula>$A108="Snglvol"</formula>
    </cfRule>
  </conditionalFormatting>
  <conditionalFormatting sqref="E108:E109">
    <cfRule type="expression" dxfId="1393" priority="1480" stopIfTrue="1">
      <formula>$A108="Pipe"</formula>
    </cfRule>
  </conditionalFormatting>
  <conditionalFormatting sqref="E108:E109">
    <cfRule type="expression" dxfId="1392" priority="1481" stopIfTrue="1">
      <formula>$A108="Junction"</formula>
    </cfRule>
  </conditionalFormatting>
  <conditionalFormatting sqref="E108:E109">
    <cfRule type="expression" dxfId="1391" priority="1482" stopIfTrue="1">
      <formula>$A108="Sngljun"</formula>
    </cfRule>
  </conditionalFormatting>
  <conditionalFormatting sqref="E108:E109">
    <cfRule type="expression" dxfId="1390" priority="1483" stopIfTrue="1">
      <formula>$A108="Mtrvlv"</formula>
    </cfRule>
  </conditionalFormatting>
  <conditionalFormatting sqref="E108:E109">
    <cfRule type="expression" dxfId="1389" priority="1484" stopIfTrue="1">
      <formula>$A108="Srvvlv"</formula>
    </cfRule>
  </conditionalFormatting>
  <conditionalFormatting sqref="E108:E109">
    <cfRule type="expression" dxfId="1388" priority="1485" stopIfTrue="1">
      <formula>$A108="Chkvlv"</formula>
    </cfRule>
  </conditionalFormatting>
  <conditionalFormatting sqref="E108:E109">
    <cfRule type="expression" dxfId="1387" priority="1486" stopIfTrue="1">
      <formula>$A108="Inrvlv"</formula>
    </cfRule>
  </conditionalFormatting>
  <conditionalFormatting sqref="E108:E109">
    <cfRule type="expression" dxfId="1386" priority="1487" stopIfTrue="1">
      <formula>$A108="Tmdpjun"</formula>
    </cfRule>
  </conditionalFormatting>
  <conditionalFormatting sqref="E108:E109">
    <cfRule type="expression" dxfId="1385" priority="1488" stopIfTrue="1">
      <formula>$A108="Pump"</formula>
    </cfRule>
  </conditionalFormatting>
  <conditionalFormatting sqref="E108:E109">
    <cfRule type="expression" dxfId="1384" priority="1489" stopIfTrue="1">
      <formula>$A108="Tmdpvol"</formula>
    </cfRule>
  </conditionalFormatting>
  <conditionalFormatting sqref="E108:E109">
    <cfRule type="expression" dxfId="1383" priority="1490" stopIfTrue="1">
      <formula>$A108="Snglvol"</formula>
    </cfRule>
  </conditionalFormatting>
  <conditionalFormatting sqref="E108:E109">
    <cfRule type="expression" dxfId="1382" priority="1491" stopIfTrue="1">
      <formula>$A108="Timestep"</formula>
    </cfRule>
  </conditionalFormatting>
  <conditionalFormatting sqref="E108:E109">
    <cfRule type="expression" dxfId="1381" priority="1492" stopIfTrue="1">
      <formula>$A108="Tripvar"</formula>
    </cfRule>
  </conditionalFormatting>
  <conditionalFormatting sqref="E108:E109">
    <cfRule type="expression" dxfId="1380" priority="1493" stopIfTrue="1">
      <formula>$A108="Triplog"</formula>
    </cfRule>
  </conditionalFormatting>
  <conditionalFormatting sqref="K114:K115">
    <cfRule type="expression" dxfId="1379" priority="1365" stopIfTrue="1">
      <formula>$A114="Pipe"</formula>
    </cfRule>
  </conditionalFormatting>
  <conditionalFormatting sqref="K114:K115">
    <cfRule type="expression" dxfId="1378" priority="1366" stopIfTrue="1">
      <formula>$A114="Junction"</formula>
    </cfRule>
  </conditionalFormatting>
  <conditionalFormatting sqref="K108:K109">
    <cfRule type="expression" dxfId="1377" priority="1471" stopIfTrue="1">
      <formula>$A108="Mtrvlv"</formula>
    </cfRule>
  </conditionalFormatting>
  <conditionalFormatting sqref="K108:K109">
    <cfRule type="expression" dxfId="1376" priority="1472" stopIfTrue="1">
      <formula>$A108="Srvvlv"</formula>
    </cfRule>
  </conditionalFormatting>
  <conditionalFormatting sqref="K108:K109">
    <cfRule type="expression" dxfId="1375" priority="1473" stopIfTrue="1">
      <formula>$A108="Inrvlv"</formula>
    </cfRule>
  </conditionalFormatting>
  <conditionalFormatting sqref="K108:K109">
    <cfRule type="expression" dxfId="1374" priority="1474" stopIfTrue="1">
      <formula>$A108="Tmdpjun"</formula>
    </cfRule>
  </conditionalFormatting>
  <conditionalFormatting sqref="K108:K109">
    <cfRule type="expression" dxfId="1373" priority="1475" stopIfTrue="1">
      <formula>$A108="Pump"</formula>
    </cfRule>
  </conditionalFormatting>
  <conditionalFormatting sqref="K108:K109">
    <cfRule type="expression" dxfId="1372" priority="1476" stopIfTrue="1">
      <formula>$A108="Tmdpvol"</formula>
    </cfRule>
  </conditionalFormatting>
  <conditionalFormatting sqref="K108:K109">
    <cfRule type="expression" dxfId="1371" priority="1477" stopIfTrue="1">
      <formula>$A108="Sngljun"</formula>
    </cfRule>
  </conditionalFormatting>
  <conditionalFormatting sqref="K108:K109">
    <cfRule type="expression" dxfId="1370" priority="1478" stopIfTrue="1">
      <formula>$A108="Chkvlv"</formula>
    </cfRule>
    <cfRule type="expression" dxfId="1369" priority="1479" stopIfTrue="1">
      <formula>$A108="Snglvol"</formula>
    </cfRule>
  </conditionalFormatting>
  <conditionalFormatting sqref="U114:V115 Q114:Q115 A114:D115 F114:J115">
    <cfRule type="expression" dxfId="1368" priority="1401" stopIfTrue="1">
      <formula>$A114="Pipe"</formula>
    </cfRule>
  </conditionalFormatting>
  <conditionalFormatting sqref="M114:P115 U114:V115 A114:B115 H114:J115">
    <cfRule type="expression" dxfId="1367" priority="1402" stopIfTrue="1">
      <formula>$A114="Junction"</formula>
    </cfRule>
  </conditionalFormatting>
  <conditionalFormatting sqref="M114:P115 T114:V115 A114:B115 H114:J115">
    <cfRule type="expression" dxfId="1366" priority="1403" stopIfTrue="1">
      <formula>$A114="Mtrvlv"</formula>
    </cfRule>
  </conditionalFormatting>
  <conditionalFormatting sqref="M114:P115 T114:V115 B114:B115 H114:J115">
    <cfRule type="expression" dxfId="1365" priority="1404" stopIfTrue="1">
      <formula>$A114="Srvvlv"</formula>
    </cfRule>
  </conditionalFormatting>
  <conditionalFormatting sqref="V114:V115 T114:T115 N114:P115 A114:A115 H114:J115">
    <cfRule type="expression" dxfId="1364" priority="1405" stopIfTrue="1">
      <formula>$A114="Chkvlv"</formula>
    </cfRule>
  </conditionalFormatting>
  <conditionalFormatting sqref="M114:P115 T114:V115 A114:B115 H114:J115">
    <cfRule type="expression" dxfId="1363" priority="1406" stopIfTrue="1">
      <formula>$A114="Inrvlv"</formula>
    </cfRule>
  </conditionalFormatting>
  <conditionalFormatting sqref="M114:P115 T114:V115 B114:B115 H114:J115">
    <cfRule type="expression" dxfId="1362" priority="1407" stopIfTrue="1">
      <formula>$A114="Tmdpjun"</formula>
    </cfRule>
  </conditionalFormatting>
  <conditionalFormatting sqref="M114:P115 T114:V115 A114:C115 F114:J115">
    <cfRule type="expression" dxfId="1361" priority="1408" stopIfTrue="1">
      <formula>$A114="Pump"</formula>
    </cfRule>
  </conditionalFormatting>
  <conditionalFormatting sqref="U114:V115 Q114:Q115 J114:J115 F114:G115 A114:C115">
    <cfRule type="expression" dxfId="1360" priority="1409" stopIfTrue="1">
      <formula>$A114="Tmdpvol"</formula>
    </cfRule>
  </conditionalFormatting>
  <conditionalFormatting sqref="V114:V115 J114:J115 F114:G115 A114:A115">
    <cfRule type="expression" dxfId="1359" priority="1410" stopIfTrue="1">
      <formula>$A114="Snglvol"</formula>
    </cfRule>
  </conditionalFormatting>
  <conditionalFormatting sqref="M114:P115 U114:V115 A114:B115 H114:J115">
    <cfRule type="expression" dxfId="1358" priority="1411" stopIfTrue="1">
      <formula>$A114="Sngljun"</formula>
    </cfRule>
  </conditionalFormatting>
  <conditionalFormatting sqref="M114:P115 R114:T115">
    <cfRule type="expression" dxfId="1357" priority="1412" stopIfTrue="1">
      <formula>$A114="Pipe"</formula>
    </cfRule>
  </conditionalFormatting>
  <conditionalFormatting sqref="C114:C115">
    <cfRule type="expression" dxfId="1356" priority="1413" stopIfTrue="1">
      <formula>$A114="Junction"</formula>
    </cfRule>
    <cfRule type="expression" dxfId="1355" priority="1439" stopIfTrue="1">
      <formula>$A114="Snglvol"</formula>
    </cfRule>
    <cfRule type="expression" dxfId="1354" priority="1452" stopIfTrue="1">
      <formula>$A114="InitGas"</formula>
    </cfRule>
    <cfRule type="expression" dxfId="1353" priority="1464" stopIfTrue="1">
      <formula>$A114="Tripvar"</formula>
    </cfRule>
  </conditionalFormatting>
  <conditionalFormatting sqref="Q114:T115 F114:G115 D114:D115">
    <cfRule type="expression" dxfId="1352" priority="1414" stopIfTrue="1">
      <formula>$A114="Junction"</formula>
    </cfRule>
  </conditionalFormatting>
  <conditionalFormatting sqref="Q114:T115 F114:G115 C114:D115">
    <cfRule type="expression" dxfId="1351" priority="1415" stopIfTrue="1">
      <formula>$A114="Sngljun"</formula>
    </cfRule>
  </conditionalFormatting>
  <conditionalFormatting sqref="Q114:S115 F114:G115 C114:D115">
    <cfRule type="expression" dxfId="1350" priority="1416" stopIfTrue="1">
      <formula>$A114="Mtrvlv"</formula>
    </cfRule>
  </conditionalFormatting>
  <conditionalFormatting sqref="A114:A115">
    <cfRule type="expression" dxfId="1349" priority="1417" stopIfTrue="1">
      <formula>$A114="Srvvlv"</formula>
    </cfRule>
    <cfRule type="expression" dxfId="1348" priority="1428" stopIfTrue="1">
      <formula>$A114="Tmdpjun"</formula>
    </cfRule>
  </conditionalFormatting>
  <conditionalFormatting sqref="S114:S115 Q114:Q115 F114:G115 C114:D115">
    <cfRule type="expression" dxfId="1347" priority="1418" stopIfTrue="1">
      <formula>$A114="Srvvlv"</formula>
    </cfRule>
  </conditionalFormatting>
  <conditionalFormatting sqref="R114:R115">
    <cfRule type="expression" dxfId="1346" priority="1419" stopIfTrue="1">
      <formula>$A114="Srvvlv"</formula>
    </cfRule>
    <cfRule type="expression" dxfId="1345" priority="1430" stopIfTrue="1">
      <formula>$A114="Tmdpjun"</formula>
    </cfRule>
    <cfRule type="expression" dxfId="1344" priority="1433" stopIfTrue="1">
      <formula>$A114="Pump"</formula>
    </cfRule>
    <cfRule type="expression" dxfId="1343" priority="1436" stopIfTrue="1">
      <formula>$A114="Tmdpvol"</formula>
    </cfRule>
    <cfRule type="expression" dxfId="1342" priority="1443" stopIfTrue="1">
      <formula>$A114="Snglvol"</formula>
    </cfRule>
  </conditionalFormatting>
  <conditionalFormatting sqref="B114:B115">
    <cfRule type="expression" dxfId="1341" priority="1420" stopIfTrue="1">
      <formula>$A114="Chkvlv"</formula>
    </cfRule>
    <cfRule type="expression" dxfId="1340" priority="1446" stopIfTrue="1">
      <formula>$A114="Relapnr"</formula>
    </cfRule>
    <cfRule type="expression" dxfId="1339" priority="1451" stopIfTrue="1">
      <formula>$A114="InitGas"</formula>
    </cfRule>
    <cfRule type="expression" dxfId="1338" priority="1457" stopIfTrue="1">
      <formula>$A114="Replacements"</formula>
    </cfRule>
    <cfRule type="expression" dxfId="1337" priority="1461" stopIfTrue="1">
      <formula>$A114="Custom"</formula>
    </cfRule>
    <cfRule type="expression" dxfId="1336" priority="1466" stopIfTrue="1">
      <formula>$A114="Triplog"</formula>
    </cfRule>
  </conditionalFormatting>
  <conditionalFormatting sqref="C114:C115 Q114:S115 F114:G115">
    <cfRule type="expression" dxfId="1335" priority="1421" stopIfTrue="1">
      <formula>$A114="Chkvlv"</formula>
    </cfRule>
  </conditionalFormatting>
  <conditionalFormatting sqref="D114:D115">
    <cfRule type="expression" dxfId="1334" priority="1422" stopIfTrue="1">
      <formula>$A114="Chkvlv"</formula>
    </cfRule>
    <cfRule type="expression" dxfId="1333" priority="1468" stopIfTrue="1">
      <formula>$A114="Triplog"</formula>
    </cfRule>
  </conditionalFormatting>
  <conditionalFormatting sqref="U114:U115">
    <cfRule type="expression" dxfId="1332" priority="1423" stopIfTrue="1">
      <formula>$A114="Chkvlv"</formula>
    </cfRule>
    <cfRule type="expression" dxfId="1331" priority="1441" stopIfTrue="1">
      <formula>$A114="Snglvol"</formula>
    </cfRule>
  </conditionalFormatting>
  <conditionalFormatting sqref="M114:M115">
    <cfRule type="expression" dxfId="1330" priority="1424" stopIfTrue="1">
      <formula>$A114="Chkvlv"</formula>
    </cfRule>
    <cfRule type="expression" dxfId="1329" priority="1442" stopIfTrue="1">
      <formula>$A114="Snglvol"</formula>
    </cfRule>
  </conditionalFormatting>
  <conditionalFormatting sqref="C114:C115">
    <cfRule type="expression" dxfId="1328" priority="1425" stopIfTrue="1">
      <formula>$A114="Inrvlv"</formula>
    </cfRule>
    <cfRule type="expression" dxfId="1327" priority="1449" stopIfTrue="1">
      <formula>$A114="Init"</formula>
    </cfRule>
    <cfRule type="expression" dxfId="1326" priority="1455" stopIfTrue="1">
      <formula>$A114="Timestep"</formula>
    </cfRule>
    <cfRule type="expression" dxfId="1325" priority="1467" stopIfTrue="1">
      <formula>$A114="Triplog"</formula>
    </cfRule>
  </conditionalFormatting>
  <conditionalFormatting sqref="Q114:R115 F114:G115 D114:D115">
    <cfRule type="expression" dxfId="1324" priority="1426" stopIfTrue="1">
      <formula>$A114="Inrvlv"</formula>
    </cfRule>
  </conditionalFormatting>
  <conditionalFormatting sqref="S114:S115">
    <cfRule type="expression" dxfId="1323" priority="1427" stopIfTrue="1">
      <formula>$A114="Inrvlv"</formula>
    </cfRule>
    <cfRule type="expression" dxfId="1322" priority="1431" stopIfTrue="1">
      <formula>$A114="Tmdpjun"</formula>
    </cfRule>
    <cfRule type="expression" dxfId="1321" priority="1434" stopIfTrue="1">
      <formula>$A114="Pump"</formula>
    </cfRule>
    <cfRule type="expression" dxfId="1320" priority="1437" stopIfTrue="1">
      <formula>$A114="Tmdpvol"</formula>
    </cfRule>
    <cfRule type="expression" dxfId="1319" priority="1444" stopIfTrue="1">
      <formula>$A114="Snglvol"</formula>
    </cfRule>
  </conditionalFormatting>
  <conditionalFormatting sqref="Q114:Q115 F114:G115 C114:D115">
    <cfRule type="expression" dxfId="1318" priority="1429" stopIfTrue="1">
      <formula>$A114="Tmdpjun"</formula>
    </cfRule>
  </conditionalFormatting>
  <conditionalFormatting sqref="Q114:Q115 D114:D115">
    <cfRule type="expression" dxfId="1317" priority="1432" stopIfTrue="1">
      <formula>$A114="Pump"</formula>
    </cfRule>
  </conditionalFormatting>
  <conditionalFormatting sqref="T114:T115 H114:I115 D114:D115 M114:P115">
    <cfRule type="expression" dxfId="1316" priority="1435" stopIfTrue="1">
      <formula>$A114="Tmdpvol"</formula>
    </cfRule>
  </conditionalFormatting>
  <conditionalFormatting sqref="B114:B115">
    <cfRule type="expression" dxfId="1315" priority="1438" stopIfTrue="1">
      <formula>$A114="Snglvol"</formula>
    </cfRule>
    <cfRule type="expression" dxfId="1314" priority="1448" stopIfTrue="1">
      <formula>$A114="Init"</formula>
    </cfRule>
    <cfRule type="expression" dxfId="1313" priority="1454" stopIfTrue="1">
      <formula>$A114="Timestep"</formula>
    </cfRule>
    <cfRule type="expression" dxfId="1312" priority="1459" stopIfTrue="1">
      <formula>$A114="Triggerwords"</formula>
    </cfRule>
    <cfRule type="expression" dxfId="1311" priority="1463" stopIfTrue="1">
      <formula>$A114="Tripvar"</formula>
    </cfRule>
  </conditionalFormatting>
  <conditionalFormatting sqref="T114:T115 N114:Q115 H114:I115 D114:D115">
    <cfRule type="expression" dxfId="1310" priority="1440" stopIfTrue="1">
      <formula>$A114="Snglvol"</formula>
    </cfRule>
  </conditionalFormatting>
  <conditionalFormatting sqref="A114:A115">
    <cfRule type="expression" dxfId="1309" priority="1445" stopIfTrue="1">
      <formula>$A114="Relapnr"</formula>
    </cfRule>
  </conditionalFormatting>
  <conditionalFormatting sqref="A114:A115">
    <cfRule type="expression" dxfId="1308" priority="1447" stopIfTrue="1">
      <formula>$A114="Init"</formula>
    </cfRule>
  </conditionalFormatting>
  <conditionalFormatting sqref="A114:A115">
    <cfRule type="expression" dxfId="1307" priority="1450" stopIfTrue="1">
      <formula>$A114="InitGas"</formula>
    </cfRule>
  </conditionalFormatting>
  <conditionalFormatting sqref="A114:A115 D114:D115">
    <cfRule type="expression" dxfId="1306" priority="1453" stopIfTrue="1">
      <formula>$A114="Timestep"</formula>
    </cfRule>
  </conditionalFormatting>
  <conditionalFormatting sqref="A114:A115">
    <cfRule type="expression" dxfId="1305" priority="1456" stopIfTrue="1">
      <formula>$A114="Replacements"</formula>
    </cfRule>
  </conditionalFormatting>
  <conditionalFormatting sqref="A114:A115">
    <cfRule type="expression" dxfId="1304" priority="1458" stopIfTrue="1">
      <formula>$A114="Triggerwords"</formula>
    </cfRule>
  </conditionalFormatting>
  <conditionalFormatting sqref="A114:A115">
    <cfRule type="expression" dxfId="1303" priority="1460" stopIfTrue="1">
      <formula>$A114="Custom"</formula>
    </cfRule>
  </conditionalFormatting>
  <conditionalFormatting sqref="A114:A115 F114:I115 D114:D115">
    <cfRule type="expression" dxfId="1302" priority="1462" stopIfTrue="1">
      <formula>$A114="Tripvar"</formula>
    </cfRule>
  </conditionalFormatting>
  <conditionalFormatting sqref="A114:A115 F114:F115">
    <cfRule type="expression" dxfId="1301" priority="1465" stopIfTrue="1">
      <formula>$A114="Triplog"</formula>
    </cfRule>
  </conditionalFormatting>
  <conditionalFormatting sqref="L114:L115">
    <cfRule type="expression" dxfId="1300" priority="1390" stopIfTrue="1">
      <formula>$A114="Pipe"</formula>
    </cfRule>
  </conditionalFormatting>
  <conditionalFormatting sqref="L114:L115">
    <cfRule type="expression" dxfId="1299" priority="1391" stopIfTrue="1">
      <formula>$A114="Junction"</formula>
    </cfRule>
  </conditionalFormatting>
  <conditionalFormatting sqref="L114:L115">
    <cfRule type="expression" dxfId="1298" priority="1392" stopIfTrue="1">
      <formula>$A114="Sngljun"</formula>
    </cfRule>
  </conditionalFormatting>
  <conditionalFormatting sqref="L114:L115">
    <cfRule type="expression" dxfId="1297" priority="1393" stopIfTrue="1">
      <formula>$A114="Mtrvlv"</formula>
    </cfRule>
  </conditionalFormatting>
  <conditionalFormatting sqref="L114:L115">
    <cfRule type="expression" dxfId="1296" priority="1394" stopIfTrue="1">
      <formula>$A114="Srvvlv"</formula>
    </cfRule>
  </conditionalFormatting>
  <conditionalFormatting sqref="L114:L115">
    <cfRule type="expression" dxfId="1295" priority="1395" stopIfTrue="1">
      <formula>$A114="Chkvlv"</formula>
    </cfRule>
  </conditionalFormatting>
  <conditionalFormatting sqref="L114:L115">
    <cfRule type="expression" dxfId="1294" priority="1396" stopIfTrue="1">
      <formula>$A114="Inrvlv"</formula>
    </cfRule>
  </conditionalFormatting>
  <conditionalFormatting sqref="L114:L115">
    <cfRule type="expression" dxfId="1293" priority="1397" stopIfTrue="1">
      <formula>$A114="Tmdpjun"</formula>
    </cfRule>
  </conditionalFormatting>
  <conditionalFormatting sqref="L114:L115">
    <cfRule type="expression" dxfId="1292" priority="1398" stopIfTrue="1">
      <formula>$A114="Pump"</formula>
    </cfRule>
  </conditionalFormatting>
  <conditionalFormatting sqref="L114:L115">
    <cfRule type="expression" dxfId="1291" priority="1399" stopIfTrue="1">
      <formula>$A114="Tmdpvol"</formula>
    </cfRule>
  </conditionalFormatting>
  <conditionalFormatting sqref="L114:L115">
    <cfRule type="expression" dxfId="1290" priority="1400" stopIfTrue="1">
      <formula>$A114="Snglvol"</formula>
    </cfRule>
  </conditionalFormatting>
  <conditionalFormatting sqref="E114:E115">
    <cfRule type="expression" dxfId="1289" priority="1117" stopIfTrue="1">
      <formula>$A114="Pipe"</formula>
    </cfRule>
  </conditionalFormatting>
  <conditionalFormatting sqref="E114:E115">
    <cfRule type="expression" dxfId="1288" priority="1118" stopIfTrue="1">
      <formula>$A114="Junction"</formula>
    </cfRule>
  </conditionalFormatting>
  <conditionalFormatting sqref="K114:K115">
    <cfRule type="expression" dxfId="1287" priority="1367" stopIfTrue="1">
      <formula>$A114="Mtrvlv"</formula>
    </cfRule>
  </conditionalFormatting>
  <conditionalFormatting sqref="K114:K115">
    <cfRule type="expression" dxfId="1286" priority="1368" stopIfTrue="1">
      <formula>$A114="Srvvlv"</formula>
    </cfRule>
  </conditionalFormatting>
  <conditionalFormatting sqref="K114:K115">
    <cfRule type="expression" dxfId="1285" priority="1369" stopIfTrue="1">
      <formula>$A114="Inrvlv"</formula>
    </cfRule>
  </conditionalFormatting>
  <conditionalFormatting sqref="K114:K115">
    <cfRule type="expression" dxfId="1284" priority="1370" stopIfTrue="1">
      <formula>$A114="Tmdpjun"</formula>
    </cfRule>
  </conditionalFormatting>
  <conditionalFormatting sqref="K114:K115">
    <cfRule type="expression" dxfId="1283" priority="1371" stopIfTrue="1">
      <formula>$A114="Pump"</formula>
    </cfRule>
  </conditionalFormatting>
  <conditionalFormatting sqref="K114:K115">
    <cfRule type="expression" dxfId="1282" priority="1372" stopIfTrue="1">
      <formula>$A114="Tmdpvol"</formula>
    </cfRule>
  </conditionalFormatting>
  <conditionalFormatting sqref="K114:K115">
    <cfRule type="expression" dxfId="1281" priority="1373" stopIfTrue="1">
      <formula>$A114="Sngljun"</formula>
    </cfRule>
  </conditionalFormatting>
  <conditionalFormatting sqref="K114:K115">
    <cfRule type="expression" dxfId="1280" priority="1374" stopIfTrue="1">
      <formula>$A114="Chkvlv"</formula>
    </cfRule>
    <cfRule type="expression" dxfId="1279" priority="1375" stopIfTrue="1">
      <formula>$A114="Snglvol"</formula>
    </cfRule>
  </conditionalFormatting>
  <conditionalFormatting sqref="U110:V111 Q110:Q111 A110:D111 F110:J111">
    <cfRule type="expression" dxfId="1278" priority="1297" stopIfTrue="1">
      <formula>$A110="Pipe"</formula>
    </cfRule>
  </conditionalFormatting>
  <conditionalFormatting sqref="M110:P111 U110:V111 A110:B111 H110:J111">
    <cfRule type="expression" dxfId="1277" priority="1298" stopIfTrue="1">
      <formula>$A110="Junction"</formula>
    </cfRule>
  </conditionalFormatting>
  <conditionalFormatting sqref="M110:P111 T110:V111 A110:B111 H110:J111">
    <cfRule type="expression" dxfId="1276" priority="1299" stopIfTrue="1">
      <formula>$A110="Mtrvlv"</formula>
    </cfRule>
  </conditionalFormatting>
  <conditionalFormatting sqref="M110:P111 T110:V111 B110:B111 H110:J111">
    <cfRule type="expression" dxfId="1275" priority="1300" stopIfTrue="1">
      <formula>$A110="Srvvlv"</formula>
    </cfRule>
  </conditionalFormatting>
  <conditionalFormatting sqref="V110:V111 T110:T111 N110:P111 A110:A111 H110:J111">
    <cfRule type="expression" dxfId="1274" priority="1301" stopIfTrue="1">
      <formula>$A110="Chkvlv"</formula>
    </cfRule>
  </conditionalFormatting>
  <conditionalFormatting sqref="M110:P111 T110:V111 A110:B111 H110:J111">
    <cfRule type="expression" dxfId="1273" priority="1302" stopIfTrue="1">
      <formula>$A110="Inrvlv"</formula>
    </cfRule>
  </conditionalFormatting>
  <conditionalFormatting sqref="M110:P111 T110:V111 B110:B111 H110:J111">
    <cfRule type="expression" dxfId="1272" priority="1303" stopIfTrue="1">
      <formula>$A110="Tmdpjun"</formula>
    </cfRule>
  </conditionalFormatting>
  <conditionalFormatting sqref="M110:P111 T110:V111 A110:C111 F110:J111">
    <cfRule type="expression" dxfId="1271" priority="1304" stopIfTrue="1">
      <formula>$A110="Pump"</formula>
    </cfRule>
  </conditionalFormatting>
  <conditionalFormatting sqref="U110:V111 Q110:Q111 J110:J111 F110:G111 A110:C111">
    <cfRule type="expression" dxfId="1270" priority="1305" stopIfTrue="1">
      <formula>$A110="Tmdpvol"</formula>
    </cfRule>
  </conditionalFormatting>
  <conditionalFormatting sqref="V110:V111 J110:J111 F110:G111 A110:A111">
    <cfRule type="expression" dxfId="1269" priority="1306" stopIfTrue="1">
      <formula>$A110="Snglvol"</formula>
    </cfRule>
  </conditionalFormatting>
  <conditionalFormatting sqref="M110:P111 U110:V111 A110:B111 H110:J111">
    <cfRule type="expression" dxfId="1268" priority="1307" stopIfTrue="1">
      <formula>$A110="Sngljun"</formula>
    </cfRule>
  </conditionalFormatting>
  <conditionalFormatting sqref="M110:P111 R110:T111">
    <cfRule type="expression" dxfId="1267" priority="1308" stopIfTrue="1">
      <formula>$A110="Pipe"</formula>
    </cfRule>
  </conditionalFormatting>
  <conditionalFormatting sqref="C110:C111">
    <cfRule type="expression" dxfId="1266" priority="1309" stopIfTrue="1">
      <formula>$A110="Junction"</formula>
    </cfRule>
    <cfRule type="expression" dxfId="1265" priority="1335" stopIfTrue="1">
      <formula>$A110="Snglvol"</formula>
    </cfRule>
    <cfRule type="expression" dxfId="1264" priority="1348" stopIfTrue="1">
      <formula>$A110="InitGas"</formula>
    </cfRule>
    <cfRule type="expression" dxfId="1263" priority="1360" stopIfTrue="1">
      <formula>$A110="Tripvar"</formula>
    </cfRule>
  </conditionalFormatting>
  <conditionalFormatting sqref="Q110:T111 F110:G111 D110:D111">
    <cfRule type="expression" dxfId="1262" priority="1310" stopIfTrue="1">
      <formula>$A110="Junction"</formula>
    </cfRule>
  </conditionalFormatting>
  <conditionalFormatting sqref="Q110:T111 F110:G111 C110:D111">
    <cfRule type="expression" dxfId="1261" priority="1311" stopIfTrue="1">
      <formula>$A110="Sngljun"</formula>
    </cfRule>
  </conditionalFormatting>
  <conditionalFormatting sqref="Q110:S111 F110:G111 C110:D111">
    <cfRule type="expression" dxfId="1260" priority="1312" stopIfTrue="1">
      <formula>$A110="Mtrvlv"</formula>
    </cfRule>
  </conditionalFormatting>
  <conditionalFormatting sqref="A110:A111">
    <cfRule type="expression" dxfId="1259" priority="1313" stopIfTrue="1">
      <formula>$A110="Srvvlv"</formula>
    </cfRule>
    <cfRule type="expression" dxfId="1258" priority="1324" stopIfTrue="1">
      <formula>$A110="Tmdpjun"</formula>
    </cfRule>
  </conditionalFormatting>
  <conditionalFormatting sqref="S110:S111 Q110:Q111 F110:G111 C110:D111">
    <cfRule type="expression" dxfId="1257" priority="1314" stopIfTrue="1">
      <formula>$A110="Srvvlv"</formula>
    </cfRule>
  </conditionalFormatting>
  <conditionalFormatting sqref="R110:R111">
    <cfRule type="expression" dxfId="1256" priority="1315" stopIfTrue="1">
      <formula>$A110="Srvvlv"</formula>
    </cfRule>
    <cfRule type="expression" dxfId="1255" priority="1326" stopIfTrue="1">
      <formula>$A110="Tmdpjun"</formula>
    </cfRule>
    <cfRule type="expression" dxfId="1254" priority="1329" stopIfTrue="1">
      <formula>$A110="Pump"</formula>
    </cfRule>
    <cfRule type="expression" dxfId="1253" priority="1332" stopIfTrue="1">
      <formula>$A110="Tmdpvol"</formula>
    </cfRule>
    <cfRule type="expression" dxfId="1252" priority="1339" stopIfTrue="1">
      <formula>$A110="Snglvol"</formula>
    </cfRule>
  </conditionalFormatting>
  <conditionalFormatting sqref="B110:B111">
    <cfRule type="expression" dxfId="1251" priority="1316" stopIfTrue="1">
      <formula>$A110="Chkvlv"</formula>
    </cfRule>
    <cfRule type="expression" dxfId="1250" priority="1342" stopIfTrue="1">
      <formula>$A110="Relapnr"</formula>
    </cfRule>
    <cfRule type="expression" dxfId="1249" priority="1347" stopIfTrue="1">
      <formula>$A110="InitGas"</formula>
    </cfRule>
    <cfRule type="expression" dxfId="1248" priority="1353" stopIfTrue="1">
      <formula>$A110="Replacements"</formula>
    </cfRule>
    <cfRule type="expression" dxfId="1247" priority="1357" stopIfTrue="1">
      <formula>$A110="Custom"</formula>
    </cfRule>
    <cfRule type="expression" dxfId="1246" priority="1362" stopIfTrue="1">
      <formula>$A110="Triplog"</formula>
    </cfRule>
  </conditionalFormatting>
  <conditionalFormatting sqref="C110:C111 Q110:S111 F110:G111">
    <cfRule type="expression" dxfId="1245" priority="1317" stopIfTrue="1">
      <formula>$A110="Chkvlv"</formula>
    </cfRule>
  </conditionalFormatting>
  <conditionalFormatting sqref="D110:D111">
    <cfRule type="expression" dxfId="1244" priority="1318" stopIfTrue="1">
      <formula>$A110="Chkvlv"</formula>
    </cfRule>
    <cfRule type="expression" dxfId="1243" priority="1364" stopIfTrue="1">
      <formula>$A110="Triplog"</formula>
    </cfRule>
  </conditionalFormatting>
  <conditionalFormatting sqref="U110:U111">
    <cfRule type="expression" dxfId="1242" priority="1319" stopIfTrue="1">
      <formula>$A110="Chkvlv"</formula>
    </cfRule>
    <cfRule type="expression" dxfId="1241" priority="1337" stopIfTrue="1">
      <formula>$A110="Snglvol"</formula>
    </cfRule>
  </conditionalFormatting>
  <conditionalFormatting sqref="M110:M111">
    <cfRule type="expression" dxfId="1240" priority="1320" stopIfTrue="1">
      <formula>$A110="Chkvlv"</formula>
    </cfRule>
    <cfRule type="expression" dxfId="1239" priority="1338" stopIfTrue="1">
      <formula>$A110="Snglvol"</formula>
    </cfRule>
  </conditionalFormatting>
  <conditionalFormatting sqref="C110:C111">
    <cfRule type="expression" dxfId="1238" priority="1321" stopIfTrue="1">
      <formula>$A110="Inrvlv"</formula>
    </cfRule>
    <cfRule type="expression" dxfId="1237" priority="1345" stopIfTrue="1">
      <formula>$A110="Init"</formula>
    </cfRule>
    <cfRule type="expression" dxfId="1236" priority="1351" stopIfTrue="1">
      <formula>$A110="Timestep"</formula>
    </cfRule>
    <cfRule type="expression" dxfId="1235" priority="1363" stopIfTrue="1">
      <formula>$A110="Triplog"</formula>
    </cfRule>
  </conditionalFormatting>
  <conditionalFormatting sqref="Q110:R111 F110:G111 D110:D111">
    <cfRule type="expression" dxfId="1234" priority="1322" stopIfTrue="1">
      <formula>$A110="Inrvlv"</formula>
    </cfRule>
  </conditionalFormatting>
  <conditionalFormatting sqref="S110:S111">
    <cfRule type="expression" dxfId="1233" priority="1323" stopIfTrue="1">
      <formula>$A110="Inrvlv"</formula>
    </cfRule>
    <cfRule type="expression" dxfId="1232" priority="1327" stopIfTrue="1">
      <formula>$A110="Tmdpjun"</formula>
    </cfRule>
    <cfRule type="expression" dxfId="1231" priority="1330" stopIfTrue="1">
      <formula>$A110="Pump"</formula>
    </cfRule>
    <cfRule type="expression" dxfId="1230" priority="1333" stopIfTrue="1">
      <formula>$A110="Tmdpvol"</formula>
    </cfRule>
    <cfRule type="expression" dxfId="1229" priority="1340" stopIfTrue="1">
      <formula>$A110="Snglvol"</formula>
    </cfRule>
  </conditionalFormatting>
  <conditionalFormatting sqref="Q110:Q111 F110:G111 C110:D111">
    <cfRule type="expression" dxfId="1228" priority="1325" stopIfTrue="1">
      <formula>$A110="Tmdpjun"</formula>
    </cfRule>
  </conditionalFormatting>
  <conditionalFormatting sqref="Q110:Q111 D110:D111">
    <cfRule type="expression" dxfId="1227" priority="1328" stopIfTrue="1">
      <formula>$A110="Pump"</formula>
    </cfRule>
  </conditionalFormatting>
  <conditionalFormatting sqref="T110:T111 D110:D111 M110:P111 H110:I111">
    <cfRule type="expression" dxfId="1226" priority="1331" stopIfTrue="1">
      <formula>$A110="Tmdpvol"</formula>
    </cfRule>
  </conditionalFormatting>
  <conditionalFormatting sqref="B110:B111">
    <cfRule type="expression" dxfId="1225" priority="1334" stopIfTrue="1">
      <formula>$A110="Snglvol"</formula>
    </cfRule>
    <cfRule type="expression" dxfId="1224" priority="1344" stopIfTrue="1">
      <formula>$A110="Init"</formula>
    </cfRule>
    <cfRule type="expression" dxfId="1223" priority="1350" stopIfTrue="1">
      <formula>$A110="Timestep"</formula>
    </cfRule>
    <cfRule type="expression" dxfId="1222" priority="1355" stopIfTrue="1">
      <formula>$A110="Triggerwords"</formula>
    </cfRule>
    <cfRule type="expression" dxfId="1221" priority="1359" stopIfTrue="1">
      <formula>$A110="Tripvar"</formula>
    </cfRule>
  </conditionalFormatting>
  <conditionalFormatting sqref="T110:T111 N110:Q111 D110:D111 H110:I111">
    <cfRule type="expression" dxfId="1220" priority="1336" stopIfTrue="1">
      <formula>$A110="Snglvol"</formula>
    </cfRule>
  </conditionalFormatting>
  <conditionalFormatting sqref="A110:A111">
    <cfRule type="expression" dxfId="1219" priority="1341" stopIfTrue="1">
      <formula>$A110="Relapnr"</formula>
    </cfRule>
  </conditionalFormatting>
  <conditionalFormatting sqref="A110:A111">
    <cfRule type="expression" dxfId="1218" priority="1343" stopIfTrue="1">
      <formula>$A110="Init"</formula>
    </cfRule>
  </conditionalFormatting>
  <conditionalFormatting sqref="A110:A111">
    <cfRule type="expression" dxfId="1217" priority="1346" stopIfTrue="1">
      <formula>$A110="InitGas"</formula>
    </cfRule>
  </conditionalFormatting>
  <conditionalFormatting sqref="A110:A111 D110:D111">
    <cfRule type="expression" dxfId="1216" priority="1349" stopIfTrue="1">
      <formula>$A110="Timestep"</formula>
    </cfRule>
  </conditionalFormatting>
  <conditionalFormatting sqref="A110:A111">
    <cfRule type="expression" dxfId="1215" priority="1352" stopIfTrue="1">
      <formula>$A110="Replacements"</formula>
    </cfRule>
  </conditionalFormatting>
  <conditionalFormatting sqref="A110:A111">
    <cfRule type="expression" dxfId="1214" priority="1354" stopIfTrue="1">
      <formula>$A110="Triggerwords"</formula>
    </cfRule>
  </conditionalFormatting>
  <conditionalFormatting sqref="A110:A111">
    <cfRule type="expression" dxfId="1213" priority="1356" stopIfTrue="1">
      <formula>$A110="Custom"</formula>
    </cfRule>
  </conditionalFormatting>
  <conditionalFormatting sqref="A110:A111 D110:D111 F110:I111">
    <cfRule type="expression" dxfId="1212" priority="1358" stopIfTrue="1">
      <formula>$A110="Tripvar"</formula>
    </cfRule>
  </conditionalFormatting>
  <conditionalFormatting sqref="A110:A111 F110:F111">
    <cfRule type="expression" dxfId="1211" priority="1361" stopIfTrue="1">
      <formula>$A110="Triplog"</formula>
    </cfRule>
  </conditionalFormatting>
  <conditionalFormatting sqref="L110:L111">
    <cfRule type="expression" dxfId="1210" priority="1286" stopIfTrue="1">
      <formula>$A110="Pipe"</formula>
    </cfRule>
  </conditionalFormatting>
  <conditionalFormatting sqref="L110:L111">
    <cfRule type="expression" dxfId="1209" priority="1287" stopIfTrue="1">
      <formula>$A110="Junction"</formula>
    </cfRule>
  </conditionalFormatting>
  <conditionalFormatting sqref="L110:L111">
    <cfRule type="expression" dxfId="1208" priority="1288" stopIfTrue="1">
      <formula>$A110="Sngljun"</formula>
    </cfRule>
  </conditionalFormatting>
  <conditionalFormatting sqref="L110:L111">
    <cfRule type="expression" dxfId="1207" priority="1289" stopIfTrue="1">
      <formula>$A110="Mtrvlv"</formula>
    </cfRule>
  </conditionalFormatting>
  <conditionalFormatting sqref="L110:L111">
    <cfRule type="expression" dxfId="1206" priority="1290" stopIfTrue="1">
      <formula>$A110="Srvvlv"</formula>
    </cfRule>
  </conditionalFormatting>
  <conditionalFormatting sqref="L110:L111">
    <cfRule type="expression" dxfId="1205" priority="1291" stopIfTrue="1">
      <formula>$A110="Chkvlv"</formula>
    </cfRule>
  </conditionalFormatting>
  <conditionalFormatting sqref="L110:L111">
    <cfRule type="expression" dxfId="1204" priority="1292" stopIfTrue="1">
      <formula>$A110="Inrvlv"</formula>
    </cfRule>
  </conditionalFormatting>
  <conditionalFormatting sqref="L110:L111">
    <cfRule type="expression" dxfId="1203" priority="1293" stopIfTrue="1">
      <formula>$A110="Tmdpjun"</formula>
    </cfRule>
  </conditionalFormatting>
  <conditionalFormatting sqref="L110:L111">
    <cfRule type="expression" dxfId="1202" priority="1294" stopIfTrue="1">
      <formula>$A110="Pump"</formula>
    </cfRule>
  </conditionalFormatting>
  <conditionalFormatting sqref="L110:L111">
    <cfRule type="expression" dxfId="1201" priority="1295" stopIfTrue="1">
      <formula>$A110="Tmdpvol"</formula>
    </cfRule>
  </conditionalFormatting>
  <conditionalFormatting sqref="L110:L111">
    <cfRule type="expression" dxfId="1200" priority="1296" stopIfTrue="1">
      <formula>$A110="Snglvol"</formula>
    </cfRule>
  </conditionalFormatting>
  <conditionalFormatting sqref="E111">
    <cfRule type="expression" dxfId="1199" priority="1272" stopIfTrue="1">
      <formula>$A111="Pipe"</formula>
    </cfRule>
  </conditionalFormatting>
  <conditionalFormatting sqref="E111">
    <cfRule type="expression" dxfId="1198" priority="1273" stopIfTrue="1">
      <formula>$A111="Junction"</formula>
    </cfRule>
  </conditionalFormatting>
  <conditionalFormatting sqref="E111">
    <cfRule type="expression" dxfId="1197" priority="1274" stopIfTrue="1">
      <formula>$A111="Sngljun"</formula>
    </cfRule>
  </conditionalFormatting>
  <conditionalFormatting sqref="E111">
    <cfRule type="expression" dxfId="1196" priority="1275" stopIfTrue="1">
      <formula>$A111="Mtrvlv"</formula>
    </cfRule>
  </conditionalFormatting>
  <conditionalFormatting sqref="E111">
    <cfRule type="expression" dxfId="1195" priority="1276" stopIfTrue="1">
      <formula>$A111="Srvvlv"</formula>
    </cfRule>
  </conditionalFormatting>
  <conditionalFormatting sqref="E111">
    <cfRule type="expression" dxfId="1194" priority="1277" stopIfTrue="1">
      <formula>$A111="Chkvlv"</formula>
    </cfRule>
  </conditionalFormatting>
  <conditionalFormatting sqref="E111">
    <cfRule type="expression" dxfId="1193" priority="1278" stopIfTrue="1">
      <formula>$A111="Inrvlv"</formula>
    </cfRule>
  </conditionalFormatting>
  <conditionalFormatting sqref="E111">
    <cfRule type="expression" dxfId="1192" priority="1279" stopIfTrue="1">
      <formula>$A111="Tmdpjun"</formula>
    </cfRule>
  </conditionalFormatting>
  <conditionalFormatting sqref="E111">
    <cfRule type="expression" dxfId="1191" priority="1280" stopIfTrue="1">
      <formula>$A111="Pump"</formula>
    </cfRule>
  </conditionalFormatting>
  <conditionalFormatting sqref="E111">
    <cfRule type="expression" dxfId="1190" priority="1281" stopIfTrue="1">
      <formula>$A111="Tmdpvol"</formula>
    </cfRule>
  </conditionalFormatting>
  <conditionalFormatting sqref="E111">
    <cfRule type="expression" dxfId="1189" priority="1282" stopIfTrue="1">
      <formula>$A111="Snglvol"</formula>
    </cfRule>
  </conditionalFormatting>
  <conditionalFormatting sqref="E111">
    <cfRule type="expression" dxfId="1188" priority="1283" stopIfTrue="1">
      <formula>$A111="Timestep"</formula>
    </cfRule>
  </conditionalFormatting>
  <conditionalFormatting sqref="E111">
    <cfRule type="expression" dxfId="1187" priority="1284" stopIfTrue="1">
      <formula>$A111="Tripvar"</formula>
    </cfRule>
  </conditionalFormatting>
  <conditionalFormatting sqref="E111">
    <cfRule type="expression" dxfId="1186" priority="1285" stopIfTrue="1">
      <formula>$A111="Triplog"</formula>
    </cfRule>
  </conditionalFormatting>
  <conditionalFormatting sqref="K110:K111">
    <cfRule type="expression" dxfId="1185" priority="1261" stopIfTrue="1">
      <formula>$A110="Pipe"</formula>
    </cfRule>
  </conditionalFormatting>
  <conditionalFormatting sqref="K110:K111">
    <cfRule type="expression" dxfId="1184" priority="1262" stopIfTrue="1">
      <formula>$A110="Junction"</formula>
    </cfRule>
  </conditionalFormatting>
  <conditionalFormatting sqref="K110:K111">
    <cfRule type="expression" dxfId="1183" priority="1263" stopIfTrue="1">
      <formula>$A110="Mtrvlv"</formula>
    </cfRule>
  </conditionalFormatting>
  <conditionalFormatting sqref="K110:K111">
    <cfRule type="expression" dxfId="1182" priority="1264" stopIfTrue="1">
      <formula>$A110="Srvvlv"</formula>
    </cfRule>
  </conditionalFormatting>
  <conditionalFormatting sqref="K110:K111">
    <cfRule type="expression" dxfId="1181" priority="1265" stopIfTrue="1">
      <formula>$A110="Inrvlv"</formula>
    </cfRule>
  </conditionalFormatting>
  <conditionalFormatting sqref="K110:K111">
    <cfRule type="expression" dxfId="1180" priority="1266" stopIfTrue="1">
      <formula>$A110="Tmdpjun"</formula>
    </cfRule>
  </conditionalFormatting>
  <conditionalFormatting sqref="K110:K111">
    <cfRule type="expression" dxfId="1179" priority="1267" stopIfTrue="1">
      <formula>$A110="Pump"</formula>
    </cfRule>
  </conditionalFormatting>
  <conditionalFormatting sqref="K110:K111">
    <cfRule type="expression" dxfId="1178" priority="1268" stopIfTrue="1">
      <formula>$A110="Tmdpvol"</formula>
    </cfRule>
  </conditionalFormatting>
  <conditionalFormatting sqref="K110:K111">
    <cfRule type="expression" dxfId="1177" priority="1269" stopIfTrue="1">
      <formula>$A110="Sngljun"</formula>
    </cfRule>
  </conditionalFormatting>
  <conditionalFormatting sqref="K110:K111">
    <cfRule type="expression" dxfId="1176" priority="1270" stopIfTrue="1">
      <formula>$A110="Chkvlv"</formula>
    </cfRule>
    <cfRule type="expression" dxfId="1175" priority="1271" stopIfTrue="1">
      <formula>$A110="Snglvol"</formula>
    </cfRule>
  </conditionalFormatting>
  <conditionalFormatting sqref="K112">
    <cfRule type="expression" dxfId="1174" priority="1157" stopIfTrue="1">
      <formula>$A112="Pipe"</formula>
    </cfRule>
  </conditionalFormatting>
  <conditionalFormatting sqref="K112">
    <cfRule type="expression" dxfId="1173" priority="1158" stopIfTrue="1">
      <formula>$A112="Junction"</formula>
    </cfRule>
  </conditionalFormatting>
  <conditionalFormatting sqref="U112:V112 Q112 A112:D112 F112:J112">
    <cfRule type="expression" dxfId="1172" priority="1193" stopIfTrue="1">
      <formula>$A112="Pipe"</formula>
    </cfRule>
  </conditionalFormatting>
  <conditionalFormatting sqref="M112:P112 U112:V112 A112:B112 H112:J112">
    <cfRule type="expression" dxfId="1171" priority="1194" stopIfTrue="1">
      <formula>$A112="Junction"</formula>
    </cfRule>
  </conditionalFormatting>
  <conditionalFormatting sqref="M112:P112 T112:V112 A112:B112 H112:J112">
    <cfRule type="expression" dxfId="1170" priority="1195" stopIfTrue="1">
      <formula>$A112="Mtrvlv"</formula>
    </cfRule>
  </conditionalFormatting>
  <conditionalFormatting sqref="M112:P112 T112:V112 B112 H112:J112">
    <cfRule type="expression" dxfId="1169" priority="1196" stopIfTrue="1">
      <formula>$A112="Srvvlv"</formula>
    </cfRule>
  </conditionalFormatting>
  <conditionalFormatting sqref="V112 T112 N112:P112 A112 H112:J112">
    <cfRule type="expression" dxfId="1168" priority="1197" stopIfTrue="1">
      <formula>$A112="Chkvlv"</formula>
    </cfRule>
  </conditionalFormatting>
  <conditionalFormatting sqref="M112:P112 T112:V112 A112:B112 H112:J112">
    <cfRule type="expression" dxfId="1167" priority="1198" stopIfTrue="1">
      <formula>$A112="Inrvlv"</formula>
    </cfRule>
  </conditionalFormatting>
  <conditionalFormatting sqref="M112:P112 T112:V112 B112 H112:J112">
    <cfRule type="expression" dxfId="1166" priority="1199" stopIfTrue="1">
      <formula>$A112="Tmdpjun"</formula>
    </cfRule>
  </conditionalFormatting>
  <conditionalFormatting sqref="M112:P112 T112:V112 A112:C112 F112:J112">
    <cfRule type="expression" dxfId="1165" priority="1200" stopIfTrue="1">
      <formula>$A112="Pump"</formula>
    </cfRule>
  </conditionalFormatting>
  <conditionalFormatting sqref="U112:V112 Q112 J112 F112:G112 A112:C112">
    <cfRule type="expression" dxfId="1164" priority="1201" stopIfTrue="1">
      <formula>$A112="Tmdpvol"</formula>
    </cfRule>
  </conditionalFormatting>
  <conditionalFormatting sqref="V112 J112 F112:G112 A112">
    <cfRule type="expression" dxfId="1163" priority="1202" stopIfTrue="1">
      <formula>$A112="Snglvol"</formula>
    </cfRule>
  </conditionalFormatting>
  <conditionalFormatting sqref="M112:P112 U112:V112 A112:B112 H112:J112">
    <cfRule type="expression" dxfId="1162" priority="1203" stopIfTrue="1">
      <formula>$A112="Sngljun"</formula>
    </cfRule>
  </conditionalFormatting>
  <conditionalFormatting sqref="M112:P112 R112:T112">
    <cfRule type="expression" dxfId="1161" priority="1204" stopIfTrue="1">
      <formula>$A112="Pipe"</formula>
    </cfRule>
  </conditionalFormatting>
  <conditionalFormatting sqref="C112">
    <cfRule type="expression" dxfId="1160" priority="1205" stopIfTrue="1">
      <formula>$A112="Junction"</formula>
    </cfRule>
    <cfRule type="expression" dxfId="1159" priority="1231" stopIfTrue="1">
      <formula>$A112="Snglvol"</formula>
    </cfRule>
    <cfRule type="expression" dxfId="1158" priority="1244" stopIfTrue="1">
      <formula>$A112="InitGas"</formula>
    </cfRule>
    <cfRule type="expression" dxfId="1157" priority="1256" stopIfTrue="1">
      <formula>$A112="Tripvar"</formula>
    </cfRule>
  </conditionalFormatting>
  <conditionalFormatting sqref="Q112:T112 F112:G112 D112">
    <cfRule type="expression" dxfId="1156" priority="1206" stopIfTrue="1">
      <formula>$A112="Junction"</formula>
    </cfRule>
  </conditionalFormatting>
  <conditionalFormatting sqref="Q112:T112 F112:G112 C112:D112">
    <cfRule type="expression" dxfId="1155" priority="1207" stopIfTrue="1">
      <formula>$A112="Sngljun"</formula>
    </cfRule>
  </conditionalFormatting>
  <conditionalFormatting sqref="Q112:S112 F112:G112 C112:D112">
    <cfRule type="expression" dxfId="1154" priority="1208" stopIfTrue="1">
      <formula>$A112="Mtrvlv"</formula>
    </cfRule>
  </conditionalFormatting>
  <conditionalFormatting sqref="A112">
    <cfRule type="expression" dxfId="1153" priority="1209" stopIfTrue="1">
      <formula>$A112="Srvvlv"</formula>
    </cfRule>
    <cfRule type="expression" dxfId="1152" priority="1220" stopIfTrue="1">
      <formula>$A112="Tmdpjun"</formula>
    </cfRule>
  </conditionalFormatting>
  <conditionalFormatting sqref="S112 Q112 F112:G112 C112:D112">
    <cfRule type="expression" dxfId="1151" priority="1210" stopIfTrue="1">
      <formula>$A112="Srvvlv"</formula>
    </cfRule>
  </conditionalFormatting>
  <conditionalFormatting sqref="R112">
    <cfRule type="expression" dxfId="1150" priority="1211" stopIfTrue="1">
      <formula>$A112="Srvvlv"</formula>
    </cfRule>
    <cfRule type="expression" dxfId="1149" priority="1222" stopIfTrue="1">
      <formula>$A112="Tmdpjun"</formula>
    </cfRule>
    <cfRule type="expression" dxfId="1148" priority="1225" stopIfTrue="1">
      <formula>$A112="Pump"</formula>
    </cfRule>
    <cfRule type="expression" dxfId="1147" priority="1228" stopIfTrue="1">
      <formula>$A112="Tmdpvol"</formula>
    </cfRule>
    <cfRule type="expression" dxfId="1146" priority="1235" stopIfTrue="1">
      <formula>$A112="Snglvol"</formula>
    </cfRule>
  </conditionalFormatting>
  <conditionalFormatting sqref="B112">
    <cfRule type="expression" dxfId="1145" priority="1212" stopIfTrue="1">
      <formula>$A112="Chkvlv"</formula>
    </cfRule>
    <cfRule type="expression" dxfId="1144" priority="1238" stopIfTrue="1">
      <formula>$A112="Relapnr"</formula>
    </cfRule>
    <cfRule type="expression" dxfId="1143" priority="1243" stopIfTrue="1">
      <formula>$A112="InitGas"</formula>
    </cfRule>
    <cfRule type="expression" dxfId="1142" priority="1249" stopIfTrue="1">
      <formula>$A112="Replacements"</formula>
    </cfRule>
    <cfRule type="expression" dxfId="1141" priority="1253" stopIfTrue="1">
      <formula>$A112="Custom"</formula>
    </cfRule>
    <cfRule type="expression" dxfId="1140" priority="1258" stopIfTrue="1">
      <formula>$A112="Triplog"</formula>
    </cfRule>
  </conditionalFormatting>
  <conditionalFormatting sqref="C112 Q112:S112 F112:G112">
    <cfRule type="expression" dxfId="1139" priority="1213" stopIfTrue="1">
      <formula>$A112="Chkvlv"</formula>
    </cfRule>
  </conditionalFormatting>
  <conditionalFormatting sqref="D112">
    <cfRule type="expression" dxfId="1138" priority="1214" stopIfTrue="1">
      <formula>$A112="Chkvlv"</formula>
    </cfRule>
    <cfRule type="expression" dxfId="1137" priority="1260" stopIfTrue="1">
      <formula>$A112="Triplog"</formula>
    </cfRule>
  </conditionalFormatting>
  <conditionalFormatting sqref="U112">
    <cfRule type="expression" dxfId="1136" priority="1215" stopIfTrue="1">
      <formula>$A112="Chkvlv"</formula>
    </cfRule>
    <cfRule type="expression" dxfId="1135" priority="1233" stopIfTrue="1">
      <formula>$A112="Snglvol"</formula>
    </cfRule>
  </conditionalFormatting>
  <conditionalFormatting sqref="M112">
    <cfRule type="expression" dxfId="1134" priority="1216" stopIfTrue="1">
      <formula>$A112="Chkvlv"</formula>
    </cfRule>
    <cfRule type="expression" dxfId="1133" priority="1234" stopIfTrue="1">
      <formula>$A112="Snglvol"</formula>
    </cfRule>
  </conditionalFormatting>
  <conditionalFormatting sqref="C112">
    <cfRule type="expression" dxfId="1132" priority="1217" stopIfTrue="1">
      <formula>$A112="Inrvlv"</formula>
    </cfRule>
    <cfRule type="expression" dxfId="1131" priority="1241" stopIfTrue="1">
      <formula>$A112="Init"</formula>
    </cfRule>
    <cfRule type="expression" dxfId="1130" priority="1247" stopIfTrue="1">
      <formula>$A112="Timestep"</formula>
    </cfRule>
    <cfRule type="expression" dxfId="1129" priority="1259" stopIfTrue="1">
      <formula>$A112="Triplog"</formula>
    </cfRule>
  </conditionalFormatting>
  <conditionalFormatting sqref="Q112:R112 F112:G112 D112">
    <cfRule type="expression" dxfId="1128" priority="1218" stopIfTrue="1">
      <formula>$A112="Inrvlv"</formula>
    </cfRule>
  </conditionalFormatting>
  <conditionalFormatting sqref="S112">
    <cfRule type="expression" dxfId="1127" priority="1219" stopIfTrue="1">
      <formula>$A112="Inrvlv"</formula>
    </cfRule>
    <cfRule type="expression" dxfId="1126" priority="1223" stopIfTrue="1">
      <formula>$A112="Tmdpjun"</formula>
    </cfRule>
    <cfRule type="expression" dxfId="1125" priority="1226" stopIfTrue="1">
      <formula>$A112="Pump"</formula>
    </cfRule>
    <cfRule type="expression" dxfId="1124" priority="1229" stopIfTrue="1">
      <formula>$A112="Tmdpvol"</formula>
    </cfRule>
    <cfRule type="expression" dxfId="1123" priority="1236" stopIfTrue="1">
      <formula>$A112="Snglvol"</formula>
    </cfRule>
  </conditionalFormatting>
  <conditionalFormatting sqref="Q112 F112:G112 C112:D112">
    <cfRule type="expression" dxfId="1122" priority="1221" stopIfTrue="1">
      <formula>$A112="Tmdpjun"</formula>
    </cfRule>
  </conditionalFormatting>
  <conditionalFormatting sqref="Q112 D112">
    <cfRule type="expression" dxfId="1121" priority="1224" stopIfTrue="1">
      <formula>$A112="Pump"</formula>
    </cfRule>
  </conditionalFormatting>
  <conditionalFormatting sqref="T112 H112:I112 D112 M112:P112">
    <cfRule type="expression" dxfId="1120" priority="1227" stopIfTrue="1">
      <formula>$A112="Tmdpvol"</formula>
    </cfRule>
  </conditionalFormatting>
  <conditionalFormatting sqref="B112">
    <cfRule type="expression" dxfId="1119" priority="1230" stopIfTrue="1">
      <formula>$A112="Snglvol"</formula>
    </cfRule>
    <cfRule type="expression" dxfId="1118" priority="1240" stopIfTrue="1">
      <formula>$A112="Init"</formula>
    </cfRule>
    <cfRule type="expression" dxfId="1117" priority="1246" stopIfTrue="1">
      <formula>$A112="Timestep"</formula>
    </cfRule>
    <cfRule type="expression" dxfId="1116" priority="1251" stopIfTrue="1">
      <formula>$A112="Triggerwords"</formula>
    </cfRule>
    <cfRule type="expression" dxfId="1115" priority="1255" stopIfTrue="1">
      <formula>$A112="Tripvar"</formula>
    </cfRule>
  </conditionalFormatting>
  <conditionalFormatting sqref="T112 N112:Q112 H112:I112 D112">
    <cfRule type="expression" dxfId="1114" priority="1232" stopIfTrue="1">
      <formula>$A112="Snglvol"</formula>
    </cfRule>
  </conditionalFormatting>
  <conditionalFormatting sqref="A112">
    <cfRule type="expression" dxfId="1113" priority="1237" stopIfTrue="1">
      <formula>$A112="Relapnr"</formula>
    </cfRule>
  </conditionalFormatting>
  <conditionalFormatting sqref="A112">
    <cfRule type="expression" dxfId="1112" priority="1239" stopIfTrue="1">
      <formula>$A112="Init"</formula>
    </cfRule>
  </conditionalFormatting>
  <conditionalFormatting sqref="A112">
    <cfRule type="expression" dxfId="1111" priority="1242" stopIfTrue="1">
      <formula>$A112="InitGas"</formula>
    </cfRule>
  </conditionalFormatting>
  <conditionalFormatting sqref="A112 D112">
    <cfRule type="expression" dxfId="1110" priority="1245" stopIfTrue="1">
      <formula>$A112="Timestep"</formula>
    </cfRule>
  </conditionalFormatting>
  <conditionalFormatting sqref="A112">
    <cfRule type="expression" dxfId="1109" priority="1248" stopIfTrue="1">
      <formula>$A112="Replacements"</formula>
    </cfRule>
  </conditionalFormatting>
  <conditionalFormatting sqref="A112">
    <cfRule type="expression" dxfId="1108" priority="1250" stopIfTrue="1">
      <formula>$A112="Triggerwords"</formula>
    </cfRule>
  </conditionalFormatting>
  <conditionalFormatting sqref="A112">
    <cfRule type="expression" dxfId="1107" priority="1252" stopIfTrue="1">
      <formula>$A112="Custom"</formula>
    </cfRule>
  </conditionalFormatting>
  <conditionalFormatting sqref="A112 F112:I112 D112">
    <cfRule type="expression" dxfId="1106" priority="1254" stopIfTrue="1">
      <formula>$A112="Tripvar"</formula>
    </cfRule>
  </conditionalFormatting>
  <conditionalFormatting sqref="A112 F112">
    <cfRule type="expression" dxfId="1105" priority="1257" stopIfTrue="1">
      <formula>$A112="Triplog"</formula>
    </cfRule>
  </conditionalFormatting>
  <conditionalFormatting sqref="L112">
    <cfRule type="expression" dxfId="1104" priority="1182" stopIfTrue="1">
      <formula>$A112="Pipe"</formula>
    </cfRule>
  </conditionalFormatting>
  <conditionalFormatting sqref="L112">
    <cfRule type="expression" dxfId="1103" priority="1183" stopIfTrue="1">
      <formula>$A112="Junction"</formula>
    </cfRule>
  </conditionalFormatting>
  <conditionalFormatting sqref="L112">
    <cfRule type="expression" dxfId="1102" priority="1184" stopIfTrue="1">
      <formula>$A112="Sngljun"</formula>
    </cfRule>
  </conditionalFormatting>
  <conditionalFormatting sqref="L112">
    <cfRule type="expression" dxfId="1101" priority="1185" stopIfTrue="1">
      <formula>$A112="Mtrvlv"</formula>
    </cfRule>
  </conditionalFormatting>
  <conditionalFormatting sqref="L112">
    <cfRule type="expression" dxfId="1100" priority="1186" stopIfTrue="1">
      <formula>$A112="Srvvlv"</formula>
    </cfRule>
  </conditionalFormatting>
  <conditionalFormatting sqref="L112">
    <cfRule type="expression" dxfId="1099" priority="1187" stopIfTrue="1">
      <formula>$A112="Chkvlv"</formula>
    </cfRule>
  </conditionalFormatting>
  <conditionalFormatting sqref="L112">
    <cfRule type="expression" dxfId="1098" priority="1188" stopIfTrue="1">
      <formula>$A112="Inrvlv"</formula>
    </cfRule>
  </conditionalFormatting>
  <conditionalFormatting sqref="L112">
    <cfRule type="expression" dxfId="1097" priority="1189" stopIfTrue="1">
      <formula>$A112="Tmdpjun"</formula>
    </cfRule>
  </conditionalFormatting>
  <conditionalFormatting sqref="L112">
    <cfRule type="expression" dxfId="1096" priority="1190" stopIfTrue="1">
      <formula>$A112="Pump"</formula>
    </cfRule>
  </conditionalFormatting>
  <conditionalFormatting sqref="L112">
    <cfRule type="expression" dxfId="1095" priority="1191" stopIfTrue="1">
      <formula>$A112="Tmdpvol"</formula>
    </cfRule>
  </conditionalFormatting>
  <conditionalFormatting sqref="L112">
    <cfRule type="expression" dxfId="1094" priority="1192" stopIfTrue="1">
      <formula>$A112="Snglvol"</formula>
    </cfRule>
  </conditionalFormatting>
  <conditionalFormatting sqref="E112">
    <cfRule type="expression" dxfId="1093" priority="1168" stopIfTrue="1">
      <formula>$A112="Pipe"</formula>
    </cfRule>
  </conditionalFormatting>
  <conditionalFormatting sqref="E112">
    <cfRule type="expression" dxfId="1092" priority="1169" stopIfTrue="1">
      <formula>$A112="Junction"</formula>
    </cfRule>
  </conditionalFormatting>
  <conditionalFormatting sqref="E112">
    <cfRule type="expression" dxfId="1091" priority="1170" stopIfTrue="1">
      <formula>$A112="Sngljun"</formula>
    </cfRule>
  </conditionalFormatting>
  <conditionalFormatting sqref="E112">
    <cfRule type="expression" dxfId="1090" priority="1171" stopIfTrue="1">
      <formula>$A112="Mtrvlv"</formula>
    </cfRule>
  </conditionalFormatting>
  <conditionalFormatting sqref="E112">
    <cfRule type="expression" dxfId="1089" priority="1172" stopIfTrue="1">
      <formula>$A112="Srvvlv"</formula>
    </cfRule>
  </conditionalFormatting>
  <conditionalFormatting sqref="E112">
    <cfRule type="expression" dxfId="1088" priority="1173" stopIfTrue="1">
      <formula>$A112="Chkvlv"</formula>
    </cfRule>
  </conditionalFormatting>
  <conditionalFormatting sqref="E112">
    <cfRule type="expression" dxfId="1087" priority="1174" stopIfTrue="1">
      <formula>$A112="Inrvlv"</formula>
    </cfRule>
  </conditionalFormatting>
  <conditionalFormatting sqref="E112">
    <cfRule type="expression" dxfId="1086" priority="1175" stopIfTrue="1">
      <formula>$A112="Tmdpjun"</formula>
    </cfRule>
  </conditionalFormatting>
  <conditionalFormatting sqref="E112">
    <cfRule type="expression" dxfId="1085" priority="1176" stopIfTrue="1">
      <formula>$A112="Pump"</formula>
    </cfRule>
  </conditionalFormatting>
  <conditionalFormatting sqref="E112">
    <cfRule type="expression" dxfId="1084" priority="1177" stopIfTrue="1">
      <formula>$A112="Tmdpvol"</formula>
    </cfRule>
  </conditionalFormatting>
  <conditionalFormatting sqref="E112">
    <cfRule type="expression" dxfId="1083" priority="1178" stopIfTrue="1">
      <formula>$A112="Snglvol"</formula>
    </cfRule>
  </conditionalFormatting>
  <conditionalFormatting sqref="E112">
    <cfRule type="expression" dxfId="1082" priority="1179" stopIfTrue="1">
      <formula>$A112="Timestep"</formula>
    </cfRule>
  </conditionalFormatting>
  <conditionalFormatting sqref="E112">
    <cfRule type="expression" dxfId="1081" priority="1180" stopIfTrue="1">
      <formula>$A112="Tripvar"</formula>
    </cfRule>
  </conditionalFormatting>
  <conditionalFormatting sqref="E112">
    <cfRule type="expression" dxfId="1080" priority="1181" stopIfTrue="1">
      <formula>$A112="Triplog"</formula>
    </cfRule>
  </conditionalFormatting>
  <conditionalFormatting sqref="K112">
    <cfRule type="expression" dxfId="1079" priority="1159" stopIfTrue="1">
      <formula>$A112="Mtrvlv"</formula>
    </cfRule>
  </conditionalFormatting>
  <conditionalFormatting sqref="K112">
    <cfRule type="expression" dxfId="1078" priority="1160" stopIfTrue="1">
      <formula>$A112="Srvvlv"</formula>
    </cfRule>
  </conditionalFormatting>
  <conditionalFormatting sqref="K112">
    <cfRule type="expression" dxfId="1077" priority="1161" stopIfTrue="1">
      <formula>$A112="Inrvlv"</formula>
    </cfRule>
  </conditionalFormatting>
  <conditionalFormatting sqref="K112">
    <cfRule type="expression" dxfId="1076" priority="1162" stopIfTrue="1">
      <formula>$A112="Tmdpjun"</formula>
    </cfRule>
  </conditionalFormatting>
  <conditionalFormatting sqref="K112">
    <cfRule type="expression" dxfId="1075" priority="1163" stopIfTrue="1">
      <formula>$A112="Pump"</formula>
    </cfRule>
  </conditionalFormatting>
  <conditionalFormatting sqref="K112">
    <cfRule type="expression" dxfId="1074" priority="1164" stopIfTrue="1">
      <formula>$A112="Tmdpvol"</formula>
    </cfRule>
  </conditionalFormatting>
  <conditionalFormatting sqref="K112">
    <cfRule type="expression" dxfId="1073" priority="1165" stopIfTrue="1">
      <formula>$A112="Sngljun"</formula>
    </cfRule>
  </conditionalFormatting>
  <conditionalFormatting sqref="K112">
    <cfRule type="expression" dxfId="1072" priority="1166" stopIfTrue="1">
      <formula>$A112="Chkvlv"</formula>
    </cfRule>
    <cfRule type="expression" dxfId="1071" priority="1167" stopIfTrue="1">
      <formula>$A112="Snglvol"</formula>
    </cfRule>
  </conditionalFormatting>
  <conditionalFormatting sqref="E110">
    <cfRule type="expression" dxfId="1070" priority="1143" stopIfTrue="1">
      <formula>$A110="Pipe"</formula>
    </cfRule>
  </conditionalFormatting>
  <conditionalFormatting sqref="E110">
    <cfRule type="expression" dxfId="1069" priority="1144" stopIfTrue="1">
      <formula>$A110="Junction"</formula>
    </cfRule>
  </conditionalFormatting>
  <conditionalFormatting sqref="E110">
    <cfRule type="expression" dxfId="1068" priority="1145" stopIfTrue="1">
      <formula>$A110="Sngljun"</formula>
    </cfRule>
  </conditionalFormatting>
  <conditionalFormatting sqref="E110">
    <cfRule type="expression" dxfId="1067" priority="1146" stopIfTrue="1">
      <formula>$A110="Mtrvlv"</formula>
    </cfRule>
  </conditionalFormatting>
  <conditionalFormatting sqref="E110">
    <cfRule type="expression" dxfId="1066" priority="1147" stopIfTrue="1">
      <formula>$A110="Srvvlv"</formula>
    </cfRule>
  </conditionalFormatting>
  <conditionalFormatting sqref="E110">
    <cfRule type="expression" dxfId="1065" priority="1148" stopIfTrue="1">
      <formula>$A110="Chkvlv"</formula>
    </cfRule>
  </conditionalFormatting>
  <conditionalFormatting sqref="E110">
    <cfRule type="expression" dxfId="1064" priority="1149" stopIfTrue="1">
      <formula>$A110="Inrvlv"</formula>
    </cfRule>
  </conditionalFormatting>
  <conditionalFormatting sqref="E110">
    <cfRule type="expression" dxfId="1063" priority="1150" stopIfTrue="1">
      <formula>$A110="Tmdpjun"</formula>
    </cfRule>
  </conditionalFormatting>
  <conditionalFormatting sqref="E110">
    <cfRule type="expression" dxfId="1062" priority="1151" stopIfTrue="1">
      <formula>$A110="Pump"</formula>
    </cfRule>
  </conditionalFormatting>
  <conditionalFormatting sqref="E110">
    <cfRule type="expression" dxfId="1061" priority="1152" stopIfTrue="1">
      <formula>$A110="Tmdpvol"</formula>
    </cfRule>
  </conditionalFormatting>
  <conditionalFormatting sqref="E110">
    <cfRule type="expression" dxfId="1060" priority="1153" stopIfTrue="1">
      <formula>$A110="Snglvol"</formula>
    </cfRule>
  </conditionalFormatting>
  <conditionalFormatting sqref="E110">
    <cfRule type="expression" dxfId="1059" priority="1154" stopIfTrue="1">
      <formula>$A110="Timestep"</formula>
    </cfRule>
  </conditionalFormatting>
  <conditionalFormatting sqref="E110">
    <cfRule type="expression" dxfId="1058" priority="1155" stopIfTrue="1">
      <formula>$A110="Tripvar"</formula>
    </cfRule>
  </conditionalFormatting>
  <conditionalFormatting sqref="E110">
    <cfRule type="expression" dxfId="1057" priority="1156" stopIfTrue="1">
      <formula>$A110="Triplog"</formula>
    </cfRule>
  </conditionalFormatting>
  <conditionalFormatting sqref="H106">
    <cfRule type="expression" dxfId="1056" priority="1131" stopIfTrue="1">
      <formula>$A106="Pipe"</formula>
    </cfRule>
  </conditionalFormatting>
  <conditionalFormatting sqref="H106">
    <cfRule type="expression" dxfId="1055" priority="1132" stopIfTrue="1">
      <formula>$A106="Junction"</formula>
    </cfRule>
  </conditionalFormatting>
  <conditionalFormatting sqref="H106">
    <cfRule type="expression" dxfId="1054" priority="1133" stopIfTrue="1">
      <formula>$A106="Mtrvlv"</formula>
    </cfRule>
  </conditionalFormatting>
  <conditionalFormatting sqref="H106">
    <cfRule type="expression" dxfId="1053" priority="1134" stopIfTrue="1">
      <formula>$A106="Srvvlv"</formula>
    </cfRule>
  </conditionalFormatting>
  <conditionalFormatting sqref="H106">
    <cfRule type="expression" dxfId="1052" priority="1135" stopIfTrue="1">
      <formula>$A106="Chkvlv"</formula>
    </cfRule>
  </conditionalFormatting>
  <conditionalFormatting sqref="H106">
    <cfRule type="expression" dxfId="1051" priority="1136" stopIfTrue="1">
      <formula>$A106="Inrvlv"</formula>
    </cfRule>
  </conditionalFormatting>
  <conditionalFormatting sqref="H106">
    <cfRule type="expression" dxfId="1050" priority="1137" stopIfTrue="1">
      <formula>$A106="Tmdpjun"</formula>
    </cfRule>
  </conditionalFormatting>
  <conditionalFormatting sqref="H106">
    <cfRule type="expression" dxfId="1049" priority="1138" stopIfTrue="1">
      <formula>$A106="Pump"</formula>
    </cfRule>
  </conditionalFormatting>
  <conditionalFormatting sqref="H106">
    <cfRule type="expression" dxfId="1048" priority="1139" stopIfTrue="1">
      <formula>$A106="Sngljun"</formula>
    </cfRule>
  </conditionalFormatting>
  <conditionalFormatting sqref="H106">
    <cfRule type="expression" dxfId="1047" priority="1140" stopIfTrue="1">
      <formula>$A106="Tmdpvol"</formula>
    </cfRule>
  </conditionalFormatting>
  <conditionalFormatting sqref="H106">
    <cfRule type="expression" dxfId="1046" priority="1141" stopIfTrue="1">
      <formula>$A106="Snglvol"</formula>
    </cfRule>
  </conditionalFormatting>
  <conditionalFormatting sqref="H106">
    <cfRule type="expression" dxfId="1045" priority="1142" stopIfTrue="1">
      <formula>$A106="Tripvar"</formula>
    </cfRule>
  </conditionalFormatting>
  <conditionalFormatting sqref="K116:K117">
    <cfRule type="expression" dxfId="1044" priority="1013" stopIfTrue="1">
      <formula>$A116="Pipe"</formula>
    </cfRule>
  </conditionalFormatting>
  <conditionalFormatting sqref="K116:K117">
    <cfRule type="expression" dxfId="1043" priority="1014" stopIfTrue="1">
      <formula>$A116="Junction"</formula>
    </cfRule>
  </conditionalFormatting>
  <conditionalFormatting sqref="K120">
    <cfRule type="expression" dxfId="1042" priority="805" stopIfTrue="1">
      <formula>$A120="Pipe"</formula>
    </cfRule>
  </conditionalFormatting>
  <conditionalFormatting sqref="K120">
    <cfRule type="expression" dxfId="1041" priority="806" stopIfTrue="1">
      <formula>$A120="Junction"</formula>
    </cfRule>
  </conditionalFormatting>
  <conditionalFormatting sqref="U116:V117 Q116:Q117 A116:D117 F116:J117">
    <cfRule type="expression" dxfId="1040" priority="1049" stopIfTrue="1">
      <formula>$A116="Pipe"</formula>
    </cfRule>
  </conditionalFormatting>
  <conditionalFormatting sqref="M116:P117 U116:V117 A116:B117 H116:J117">
    <cfRule type="expression" dxfId="1039" priority="1050" stopIfTrue="1">
      <formula>$A116="Junction"</formula>
    </cfRule>
  </conditionalFormatting>
  <conditionalFormatting sqref="M116:P117 T116:V117 A116:B117 H116:J117">
    <cfRule type="expression" dxfId="1038" priority="1051" stopIfTrue="1">
      <formula>$A116="Mtrvlv"</formula>
    </cfRule>
  </conditionalFormatting>
  <conditionalFormatting sqref="M116:P117 T116:V117 B116:B117 H116:J117">
    <cfRule type="expression" dxfId="1037" priority="1052" stopIfTrue="1">
      <formula>$A116="Srvvlv"</formula>
    </cfRule>
  </conditionalFormatting>
  <conditionalFormatting sqref="V116:V117 T116:T117 N116:P117 A116:A117 H116:J117">
    <cfRule type="expression" dxfId="1036" priority="1053" stopIfTrue="1">
      <formula>$A116="Chkvlv"</formula>
    </cfRule>
  </conditionalFormatting>
  <conditionalFormatting sqref="M116:P117 T116:V117 A116:B117 H116:J117">
    <cfRule type="expression" dxfId="1035" priority="1054" stopIfTrue="1">
      <formula>$A116="Inrvlv"</formula>
    </cfRule>
  </conditionalFormatting>
  <conditionalFormatting sqref="M116:P117 T116:V117 B116:B117 H116:J117">
    <cfRule type="expression" dxfId="1034" priority="1055" stopIfTrue="1">
      <formula>$A116="Tmdpjun"</formula>
    </cfRule>
  </conditionalFormatting>
  <conditionalFormatting sqref="M116:P117 T116:V117 A116:C117 F116:J117">
    <cfRule type="expression" dxfId="1033" priority="1056" stopIfTrue="1">
      <formula>$A116="Pump"</formula>
    </cfRule>
  </conditionalFormatting>
  <conditionalFormatting sqref="U116:V117 Q116:Q117 J116:J117 F116:G117 A116:C117">
    <cfRule type="expression" dxfId="1032" priority="1057" stopIfTrue="1">
      <formula>$A116="Tmdpvol"</formula>
    </cfRule>
  </conditionalFormatting>
  <conditionalFormatting sqref="V116:V117 J116:J117 F116:G117 A116:A117">
    <cfRule type="expression" dxfId="1031" priority="1058" stopIfTrue="1">
      <formula>$A116="Snglvol"</formula>
    </cfRule>
  </conditionalFormatting>
  <conditionalFormatting sqref="M116:P117 U116:V117 A116:B117 H116:J117">
    <cfRule type="expression" dxfId="1030" priority="1059" stopIfTrue="1">
      <formula>$A116="Sngljun"</formula>
    </cfRule>
  </conditionalFormatting>
  <conditionalFormatting sqref="M116:P117 R116:T117">
    <cfRule type="expression" dxfId="1029" priority="1060" stopIfTrue="1">
      <formula>$A116="Pipe"</formula>
    </cfRule>
  </conditionalFormatting>
  <conditionalFormatting sqref="C116:C117">
    <cfRule type="expression" dxfId="1028" priority="1061" stopIfTrue="1">
      <formula>$A116="Junction"</formula>
    </cfRule>
    <cfRule type="expression" dxfId="1027" priority="1087" stopIfTrue="1">
      <formula>$A116="Snglvol"</formula>
    </cfRule>
    <cfRule type="expression" dxfId="1026" priority="1100" stopIfTrue="1">
      <formula>$A116="InitGas"</formula>
    </cfRule>
    <cfRule type="expression" dxfId="1025" priority="1112" stopIfTrue="1">
      <formula>$A116="Tripvar"</formula>
    </cfRule>
  </conditionalFormatting>
  <conditionalFormatting sqref="Q116:T117 F116:G117 D116:D117">
    <cfRule type="expression" dxfId="1024" priority="1062" stopIfTrue="1">
      <formula>$A116="Junction"</formula>
    </cfRule>
  </conditionalFormatting>
  <conditionalFormatting sqref="Q116:T117 F116:G117 C116:D117">
    <cfRule type="expression" dxfId="1023" priority="1063" stopIfTrue="1">
      <formula>$A116="Sngljun"</formula>
    </cfRule>
  </conditionalFormatting>
  <conditionalFormatting sqref="Q116:S117 F116:G117 C116:D117">
    <cfRule type="expression" dxfId="1022" priority="1064" stopIfTrue="1">
      <formula>$A116="Mtrvlv"</formula>
    </cfRule>
  </conditionalFormatting>
  <conditionalFormatting sqref="A116:A117">
    <cfRule type="expression" dxfId="1021" priority="1065" stopIfTrue="1">
      <formula>$A116="Srvvlv"</formula>
    </cfRule>
    <cfRule type="expression" dxfId="1020" priority="1076" stopIfTrue="1">
      <formula>$A116="Tmdpjun"</formula>
    </cfRule>
  </conditionalFormatting>
  <conditionalFormatting sqref="S116:S117 Q116:Q117 F116:G117 C116:D117">
    <cfRule type="expression" dxfId="1019" priority="1066" stopIfTrue="1">
      <formula>$A116="Srvvlv"</formula>
    </cfRule>
  </conditionalFormatting>
  <conditionalFormatting sqref="R116:R117">
    <cfRule type="expression" dxfId="1018" priority="1067" stopIfTrue="1">
      <formula>$A116="Srvvlv"</formula>
    </cfRule>
    <cfRule type="expression" dxfId="1017" priority="1078" stopIfTrue="1">
      <formula>$A116="Tmdpjun"</formula>
    </cfRule>
    <cfRule type="expression" dxfId="1016" priority="1081" stopIfTrue="1">
      <formula>$A116="Pump"</formula>
    </cfRule>
    <cfRule type="expression" dxfId="1015" priority="1084" stopIfTrue="1">
      <formula>$A116="Tmdpvol"</formula>
    </cfRule>
    <cfRule type="expression" dxfId="1014" priority="1091" stopIfTrue="1">
      <formula>$A116="Snglvol"</formula>
    </cfRule>
  </conditionalFormatting>
  <conditionalFormatting sqref="B116:B117">
    <cfRule type="expression" dxfId="1013" priority="1068" stopIfTrue="1">
      <formula>$A116="Chkvlv"</formula>
    </cfRule>
    <cfRule type="expression" dxfId="1012" priority="1094" stopIfTrue="1">
      <formula>$A116="Relapnr"</formula>
    </cfRule>
    <cfRule type="expression" dxfId="1011" priority="1099" stopIfTrue="1">
      <formula>$A116="InitGas"</formula>
    </cfRule>
    <cfRule type="expression" dxfId="1010" priority="1105" stopIfTrue="1">
      <formula>$A116="Replacements"</formula>
    </cfRule>
    <cfRule type="expression" dxfId="1009" priority="1109" stopIfTrue="1">
      <formula>$A116="Custom"</formula>
    </cfRule>
    <cfRule type="expression" dxfId="1008" priority="1114" stopIfTrue="1">
      <formula>$A116="Triplog"</formula>
    </cfRule>
  </conditionalFormatting>
  <conditionalFormatting sqref="C116:C117 Q116:S117 F116:G117">
    <cfRule type="expression" dxfId="1007" priority="1069" stopIfTrue="1">
      <formula>$A116="Chkvlv"</formula>
    </cfRule>
  </conditionalFormatting>
  <conditionalFormatting sqref="D116:D117">
    <cfRule type="expression" dxfId="1006" priority="1070" stopIfTrue="1">
      <formula>$A116="Chkvlv"</formula>
    </cfRule>
    <cfRule type="expression" dxfId="1005" priority="1116" stopIfTrue="1">
      <formula>$A116="Triplog"</formula>
    </cfRule>
  </conditionalFormatting>
  <conditionalFormatting sqref="U116:U117">
    <cfRule type="expression" dxfId="1004" priority="1071" stopIfTrue="1">
      <formula>$A116="Chkvlv"</formula>
    </cfRule>
    <cfRule type="expression" dxfId="1003" priority="1089" stopIfTrue="1">
      <formula>$A116="Snglvol"</formula>
    </cfRule>
  </conditionalFormatting>
  <conditionalFormatting sqref="M116:M117">
    <cfRule type="expression" dxfId="1002" priority="1072" stopIfTrue="1">
      <formula>$A116="Chkvlv"</formula>
    </cfRule>
    <cfRule type="expression" dxfId="1001" priority="1090" stopIfTrue="1">
      <formula>$A116="Snglvol"</formula>
    </cfRule>
  </conditionalFormatting>
  <conditionalFormatting sqref="C116:C117">
    <cfRule type="expression" dxfId="1000" priority="1073" stopIfTrue="1">
      <formula>$A116="Inrvlv"</formula>
    </cfRule>
    <cfRule type="expression" dxfId="999" priority="1097" stopIfTrue="1">
      <formula>$A116="Init"</formula>
    </cfRule>
    <cfRule type="expression" dxfId="998" priority="1103" stopIfTrue="1">
      <formula>$A116="Timestep"</formula>
    </cfRule>
    <cfRule type="expression" dxfId="997" priority="1115" stopIfTrue="1">
      <formula>$A116="Triplog"</formula>
    </cfRule>
  </conditionalFormatting>
  <conditionalFormatting sqref="Q116:R117 F116:G117 D116:D117">
    <cfRule type="expression" dxfId="996" priority="1074" stopIfTrue="1">
      <formula>$A116="Inrvlv"</formula>
    </cfRule>
  </conditionalFormatting>
  <conditionalFormatting sqref="S116:S117">
    <cfRule type="expression" dxfId="995" priority="1075" stopIfTrue="1">
      <formula>$A116="Inrvlv"</formula>
    </cfRule>
    <cfRule type="expression" dxfId="994" priority="1079" stopIfTrue="1">
      <formula>$A116="Tmdpjun"</formula>
    </cfRule>
    <cfRule type="expression" dxfId="993" priority="1082" stopIfTrue="1">
      <formula>$A116="Pump"</formula>
    </cfRule>
    <cfRule type="expression" dxfId="992" priority="1085" stopIfTrue="1">
      <formula>$A116="Tmdpvol"</formula>
    </cfRule>
    <cfRule type="expression" dxfId="991" priority="1092" stopIfTrue="1">
      <formula>$A116="Snglvol"</formula>
    </cfRule>
  </conditionalFormatting>
  <conditionalFormatting sqref="Q116:Q117 F116:G117 C116:D117">
    <cfRule type="expression" dxfId="990" priority="1077" stopIfTrue="1">
      <formula>$A116="Tmdpjun"</formula>
    </cfRule>
  </conditionalFormatting>
  <conditionalFormatting sqref="Q116:Q117 D116:D117">
    <cfRule type="expression" dxfId="989" priority="1080" stopIfTrue="1">
      <formula>$A116="Pump"</formula>
    </cfRule>
  </conditionalFormatting>
  <conditionalFormatting sqref="T116:T117 H116:I117 D116:D117 M116:P117">
    <cfRule type="expression" dxfId="988" priority="1083" stopIfTrue="1">
      <formula>$A116="Tmdpvol"</formula>
    </cfRule>
  </conditionalFormatting>
  <conditionalFormatting sqref="B116:B117">
    <cfRule type="expression" dxfId="987" priority="1086" stopIfTrue="1">
      <formula>$A116="Snglvol"</formula>
    </cfRule>
    <cfRule type="expression" dxfId="986" priority="1096" stopIfTrue="1">
      <formula>$A116="Init"</formula>
    </cfRule>
    <cfRule type="expression" dxfId="985" priority="1102" stopIfTrue="1">
      <formula>$A116="Timestep"</formula>
    </cfRule>
    <cfRule type="expression" dxfId="984" priority="1107" stopIfTrue="1">
      <formula>$A116="Triggerwords"</formula>
    </cfRule>
    <cfRule type="expression" dxfId="983" priority="1111" stopIfTrue="1">
      <formula>$A116="Tripvar"</formula>
    </cfRule>
  </conditionalFormatting>
  <conditionalFormatting sqref="T116:T117 N116:Q117 H116:I117 D116:D117">
    <cfRule type="expression" dxfId="982" priority="1088" stopIfTrue="1">
      <formula>$A116="Snglvol"</formula>
    </cfRule>
  </conditionalFormatting>
  <conditionalFormatting sqref="A116:A117">
    <cfRule type="expression" dxfId="981" priority="1093" stopIfTrue="1">
      <formula>$A116="Relapnr"</formula>
    </cfRule>
  </conditionalFormatting>
  <conditionalFormatting sqref="A116:A117">
    <cfRule type="expression" dxfId="980" priority="1095" stopIfTrue="1">
      <formula>$A116="Init"</formula>
    </cfRule>
  </conditionalFormatting>
  <conditionalFormatting sqref="A116:A117">
    <cfRule type="expression" dxfId="979" priority="1098" stopIfTrue="1">
      <formula>$A116="InitGas"</formula>
    </cfRule>
  </conditionalFormatting>
  <conditionalFormatting sqref="A116:A117 D116:D117">
    <cfRule type="expression" dxfId="978" priority="1101" stopIfTrue="1">
      <formula>$A116="Timestep"</formula>
    </cfRule>
  </conditionalFormatting>
  <conditionalFormatting sqref="A116:A117">
    <cfRule type="expression" dxfId="977" priority="1104" stopIfTrue="1">
      <formula>$A116="Replacements"</formula>
    </cfRule>
  </conditionalFormatting>
  <conditionalFormatting sqref="A116:A117">
    <cfRule type="expression" dxfId="976" priority="1106" stopIfTrue="1">
      <formula>$A116="Triggerwords"</formula>
    </cfRule>
  </conditionalFormatting>
  <conditionalFormatting sqref="A116:A117">
    <cfRule type="expression" dxfId="975" priority="1108" stopIfTrue="1">
      <formula>$A116="Custom"</formula>
    </cfRule>
  </conditionalFormatting>
  <conditionalFormatting sqref="A116:A117 F116:I117 D116:D117">
    <cfRule type="expression" dxfId="974" priority="1110" stopIfTrue="1">
      <formula>$A116="Tripvar"</formula>
    </cfRule>
  </conditionalFormatting>
  <conditionalFormatting sqref="A116:A117 F116:F117">
    <cfRule type="expression" dxfId="973" priority="1113" stopIfTrue="1">
      <formula>$A116="Triplog"</formula>
    </cfRule>
  </conditionalFormatting>
  <conditionalFormatting sqref="L116:L117">
    <cfRule type="expression" dxfId="972" priority="1038" stopIfTrue="1">
      <formula>$A116="Pipe"</formula>
    </cfRule>
  </conditionalFormatting>
  <conditionalFormatting sqref="L116:L117">
    <cfRule type="expression" dxfId="971" priority="1039" stopIfTrue="1">
      <formula>$A116="Junction"</formula>
    </cfRule>
  </conditionalFormatting>
  <conditionalFormatting sqref="L116:L117">
    <cfRule type="expression" dxfId="970" priority="1040" stopIfTrue="1">
      <formula>$A116="Sngljun"</formula>
    </cfRule>
  </conditionalFormatting>
  <conditionalFormatting sqref="L116:L117">
    <cfRule type="expression" dxfId="969" priority="1041" stopIfTrue="1">
      <formula>$A116="Mtrvlv"</formula>
    </cfRule>
  </conditionalFormatting>
  <conditionalFormatting sqref="L116:L117">
    <cfRule type="expression" dxfId="968" priority="1042" stopIfTrue="1">
      <formula>$A116="Srvvlv"</formula>
    </cfRule>
  </conditionalFormatting>
  <conditionalFormatting sqref="L116:L117">
    <cfRule type="expression" dxfId="967" priority="1043" stopIfTrue="1">
      <formula>$A116="Chkvlv"</formula>
    </cfRule>
  </conditionalFormatting>
  <conditionalFormatting sqref="L116:L117">
    <cfRule type="expression" dxfId="966" priority="1044" stopIfTrue="1">
      <formula>$A116="Inrvlv"</formula>
    </cfRule>
  </conditionalFormatting>
  <conditionalFormatting sqref="L116:L117">
    <cfRule type="expression" dxfId="965" priority="1045" stopIfTrue="1">
      <formula>$A116="Tmdpjun"</formula>
    </cfRule>
  </conditionalFormatting>
  <conditionalFormatting sqref="L116:L117">
    <cfRule type="expression" dxfId="964" priority="1046" stopIfTrue="1">
      <formula>$A116="Pump"</formula>
    </cfRule>
  </conditionalFormatting>
  <conditionalFormatting sqref="L116:L117">
    <cfRule type="expression" dxfId="963" priority="1047" stopIfTrue="1">
      <formula>$A116="Tmdpvol"</formula>
    </cfRule>
  </conditionalFormatting>
  <conditionalFormatting sqref="L116:L117">
    <cfRule type="expression" dxfId="962" priority="1048" stopIfTrue="1">
      <formula>$A116="Snglvol"</formula>
    </cfRule>
  </conditionalFormatting>
  <conditionalFormatting sqref="E116:E117">
    <cfRule type="expression" dxfId="961" priority="1024" stopIfTrue="1">
      <formula>$A116="Pipe"</formula>
    </cfRule>
  </conditionalFormatting>
  <conditionalFormatting sqref="E116:E117">
    <cfRule type="expression" dxfId="960" priority="1025" stopIfTrue="1">
      <formula>$A116="Junction"</formula>
    </cfRule>
  </conditionalFormatting>
  <conditionalFormatting sqref="E116:E117">
    <cfRule type="expression" dxfId="959" priority="1026" stopIfTrue="1">
      <formula>$A116="Sngljun"</formula>
    </cfRule>
  </conditionalFormatting>
  <conditionalFormatting sqref="E116:E117">
    <cfRule type="expression" dxfId="958" priority="1027" stopIfTrue="1">
      <formula>$A116="Mtrvlv"</formula>
    </cfRule>
  </conditionalFormatting>
  <conditionalFormatting sqref="E116:E117">
    <cfRule type="expression" dxfId="957" priority="1028" stopIfTrue="1">
      <formula>$A116="Srvvlv"</formula>
    </cfRule>
  </conditionalFormatting>
  <conditionalFormatting sqref="E116:E117">
    <cfRule type="expression" dxfId="956" priority="1029" stopIfTrue="1">
      <formula>$A116="Chkvlv"</formula>
    </cfRule>
  </conditionalFormatting>
  <conditionalFormatting sqref="E116:E117">
    <cfRule type="expression" dxfId="955" priority="1030" stopIfTrue="1">
      <formula>$A116="Inrvlv"</formula>
    </cfRule>
  </conditionalFormatting>
  <conditionalFormatting sqref="E116:E117">
    <cfRule type="expression" dxfId="954" priority="1031" stopIfTrue="1">
      <formula>$A116="Tmdpjun"</formula>
    </cfRule>
  </conditionalFormatting>
  <conditionalFormatting sqref="E116:E117">
    <cfRule type="expression" dxfId="953" priority="1032" stopIfTrue="1">
      <formula>$A116="Pump"</formula>
    </cfRule>
  </conditionalFormatting>
  <conditionalFormatting sqref="E116:E117">
    <cfRule type="expression" dxfId="952" priority="1033" stopIfTrue="1">
      <formula>$A116="Tmdpvol"</formula>
    </cfRule>
  </conditionalFormatting>
  <conditionalFormatting sqref="E116:E117">
    <cfRule type="expression" dxfId="951" priority="1034" stopIfTrue="1">
      <formula>$A116="Snglvol"</formula>
    </cfRule>
  </conditionalFormatting>
  <conditionalFormatting sqref="E116:E117">
    <cfRule type="expression" dxfId="950" priority="1035" stopIfTrue="1">
      <formula>$A116="Timestep"</formula>
    </cfRule>
  </conditionalFormatting>
  <conditionalFormatting sqref="E116:E117">
    <cfRule type="expression" dxfId="949" priority="1036" stopIfTrue="1">
      <formula>$A116="Tripvar"</formula>
    </cfRule>
  </conditionalFormatting>
  <conditionalFormatting sqref="E116:E117">
    <cfRule type="expression" dxfId="948" priority="1037" stopIfTrue="1">
      <formula>$A116="Triplog"</formula>
    </cfRule>
  </conditionalFormatting>
  <conditionalFormatting sqref="K116:K117">
    <cfRule type="expression" dxfId="947" priority="1015" stopIfTrue="1">
      <formula>$A116="Mtrvlv"</formula>
    </cfRule>
  </conditionalFormatting>
  <conditionalFormatting sqref="K116:K117">
    <cfRule type="expression" dxfId="946" priority="1016" stopIfTrue="1">
      <formula>$A116="Srvvlv"</formula>
    </cfRule>
  </conditionalFormatting>
  <conditionalFormatting sqref="K116:K117">
    <cfRule type="expression" dxfId="945" priority="1017" stopIfTrue="1">
      <formula>$A116="Inrvlv"</formula>
    </cfRule>
  </conditionalFormatting>
  <conditionalFormatting sqref="K116:K117">
    <cfRule type="expression" dxfId="944" priority="1018" stopIfTrue="1">
      <formula>$A116="Tmdpjun"</formula>
    </cfRule>
  </conditionalFormatting>
  <conditionalFormatting sqref="K116:K117">
    <cfRule type="expression" dxfId="943" priority="1019" stopIfTrue="1">
      <formula>$A116="Pump"</formula>
    </cfRule>
  </conditionalFormatting>
  <conditionalFormatting sqref="K116:K117">
    <cfRule type="expression" dxfId="942" priority="1020" stopIfTrue="1">
      <formula>$A116="Tmdpvol"</formula>
    </cfRule>
  </conditionalFormatting>
  <conditionalFormatting sqref="K116:K117">
    <cfRule type="expression" dxfId="941" priority="1021" stopIfTrue="1">
      <formula>$A116="Sngljun"</formula>
    </cfRule>
  </conditionalFormatting>
  <conditionalFormatting sqref="K116:K117">
    <cfRule type="expression" dxfId="940" priority="1022" stopIfTrue="1">
      <formula>$A116="Chkvlv"</formula>
    </cfRule>
    <cfRule type="expression" dxfId="939" priority="1023" stopIfTrue="1">
      <formula>$A116="Snglvol"</formula>
    </cfRule>
  </conditionalFormatting>
  <conditionalFormatting sqref="U118:V119 Q118:Q119 A118:D119 F118:J119">
    <cfRule type="expression" dxfId="938" priority="945" stopIfTrue="1">
      <formula>$A118="Pipe"</formula>
    </cfRule>
  </conditionalFormatting>
  <conditionalFormatting sqref="M118:P119 U118:V119 A118:B119 H118:J119">
    <cfRule type="expression" dxfId="937" priority="946" stopIfTrue="1">
      <formula>$A118="Junction"</formula>
    </cfRule>
  </conditionalFormatting>
  <conditionalFormatting sqref="M118:P119 T118:V119 A118:B119 H118:J119">
    <cfRule type="expression" dxfId="936" priority="947" stopIfTrue="1">
      <formula>$A118="Mtrvlv"</formula>
    </cfRule>
  </conditionalFormatting>
  <conditionalFormatting sqref="M118:P119 T118:V119 B118:B119 H118:J119">
    <cfRule type="expression" dxfId="935" priority="948" stopIfTrue="1">
      <formula>$A118="Srvvlv"</formula>
    </cfRule>
  </conditionalFormatting>
  <conditionalFormatting sqref="V118:V119 T118:T119 N118:P119 A118:A119 H118:J119">
    <cfRule type="expression" dxfId="934" priority="949" stopIfTrue="1">
      <formula>$A118="Chkvlv"</formula>
    </cfRule>
  </conditionalFormatting>
  <conditionalFormatting sqref="M118:P119 T118:V119 A118:B119 H118:J119">
    <cfRule type="expression" dxfId="933" priority="950" stopIfTrue="1">
      <formula>$A118="Inrvlv"</formula>
    </cfRule>
  </conditionalFormatting>
  <conditionalFormatting sqref="M118:P119 T118:V119 B118:B119 H118:J119">
    <cfRule type="expression" dxfId="932" priority="951" stopIfTrue="1">
      <formula>$A118="Tmdpjun"</formula>
    </cfRule>
  </conditionalFormatting>
  <conditionalFormatting sqref="M118:P119 T118:V119 A118:C119 F118:J119">
    <cfRule type="expression" dxfId="931" priority="952" stopIfTrue="1">
      <formula>$A118="Pump"</formula>
    </cfRule>
  </conditionalFormatting>
  <conditionalFormatting sqref="U118:V119 Q118:Q119 J118:J119 F118:G119 A118:C119">
    <cfRule type="expression" dxfId="930" priority="953" stopIfTrue="1">
      <formula>$A118="Tmdpvol"</formula>
    </cfRule>
  </conditionalFormatting>
  <conditionalFormatting sqref="V118:V119 J118:J119 F118:G119 A118:A119">
    <cfRule type="expression" dxfId="929" priority="954" stopIfTrue="1">
      <formula>$A118="Snglvol"</formula>
    </cfRule>
  </conditionalFormatting>
  <conditionalFormatting sqref="M118:P119 U118:V119 A118:B119 H118:J119">
    <cfRule type="expression" dxfId="928" priority="955" stopIfTrue="1">
      <formula>$A118="Sngljun"</formula>
    </cfRule>
  </conditionalFormatting>
  <conditionalFormatting sqref="M118:P119 R118:T119">
    <cfRule type="expression" dxfId="927" priority="956" stopIfTrue="1">
      <formula>$A118="Pipe"</formula>
    </cfRule>
  </conditionalFormatting>
  <conditionalFormatting sqref="C118:C119">
    <cfRule type="expression" dxfId="926" priority="957" stopIfTrue="1">
      <formula>$A118="Junction"</formula>
    </cfRule>
    <cfRule type="expression" dxfId="925" priority="983" stopIfTrue="1">
      <formula>$A118="Snglvol"</formula>
    </cfRule>
    <cfRule type="expression" dxfId="924" priority="996" stopIfTrue="1">
      <formula>$A118="InitGas"</formula>
    </cfRule>
    <cfRule type="expression" dxfId="923" priority="1008" stopIfTrue="1">
      <formula>$A118="Tripvar"</formula>
    </cfRule>
  </conditionalFormatting>
  <conditionalFormatting sqref="Q118:T119 F118:G119 D118:D119">
    <cfRule type="expression" dxfId="922" priority="958" stopIfTrue="1">
      <formula>$A118="Junction"</formula>
    </cfRule>
  </conditionalFormatting>
  <conditionalFormatting sqref="Q118:T119 F118:G119 C118:D119">
    <cfRule type="expression" dxfId="921" priority="959" stopIfTrue="1">
      <formula>$A118="Sngljun"</formula>
    </cfRule>
  </conditionalFormatting>
  <conditionalFormatting sqref="Q118:S119 F118:G119 C118:D119">
    <cfRule type="expression" dxfId="920" priority="960" stopIfTrue="1">
      <formula>$A118="Mtrvlv"</formula>
    </cfRule>
  </conditionalFormatting>
  <conditionalFormatting sqref="A118:A119">
    <cfRule type="expression" dxfId="919" priority="961" stopIfTrue="1">
      <formula>$A118="Srvvlv"</formula>
    </cfRule>
    <cfRule type="expression" dxfId="918" priority="972" stopIfTrue="1">
      <formula>$A118="Tmdpjun"</formula>
    </cfRule>
  </conditionalFormatting>
  <conditionalFormatting sqref="S118:S119 Q118:Q119 F118:G119 C118:D119">
    <cfRule type="expression" dxfId="917" priority="962" stopIfTrue="1">
      <formula>$A118="Srvvlv"</formula>
    </cfRule>
  </conditionalFormatting>
  <conditionalFormatting sqref="R118:R119">
    <cfRule type="expression" dxfId="916" priority="963" stopIfTrue="1">
      <formula>$A118="Srvvlv"</formula>
    </cfRule>
    <cfRule type="expression" dxfId="915" priority="974" stopIfTrue="1">
      <formula>$A118="Tmdpjun"</formula>
    </cfRule>
    <cfRule type="expression" dxfId="914" priority="977" stopIfTrue="1">
      <formula>$A118="Pump"</formula>
    </cfRule>
    <cfRule type="expression" dxfId="913" priority="980" stopIfTrue="1">
      <formula>$A118="Tmdpvol"</formula>
    </cfRule>
    <cfRule type="expression" dxfId="912" priority="987" stopIfTrue="1">
      <formula>$A118="Snglvol"</formula>
    </cfRule>
  </conditionalFormatting>
  <conditionalFormatting sqref="B118:B119">
    <cfRule type="expression" dxfId="911" priority="964" stopIfTrue="1">
      <formula>$A118="Chkvlv"</formula>
    </cfRule>
    <cfRule type="expression" dxfId="910" priority="990" stopIfTrue="1">
      <formula>$A118="Relapnr"</formula>
    </cfRule>
    <cfRule type="expression" dxfId="909" priority="995" stopIfTrue="1">
      <formula>$A118="InitGas"</formula>
    </cfRule>
    <cfRule type="expression" dxfId="908" priority="1001" stopIfTrue="1">
      <formula>$A118="Replacements"</formula>
    </cfRule>
    <cfRule type="expression" dxfId="907" priority="1005" stopIfTrue="1">
      <formula>$A118="Custom"</formula>
    </cfRule>
    <cfRule type="expression" dxfId="906" priority="1010" stopIfTrue="1">
      <formula>$A118="Triplog"</formula>
    </cfRule>
  </conditionalFormatting>
  <conditionalFormatting sqref="C118:C119 Q118:S119 F118:G119">
    <cfRule type="expression" dxfId="905" priority="965" stopIfTrue="1">
      <formula>$A118="Chkvlv"</formula>
    </cfRule>
  </conditionalFormatting>
  <conditionalFormatting sqref="D118:D119">
    <cfRule type="expression" dxfId="904" priority="966" stopIfTrue="1">
      <formula>$A118="Chkvlv"</formula>
    </cfRule>
    <cfRule type="expression" dxfId="903" priority="1012" stopIfTrue="1">
      <formula>$A118="Triplog"</formula>
    </cfRule>
  </conditionalFormatting>
  <conditionalFormatting sqref="U118:U119">
    <cfRule type="expression" dxfId="902" priority="967" stopIfTrue="1">
      <formula>$A118="Chkvlv"</formula>
    </cfRule>
    <cfRule type="expression" dxfId="901" priority="985" stopIfTrue="1">
      <formula>$A118="Snglvol"</formula>
    </cfRule>
  </conditionalFormatting>
  <conditionalFormatting sqref="M118:M119">
    <cfRule type="expression" dxfId="900" priority="968" stopIfTrue="1">
      <formula>$A118="Chkvlv"</formula>
    </cfRule>
    <cfRule type="expression" dxfId="899" priority="986" stopIfTrue="1">
      <formula>$A118="Snglvol"</formula>
    </cfRule>
  </conditionalFormatting>
  <conditionalFormatting sqref="C118:C119">
    <cfRule type="expression" dxfId="898" priority="969" stopIfTrue="1">
      <formula>$A118="Inrvlv"</formula>
    </cfRule>
    <cfRule type="expression" dxfId="897" priority="993" stopIfTrue="1">
      <formula>$A118="Init"</formula>
    </cfRule>
    <cfRule type="expression" dxfId="896" priority="999" stopIfTrue="1">
      <formula>$A118="Timestep"</formula>
    </cfRule>
    <cfRule type="expression" dxfId="895" priority="1011" stopIfTrue="1">
      <formula>$A118="Triplog"</formula>
    </cfRule>
  </conditionalFormatting>
  <conditionalFormatting sqref="Q118:R119 F118:G119 D118:D119">
    <cfRule type="expression" dxfId="894" priority="970" stopIfTrue="1">
      <formula>$A118="Inrvlv"</formula>
    </cfRule>
  </conditionalFormatting>
  <conditionalFormatting sqref="S118:S119">
    <cfRule type="expression" dxfId="893" priority="971" stopIfTrue="1">
      <formula>$A118="Inrvlv"</formula>
    </cfRule>
    <cfRule type="expression" dxfId="892" priority="975" stopIfTrue="1">
      <formula>$A118="Tmdpjun"</formula>
    </cfRule>
    <cfRule type="expression" dxfId="891" priority="978" stopIfTrue="1">
      <formula>$A118="Pump"</formula>
    </cfRule>
    <cfRule type="expression" dxfId="890" priority="981" stopIfTrue="1">
      <formula>$A118="Tmdpvol"</formula>
    </cfRule>
    <cfRule type="expression" dxfId="889" priority="988" stopIfTrue="1">
      <formula>$A118="Snglvol"</formula>
    </cfRule>
  </conditionalFormatting>
  <conditionalFormatting sqref="Q118:Q119 F118:G119 C118:D119">
    <cfRule type="expression" dxfId="888" priority="973" stopIfTrue="1">
      <formula>$A118="Tmdpjun"</formula>
    </cfRule>
  </conditionalFormatting>
  <conditionalFormatting sqref="Q118:Q119 D118:D119">
    <cfRule type="expression" dxfId="887" priority="976" stopIfTrue="1">
      <formula>$A118="Pump"</formula>
    </cfRule>
  </conditionalFormatting>
  <conditionalFormatting sqref="T118:T119 D118:D119 M118:P119 H118:I119">
    <cfRule type="expression" dxfId="886" priority="979" stopIfTrue="1">
      <formula>$A118="Tmdpvol"</formula>
    </cfRule>
  </conditionalFormatting>
  <conditionalFormatting sqref="B118:B119">
    <cfRule type="expression" dxfId="885" priority="982" stopIfTrue="1">
      <formula>$A118="Snglvol"</formula>
    </cfRule>
    <cfRule type="expression" dxfId="884" priority="992" stopIfTrue="1">
      <formula>$A118="Init"</formula>
    </cfRule>
    <cfRule type="expression" dxfId="883" priority="998" stopIfTrue="1">
      <formula>$A118="Timestep"</formula>
    </cfRule>
    <cfRule type="expression" dxfId="882" priority="1003" stopIfTrue="1">
      <formula>$A118="Triggerwords"</formula>
    </cfRule>
    <cfRule type="expression" dxfId="881" priority="1007" stopIfTrue="1">
      <formula>$A118="Tripvar"</formula>
    </cfRule>
  </conditionalFormatting>
  <conditionalFormatting sqref="T118:T119 N118:Q119 D118:D119 H118:I119">
    <cfRule type="expression" dxfId="880" priority="984" stopIfTrue="1">
      <formula>$A118="Snglvol"</formula>
    </cfRule>
  </conditionalFormatting>
  <conditionalFormatting sqref="A118:A119">
    <cfRule type="expression" dxfId="879" priority="989" stopIfTrue="1">
      <formula>$A118="Relapnr"</formula>
    </cfRule>
  </conditionalFormatting>
  <conditionalFormatting sqref="A118:A119">
    <cfRule type="expression" dxfId="878" priority="991" stopIfTrue="1">
      <formula>$A118="Init"</formula>
    </cfRule>
  </conditionalFormatting>
  <conditionalFormatting sqref="A118:A119">
    <cfRule type="expression" dxfId="877" priority="994" stopIfTrue="1">
      <formula>$A118="InitGas"</formula>
    </cfRule>
  </conditionalFormatting>
  <conditionalFormatting sqref="A118:A119 D118:D119">
    <cfRule type="expression" dxfId="876" priority="997" stopIfTrue="1">
      <formula>$A118="Timestep"</formula>
    </cfRule>
  </conditionalFormatting>
  <conditionalFormatting sqref="A118:A119">
    <cfRule type="expression" dxfId="875" priority="1000" stopIfTrue="1">
      <formula>$A118="Replacements"</formula>
    </cfRule>
  </conditionalFormatting>
  <conditionalFormatting sqref="A118:A119">
    <cfRule type="expression" dxfId="874" priority="1002" stopIfTrue="1">
      <formula>$A118="Triggerwords"</formula>
    </cfRule>
  </conditionalFormatting>
  <conditionalFormatting sqref="A118:A119">
    <cfRule type="expression" dxfId="873" priority="1004" stopIfTrue="1">
      <formula>$A118="Custom"</formula>
    </cfRule>
  </conditionalFormatting>
  <conditionalFormatting sqref="A118:A119 D118:D119 F118:I119">
    <cfRule type="expression" dxfId="872" priority="1006" stopIfTrue="1">
      <formula>$A118="Tripvar"</formula>
    </cfRule>
  </conditionalFormatting>
  <conditionalFormatting sqref="A118:A119 F118:F119">
    <cfRule type="expression" dxfId="871" priority="1009" stopIfTrue="1">
      <formula>$A118="Triplog"</formula>
    </cfRule>
  </conditionalFormatting>
  <conditionalFormatting sqref="L118:L119">
    <cfRule type="expression" dxfId="870" priority="934" stopIfTrue="1">
      <formula>$A118="Pipe"</formula>
    </cfRule>
  </conditionalFormatting>
  <conditionalFormatting sqref="L118:L119">
    <cfRule type="expression" dxfId="869" priority="935" stopIfTrue="1">
      <formula>$A118="Junction"</formula>
    </cfRule>
  </conditionalFormatting>
  <conditionalFormatting sqref="L118:L119">
    <cfRule type="expression" dxfId="868" priority="936" stopIfTrue="1">
      <formula>$A118="Sngljun"</formula>
    </cfRule>
  </conditionalFormatting>
  <conditionalFormatting sqref="L118:L119">
    <cfRule type="expression" dxfId="867" priority="937" stopIfTrue="1">
      <formula>$A118="Mtrvlv"</formula>
    </cfRule>
  </conditionalFormatting>
  <conditionalFormatting sqref="L118:L119">
    <cfRule type="expression" dxfId="866" priority="938" stopIfTrue="1">
      <formula>$A118="Srvvlv"</formula>
    </cfRule>
  </conditionalFormatting>
  <conditionalFormatting sqref="L118:L119">
    <cfRule type="expression" dxfId="865" priority="939" stopIfTrue="1">
      <formula>$A118="Chkvlv"</formula>
    </cfRule>
  </conditionalFormatting>
  <conditionalFormatting sqref="L118:L119">
    <cfRule type="expression" dxfId="864" priority="940" stopIfTrue="1">
      <formula>$A118="Inrvlv"</formula>
    </cfRule>
  </conditionalFormatting>
  <conditionalFormatting sqref="L118:L119">
    <cfRule type="expression" dxfId="863" priority="941" stopIfTrue="1">
      <formula>$A118="Tmdpjun"</formula>
    </cfRule>
  </conditionalFormatting>
  <conditionalFormatting sqref="L118:L119">
    <cfRule type="expression" dxfId="862" priority="942" stopIfTrue="1">
      <formula>$A118="Pump"</formula>
    </cfRule>
  </conditionalFormatting>
  <conditionalFormatting sqref="L118:L119">
    <cfRule type="expression" dxfId="861" priority="943" stopIfTrue="1">
      <formula>$A118="Tmdpvol"</formula>
    </cfRule>
  </conditionalFormatting>
  <conditionalFormatting sqref="L118:L119">
    <cfRule type="expression" dxfId="860" priority="944" stopIfTrue="1">
      <formula>$A118="Snglvol"</formula>
    </cfRule>
  </conditionalFormatting>
  <conditionalFormatting sqref="K118:K119">
    <cfRule type="expression" dxfId="859" priority="923" stopIfTrue="1">
      <formula>$A118="Pipe"</formula>
    </cfRule>
  </conditionalFormatting>
  <conditionalFormatting sqref="K118:K119">
    <cfRule type="expression" dxfId="858" priority="924" stopIfTrue="1">
      <formula>$A118="Junction"</formula>
    </cfRule>
  </conditionalFormatting>
  <conditionalFormatting sqref="K118:K119">
    <cfRule type="expression" dxfId="857" priority="925" stopIfTrue="1">
      <formula>$A118="Mtrvlv"</formula>
    </cfRule>
  </conditionalFormatting>
  <conditionalFormatting sqref="K118:K119">
    <cfRule type="expression" dxfId="856" priority="926" stopIfTrue="1">
      <formula>$A118="Srvvlv"</formula>
    </cfRule>
  </conditionalFormatting>
  <conditionalFormatting sqref="K118:K119">
    <cfRule type="expression" dxfId="855" priority="927" stopIfTrue="1">
      <formula>$A118="Inrvlv"</formula>
    </cfRule>
  </conditionalFormatting>
  <conditionalFormatting sqref="K118:K119">
    <cfRule type="expression" dxfId="854" priority="928" stopIfTrue="1">
      <formula>$A118="Tmdpjun"</formula>
    </cfRule>
  </conditionalFormatting>
  <conditionalFormatting sqref="K118:K119">
    <cfRule type="expression" dxfId="853" priority="929" stopIfTrue="1">
      <formula>$A118="Pump"</formula>
    </cfRule>
  </conditionalFormatting>
  <conditionalFormatting sqref="K118:K119">
    <cfRule type="expression" dxfId="852" priority="930" stopIfTrue="1">
      <formula>$A118="Tmdpvol"</formula>
    </cfRule>
  </conditionalFormatting>
  <conditionalFormatting sqref="K118:K119">
    <cfRule type="expression" dxfId="851" priority="931" stopIfTrue="1">
      <formula>$A118="Sngljun"</formula>
    </cfRule>
  </conditionalFormatting>
  <conditionalFormatting sqref="K118:K119">
    <cfRule type="expression" dxfId="850" priority="932" stopIfTrue="1">
      <formula>$A118="Chkvlv"</formula>
    </cfRule>
    <cfRule type="expression" dxfId="849" priority="933" stopIfTrue="1">
      <formula>$A118="Snglvol"</formula>
    </cfRule>
  </conditionalFormatting>
  <conditionalFormatting sqref="E118:E119">
    <cfRule type="expression" dxfId="848" priority="909" stopIfTrue="1">
      <formula>$A118="Pipe"</formula>
    </cfRule>
  </conditionalFormatting>
  <conditionalFormatting sqref="E118:E119">
    <cfRule type="expression" dxfId="847" priority="910" stopIfTrue="1">
      <formula>$A118="Junction"</formula>
    </cfRule>
  </conditionalFormatting>
  <conditionalFormatting sqref="E118:E119">
    <cfRule type="expression" dxfId="846" priority="911" stopIfTrue="1">
      <formula>$A118="Sngljun"</formula>
    </cfRule>
  </conditionalFormatting>
  <conditionalFormatting sqref="E118:E119">
    <cfRule type="expression" dxfId="845" priority="912" stopIfTrue="1">
      <formula>$A118="Mtrvlv"</formula>
    </cfRule>
  </conditionalFormatting>
  <conditionalFormatting sqref="E118:E119">
    <cfRule type="expression" dxfId="844" priority="913" stopIfTrue="1">
      <formula>$A118="Srvvlv"</formula>
    </cfRule>
  </conditionalFormatting>
  <conditionalFormatting sqref="E118:E119">
    <cfRule type="expression" dxfId="843" priority="914" stopIfTrue="1">
      <formula>$A118="Chkvlv"</formula>
    </cfRule>
  </conditionalFormatting>
  <conditionalFormatting sqref="E118:E119">
    <cfRule type="expression" dxfId="842" priority="915" stopIfTrue="1">
      <formula>$A118="Inrvlv"</formula>
    </cfRule>
  </conditionalFormatting>
  <conditionalFormatting sqref="E118:E119">
    <cfRule type="expression" dxfId="841" priority="916" stopIfTrue="1">
      <formula>$A118="Tmdpjun"</formula>
    </cfRule>
  </conditionalFormatting>
  <conditionalFormatting sqref="E118:E119">
    <cfRule type="expression" dxfId="840" priority="917" stopIfTrue="1">
      <formula>$A118="Pump"</formula>
    </cfRule>
  </conditionalFormatting>
  <conditionalFormatting sqref="E118:E119">
    <cfRule type="expression" dxfId="839" priority="918" stopIfTrue="1">
      <formula>$A118="Tmdpvol"</formula>
    </cfRule>
  </conditionalFormatting>
  <conditionalFormatting sqref="E118:E119">
    <cfRule type="expression" dxfId="838" priority="919" stopIfTrue="1">
      <formula>$A118="Snglvol"</formula>
    </cfRule>
  </conditionalFormatting>
  <conditionalFormatting sqref="E118:E119">
    <cfRule type="expression" dxfId="837" priority="920" stopIfTrue="1">
      <formula>$A118="Timestep"</formula>
    </cfRule>
  </conditionalFormatting>
  <conditionalFormatting sqref="E118:E119">
    <cfRule type="expression" dxfId="836" priority="921" stopIfTrue="1">
      <formula>$A118="Tripvar"</formula>
    </cfRule>
  </conditionalFormatting>
  <conditionalFormatting sqref="E118:E119">
    <cfRule type="expression" dxfId="835" priority="922" stopIfTrue="1">
      <formula>$A118="Triplog"</formula>
    </cfRule>
  </conditionalFormatting>
  <conditionalFormatting sqref="U120:V120 Q120 A120:D120 F120:J120">
    <cfRule type="expression" dxfId="834" priority="841" stopIfTrue="1">
      <formula>$A120="Pipe"</formula>
    </cfRule>
  </conditionalFormatting>
  <conditionalFormatting sqref="M120:P120 U120:V120 A120:B120 H120:J120">
    <cfRule type="expression" dxfId="833" priority="842" stopIfTrue="1">
      <formula>$A120="Junction"</formula>
    </cfRule>
  </conditionalFormatting>
  <conditionalFormatting sqref="M120:P120 T120:V120 A120:B120 H120:J120">
    <cfRule type="expression" dxfId="832" priority="843" stopIfTrue="1">
      <formula>$A120="Mtrvlv"</formula>
    </cfRule>
  </conditionalFormatting>
  <conditionalFormatting sqref="M120:P120 T120:V120 B120 H120:J120">
    <cfRule type="expression" dxfId="831" priority="844" stopIfTrue="1">
      <formula>$A120="Srvvlv"</formula>
    </cfRule>
  </conditionalFormatting>
  <conditionalFormatting sqref="V120 T120 N120:P120 A120 H120:J120">
    <cfRule type="expression" dxfId="830" priority="845" stopIfTrue="1">
      <formula>$A120="Chkvlv"</formula>
    </cfRule>
  </conditionalFormatting>
  <conditionalFormatting sqref="M120:P120 T120:V120 A120:B120 H120:J120">
    <cfRule type="expression" dxfId="829" priority="846" stopIfTrue="1">
      <formula>$A120="Inrvlv"</formula>
    </cfRule>
  </conditionalFormatting>
  <conditionalFormatting sqref="M120:P120 T120:V120 B120 H120:J120">
    <cfRule type="expression" dxfId="828" priority="847" stopIfTrue="1">
      <formula>$A120="Tmdpjun"</formula>
    </cfRule>
  </conditionalFormatting>
  <conditionalFormatting sqref="M120:P120 T120:V120 A120:C120 F120:J120">
    <cfRule type="expression" dxfId="827" priority="848" stopIfTrue="1">
      <formula>$A120="Pump"</formula>
    </cfRule>
  </conditionalFormatting>
  <conditionalFormatting sqref="U120:V120 Q120 J120 F120:G120 A120:C120">
    <cfRule type="expression" dxfId="826" priority="849" stopIfTrue="1">
      <formula>$A120="Tmdpvol"</formula>
    </cfRule>
  </conditionalFormatting>
  <conditionalFormatting sqref="V120 J120 F120:G120 A120">
    <cfRule type="expression" dxfId="825" priority="850" stopIfTrue="1">
      <formula>$A120="Snglvol"</formula>
    </cfRule>
  </conditionalFormatting>
  <conditionalFormatting sqref="M120:P120 U120:V120 A120:B120 H120:J120">
    <cfRule type="expression" dxfId="824" priority="851" stopIfTrue="1">
      <formula>$A120="Sngljun"</formula>
    </cfRule>
  </conditionalFormatting>
  <conditionalFormatting sqref="M120:P120 R120:T120">
    <cfRule type="expression" dxfId="823" priority="852" stopIfTrue="1">
      <formula>$A120="Pipe"</formula>
    </cfRule>
  </conditionalFormatting>
  <conditionalFormatting sqref="C120">
    <cfRule type="expression" dxfId="822" priority="853" stopIfTrue="1">
      <formula>$A120="Junction"</formula>
    </cfRule>
    <cfRule type="expression" dxfId="821" priority="879" stopIfTrue="1">
      <formula>$A120="Snglvol"</formula>
    </cfRule>
    <cfRule type="expression" dxfId="820" priority="892" stopIfTrue="1">
      <formula>$A120="InitGas"</formula>
    </cfRule>
    <cfRule type="expression" dxfId="819" priority="904" stopIfTrue="1">
      <formula>$A120="Tripvar"</formula>
    </cfRule>
  </conditionalFormatting>
  <conditionalFormatting sqref="Q120:T120 F120:G120 D120">
    <cfRule type="expression" dxfId="818" priority="854" stopIfTrue="1">
      <formula>$A120="Junction"</formula>
    </cfRule>
  </conditionalFormatting>
  <conditionalFormatting sqref="Q120:T120 F120:G120 C120:D120">
    <cfRule type="expression" dxfId="817" priority="855" stopIfTrue="1">
      <formula>$A120="Sngljun"</formula>
    </cfRule>
  </conditionalFormatting>
  <conditionalFormatting sqref="Q120:S120 F120:G120 C120:D120">
    <cfRule type="expression" dxfId="816" priority="856" stopIfTrue="1">
      <formula>$A120="Mtrvlv"</formula>
    </cfRule>
  </conditionalFormatting>
  <conditionalFormatting sqref="A120">
    <cfRule type="expression" dxfId="815" priority="857" stopIfTrue="1">
      <formula>$A120="Srvvlv"</formula>
    </cfRule>
    <cfRule type="expression" dxfId="814" priority="868" stopIfTrue="1">
      <formula>$A120="Tmdpjun"</formula>
    </cfRule>
  </conditionalFormatting>
  <conditionalFormatting sqref="S120 Q120 F120:G120 C120:D120">
    <cfRule type="expression" dxfId="813" priority="858" stopIfTrue="1">
      <formula>$A120="Srvvlv"</formula>
    </cfRule>
  </conditionalFormatting>
  <conditionalFormatting sqref="R120">
    <cfRule type="expression" dxfId="812" priority="859" stopIfTrue="1">
      <formula>$A120="Srvvlv"</formula>
    </cfRule>
    <cfRule type="expression" dxfId="811" priority="870" stopIfTrue="1">
      <formula>$A120="Tmdpjun"</formula>
    </cfRule>
    <cfRule type="expression" dxfId="810" priority="873" stopIfTrue="1">
      <formula>$A120="Pump"</formula>
    </cfRule>
    <cfRule type="expression" dxfId="809" priority="876" stopIfTrue="1">
      <formula>$A120="Tmdpvol"</formula>
    </cfRule>
    <cfRule type="expression" dxfId="808" priority="883" stopIfTrue="1">
      <formula>$A120="Snglvol"</formula>
    </cfRule>
  </conditionalFormatting>
  <conditionalFormatting sqref="B120">
    <cfRule type="expression" dxfId="807" priority="860" stopIfTrue="1">
      <formula>$A120="Chkvlv"</formula>
    </cfRule>
    <cfRule type="expression" dxfId="806" priority="886" stopIfTrue="1">
      <formula>$A120="Relapnr"</formula>
    </cfRule>
    <cfRule type="expression" dxfId="805" priority="891" stopIfTrue="1">
      <formula>$A120="InitGas"</formula>
    </cfRule>
    <cfRule type="expression" dxfId="804" priority="897" stopIfTrue="1">
      <formula>$A120="Replacements"</formula>
    </cfRule>
    <cfRule type="expression" dxfId="803" priority="901" stopIfTrue="1">
      <formula>$A120="Custom"</formula>
    </cfRule>
    <cfRule type="expression" dxfId="802" priority="906" stopIfTrue="1">
      <formula>$A120="Triplog"</formula>
    </cfRule>
  </conditionalFormatting>
  <conditionalFormatting sqref="C120 Q120:S120 F120:G120">
    <cfRule type="expression" dxfId="801" priority="861" stopIfTrue="1">
      <formula>$A120="Chkvlv"</formula>
    </cfRule>
  </conditionalFormatting>
  <conditionalFormatting sqref="D120">
    <cfRule type="expression" dxfId="800" priority="862" stopIfTrue="1">
      <formula>$A120="Chkvlv"</formula>
    </cfRule>
    <cfRule type="expression" dxfId="799" priority="908" stopIfTrue="1">
      <formula>$A120="Triplog"</formula>
    </cfRule>
  </conditionalFormatting>
  <conditionalFormatting sqref="U120">
    <cfRule type="expression" dxfId="798" priority="863" stopIfTrue="1">
      <formula>$A120="Chkvlv"</formula>
    </cfRule>
    <cfRule type="expression" dxfId="797" priority="881" stopIfTrue="1">
      <formula>$A120="Snglvol"</formula>
    </cfRule>
  </conditionalFormatting>
  <conditionalFormatting sqref="M120">
    <cfRule type="expression" dxfId="796" priority="864" stopIfTrue="1">
      <formula>$A120="Chkvlv"</formula>
    </cfRule>
    <cfRule type="expression" dxfId="795" priority="882" stopIfTrue="1">
      <formula>$A120="Snglvol"</formula>
    </cfRule>
  </conditionalFormatting>
  <conditionalFormatting sqref="C120">
    <cfRule type="expression" dxfId="794" priority="865" stopIfTrue="1">
      <formula>$A120="Inrvlv"</formula>
    </cfRule>
    <cfRule type="expression" dxfId="793" priority="889" stopIfTrue="1">
      <formula>$A120="Init"</formula>
    </cfRule>
    <cfRule type="expression" dxfId="792" priority="895" stopIfTrue="1">
      <formula>$A120="Timestep"</formula>
    </cfRule>
    <cfRule type="expression" dxfId="791" priority="907" stopIfTrue="1">
      <formula>$A120="Triplog"</formula>
    </cfRule>
  </conditionalFormatting>
  <conditionalFormatting sqref="Q120:R120 F120:G120 D120">
    <cfRule type="expression" dxfId="790" priority="866" stopIfTrue="1">
      <formula>$A120="Inrvlv"</formula>
    </cfRule>
  </conditionalFormatting>
  <conditionalFormatting sqref="S120">
    <cfRule type="expression" dxfId="789" priority="867" stopIfTrue="1">
      <formula>$A120="Inrvlv"</formula>
    </cfRule>
    <cfRule type="expression" dxfId="788" priority="871" stopIfTrue="1">
      <formula>$A120="Tmdpjun"</formula>
    </cfRule>
    <cfRule type="expression" dxfId="787" priority="874" stopIfTrue="1">
      <formula>$A120="Pump"</formula>
    </cfRule>
    <cfRule type="expression" dxfId="786" priority="877" stopIfTrue="1">
      <formula>$A120="Tmdpvol"</formula>
    </cfRule>
    <cfRule type="expression" dxfId="785" priority="884" stopIfTrue="1">
      <formula>$A120="Snglvol"</formula>
    </cfRule>
  </conditionalFormatting>
  <conditionalFormatting sqref="Q120 F120:G120 C120:D120">
    <cfRule type="expression" dxfId="784" priority="869" stopIfTrue="1">
      <formula>$A120="Tmdpjun"</formula>
    </cfRule>
  </conditionalFormatting>
  <conditionalFormatting sqref="Q120 D120">
    <cfRule type="expression" dxfId="783" priority="872" stopIfTrue="1">
      <formula>$A120="Pump"</formula>
    </cfRule>
  </conditionalFormatting>
  <conditionalFormatting sqref="T120 H120:I120 D120 M120:P120">
    <cfRule type="expression" dxfId="782" priority="875" stopIfTrue="1">
      <formula>$A120="Tmdpvol"</formula>
    </cfRule>
  </conditionalFormatting>
  <conditionalFormatting sqref="B120">
    <cfRule type="expression" dxfId="781" priority="878" stopIfTrue="1">
      <formula>$A120="Snglvol"</formula>
    </cfRule>
    <cfRule type="expression" dxfId="780" priority="888" stopIfTrue="1">
      <formula>$A120="Init"</formula>
    </cfRule>
    <cfRule type="expression" dxfId="779" priority="894" stopIfTrue="1">
      <formula>$A120="Timestep"</formula>
    </cfRule>
    <cfRule type="expression" dxfId="778" priority="899" stopIfTrue="1">
      <formula>$A120="Triggerwords"</formula>
    </cfRule>
    <cfRule type="expression" dxfId="777" priority="903" stopIfTrue="1">
      <formula>$A120="Tripvar"</formula>
    </cfRule>
  </conditionalFormatting>
  <conditionalFormatting sqref="T120 N120:Q120 H120:I120 D120">
    <cfRule type="expression" dxfId="776" priority="880" stopIfTrue="1">
      <formula>$A120="Snglvol"</formula>
    </cfRule>
  </conditionalFormatting>
  <conditionalFormatting sqref="A120">
    <cfRule type="expression" dxfId="775" priority="885" stopIfTrue="1">
      <formula>$A120="Relapnr"</formula>
    </cfRule>
  </conditionalFormatting>
  <conditionalFormatting sqref="A120">
    <cfRule type="expression" dxfId="774" priority="887" stopIfTrue="1">
      <formula>$A120="Init"</formula>
    </cfRule>
  </conditionalFormatting>
  <conditionalFormatting sqref="A120">
    <cfRule type="expression" dxfId="773" priority="890" stopIfTrue="1">
      <formula>$A120="InitGas"</formula>
    </cfRule>
  </conditionalFormatting>
  <conditionalFormatting sqref="A120 D120">
    <cfRule type="expression" dxfId="772" priority="893" stopIfTrue="1">
      <formula>$A120="Timestep"</formula>
    </cfRule>
  </conditionalFormatting>
  <conditionalFormatting sqref="A120">
    <cfRule type="expression" dxfId="771" priority="896" stopIfTrue="1">
      <formula>$A120="Replacements"</formula>
    </cfRule>
  </conditionalFormatting>
  <conditionalFormatting sqref="A120">
    <cfRule type="expression" dxfId="770" priority="898" stopIfTrue="1">
      <formula>$A120="Triggerwords"</formula>
    </cfRule>
  </conditionalFormatting>
  <conditionalFormatting sqref="A120">
    <cfRule type="expression" dxfId="769" priority="900" stopIfTrue="1">
      <formula>$A120="Custom"</formula>
    </cfRule>
  </conditionalFormatting>
  <conditionalFormatting sqref="A120 F120:I120 D120">
    <cfRule type="expression" dxfId="768" priority="902" stopIfTrue="1">
      <formula>$A120="Tripvar"</formula>
    </cfRule>
  </conditionalFormatting>
  <conditionalFormatting sqref="A120 F120">
    <cfRule type="expression" dxfId="767" priority="905" stopIfTrue="1">
      <formula>$A120="Triplog"</formula>
    </cfRule>
  </conditionalFormatting>
  <conditionalFormatting sqref="L120">
    <cfRule type="expression" dxfId="766" priority="830" stopIfTrue="1">
      <formula>$A120="Pipe"</formula>
    </cfRule>
  </conditionalFormatting>
  <conditionalFormatting sqref="L120">
    <cfRule type="expression" dxfId="765" priority="831" stopIfTrue="1">
      <formula>$A120="Junction"</formula>
    </cfRule>
  </conditionalFormatting>
  <conditionalFormatting sqref="L120">
    <cfRule type="expression" dxfId="764" priority="832" stopIfTrue="1">
      <formula>$A120="Sngljun"</formula>
    </cfRule>
  </conditionalFormatting>
  <conditionalFormatting sqref="L120">
    <cfRule type="expression" dxfId="763" priority="833" stopIfTrue="1">
      <formula>$A120="Mtrvlv"</formula>
    </cfRule>
  </conditionalFormatting>
  <conditionalFormatting sqref="L120">
    <cfRule type="expression" dxfId="762" priority="834" stopIfTrue="1">
      <formula>$A120="Srvvlv"</formula>
    </cfRule>
  </conditionalFormatting>
  <conditionalFormatting sqref="L120">
    <cfRule type="expression" dxfId="761" priority="835" stopIfTrue="1">
      <formula>$A120="Chkvlv"</formula>
    </cfRule>
  </conditionalFormatting>
  <conditionalFormatting sqref="L120">
    <cfRule type="expression" dxfId="760" priority="836" stopIfTrue="1">
      <formula>$A120="Inrvlv"</formula>
    </cfRule>
  </conditionalFormatting>
  <conditionalFormatting sqref="L120">
    <cfRule type="expression" dxfId="759" priority="837" stopIfTrue="1">
      <formula>$A120="Tmdpjun"</formula>
    </cfRule>
  </conditionalFormatting>
  <conditionalFormatting sqref="L120">
    <cfRule type="expression" dxfId="758" priority="838" stopIfTrue="1">
      <formula>$A120="Pump"</formula>
    </cfRule>
  </conditionalFormatting>
  <conditionalFormatting sqref="L120">
    <cfRule type="expression" dxfId="757" priority="839" stopIfTrue="1">
      <formula>$A120="Tmdpvol"</formula>
    </cfRule>
  </conditionalFormatting>
  <conditionalFormatting sqref="L120">
    <cfRule type="expression" dxfId="756" priority="840" stopIfTrue="1">
      <formula>$A120="Snglvol"</formula>
    </cfRule>
  </conditionalFormatting>
  <conditionalFormatting sqref="E120">
    <cfRule type="expression" dxfId="755" priority="816" stopIfTrue="1">
      <formula>$A120="Pipe"</formula>
    </cfRule>
  </conditionalFormatting>
  <conditionalFormatting sqref="E120">
    <cfRule type="expression" dxfId="754" priority="817" stopIfTrue="1">
      <formula>$A120="Junction"</formula>
    </cfRule>
  </conditionalFormatting>
  <conditionalFormatting sqref="E120">
    <cfRule type="expression" dxfId="753" priority="818" stopIfTrue="1">
      <formula>$A120="Sngljun"</formula>
    </cfRule>
  </conditionalFormatting>
  <conditionalFormatting sqref="E120">
    <cfRule type="expression" dxfId="752" priority="819" stopIfTrue="1">
      <formula>$A120="Mtrvlv"</formula>
    </cfRule>
  </conditionalFormatting>
  <conditionalFormatting sqref="E120">
    <cfRule type="expression" dxfId="751" priority="820" stopIfTrue="1">
      <formula>$A120="Srvvlv"</formula>
    </cfRule>
  </conditionalFormatting>
  <conditionalFormatting sqref="E120">
    <cfRule type="expression" dxfId="750" priority="821" stopIfTrue="1">
      <formula>$A120="Chkvlv"</formula>
    </cfRule>
  </conditionalFormatting>
  <conditionalFormatting sqref="E120">
    <cfRule type="expression" dxfId="749" priority="822" stopIfTrue="1">
      <formula>$A120="Inrvlv"</formula>
    </cfRule>
  </conditionalFormatting>
  <conditionalFormatting sqref="E120">
    <cfRule type="expression" dxfId="748" priority="823" stopIfTrue="1">
      <formula>$A120="Tmdpjun"</formula>
    </cfRule>
  </conditionalFormatting>
  <conditionalFormatting sqref="E120">
    <cfRule type="expression" dxfId="747" priority="824" stopIfTrue="1">
      <formula>$A120="Pump"</formula>
    </cfRule>
  </conditionalFormatting>
  <conditionalFormatting sqref="E120">
    <cfRule type="expression" dxfId="746" priority="825" stopIfTrue="1">
      <formula>$A120="Tmdpvol"</formula>
    </cfRule>
  </conditionalFormatting>
  <conditionalFormatting sqref="E120">
    <cfRule type="expression" dxfId="745" priority="826" stopIfTrue="1">
      <formula>$A120="Snglvol"</formula>
    </cfRule>
  </conditionalFormatting>
  <conditionalFormatting sqref="E120">
    <cfRule type="expression" dxfId="744" priority="827" stopIfTrue="1">
      <formula>$A120="Timestep"</formula>
    </cfRule>
  </conditionalFormatting>
  <conditionalFormatting sqref="E120">
    <cfRule type="expression" dxfId="743" priority="828" stopIfTrue="1">
      <formula>$A120="Tripvar"</formula>
    </cfRule>
  </conditionalFormatting>
  <conditionalFormatting sqref="E120">
    <cfRule type="expression" dxfId="742" priority="829" stopIfTrue="1">
      <formula>$A120="Triplog"</formula>
    </cfRule>
  </conditionalFormatting>
  <conditionalFormatting sqref="K120">
    <cfRule type="expression" dxfId="741" priority="807" stopIfTrue="1">
      <formula>$A120="Mtrvlv"</formula>
    </cfRule>
  </conditionalFormatting>
  <conditionalFormatting sqref="K120">
    <cfRule type="expression" dxfId="740" priority="808" stopIfTrue="1">
      <formula>$A120="Srvvlv"</formula>
    </cfRule>
  </conditionalFormatting>
  <conditionalFormatting sqref="K120">
    <cfRule type="expression" dxfId="739" priority="809" stopIfTrue="1">
      <formula>$A120="Inrvlv"</formula>
    </cfRule>
  </conditionalFormatting>
  <conditionalFormatting sqref="K120">
    <cfRule type="expression" dxfId="738" priority="810" stopIfTrue="1">
      <formula>$A120="Tmdpjun"</formula>
    </cfRule>
  </conditionalFormatting>
  <conditionalFormatting sqref="K120">
    <cfRule type="expression" dxfId="737" priority="811" stopIfTrue="1">
      <formula>$A120="Pump"</formula>
    </cfRule>
  </conditionalFormatting>
  <conditionalFormatting sqref="K120">
    <cfRule type="expression" dxfId="736" priority="812" stopIfTrue="1">
      <formula>$A120="Tmdpvol"</formula>
    </cfRule>
  </conditionalFormatting>
  <conditionalFormatting sqref="K120">
    <cfRule type="expression" dxfId="735" priority="813" stopIfTrue="1">
      <formula>$A120="Sngljun"</formula>
    </cfRule>
  </conditionalFormatting>
  <conditionalFormatting sqref="K120">
    <cfRule type="expression" dxfId="734" priority="814" stopIfTrue="1">
      <formula>$A120="Chkvlv"</formula>
    </cfRule>
    <cfRule type="expression" dxfId="733" priority="815" stopIfTrue="1">
      <formula>$A120="Snglvol"</formula>
    </cfRule>
  </conditionalFormatting>
  <conditionalFormatting sqref="K121:K122">
    <cfRule type="expression" dxfId="732" priority="690" stopIfTrue="1">
      <formula>$A121="Pipe"</formula>
    </cfRule>
  </conditionalFormatting>
  <conditionalFormatting sqref="K121:K122">
    <cfRule type="expression" dxfId="731" priority="691" stopIfTrue="1">
      <formula>$A121="Junction"</formula>
    </cfRule>
  </conditionalFormatting>
  <conditionalFormatting sqref="K121:K122">
    <cfRule type="expression" dxfId="730" priority="692" stopIfTrue="1">
      <formula>$A121="Mtrvlv"</formula>
    </cfRule>
  </conditionalFormatting>
  <conditionalFormatting sqref="K121:K122">
    <cfRule type="expression" dxfId="729" priority="693" stopIfTrue="1">
      <formula>$A121="Srvvlv"</formula>
    </cfRule>
  </conditionalFormatting>
  <conditionalFormatting sqref="K121:K122">
    <cfRule type="expression" dxfId="728" priority="694" stopIfTrue="1">
      <formula>$A121="Inrvlv"</formula>
    </cfRule>
  </conditionalFormatting>
  <conditionalFormatting sqref="K121:K122">
    <cfRule type="expression" dxfId="727" priority="695" stopIfTrue="1">
      <formula>$A121="Tmdpjun"</formula>
    </cfRule>
  </conditionalFormatting>
  <conditionalFormatting sqref="K121:K122">
    <cfRule type="expression" dxfId="726" priority="696" stopIfTrue="1">
      <formula>$A121="Pump"</formula>
    </cfRule>
  </conditionalFormatting>
  <conditionalFormatting sqref="K121:K122">
    <cfRule type="expression" dxfId="725" priority="697" stopIfTrue="1">
      <formula>$A121="Tmdpvol"</formula>
    </cfRule>
  </conditionalFormatting>
  <conditionalFormatting sqref="K121:K122">
    <cfRule type="expression" dxfId="724" priority="698" stopIfTrue="1">
      <formula>$A121="Sngljun"</formula>
    </cfRule>
  </conditionalFormatting>
  <conditionalFormatting sqref="K121:K122">
    <cfRule type="expression" dxfId="723" priority="699" stopIfTrue="1">
      <formula>$A121="Chkvlv"</formula>
    </cfRule>
    <cfRule type="expression" dxfId="722" priority="700" stopIfTrue="1">
      <formula>$A121="Snglvol"</formula>
    </cfRule>
  </conditionalFormatting>
  <conditionalFormatting sqref="U123:V124 Q123:Q124 A123:D124 F123:J124">
    <cfRule type="expression" dxfId="721" priority="622" stopIfTrue="1">
      <formula>$A123="Pipe"</formula>
    </cfRule>
  </conditionalFormatting>
  <conditionalFormatting sqref="M123:P124 U123:V124 A123:B124 H123:J124">
    <cfRule type="expression" dxfId="720" priority="623" stopIfTrue="1">
      <formula>$A123="Junction"</formula>
    </cfRule>
  </conditionalFormatting>
  <conditionalFormatting sqref="M123:P124 T123:V124 A123:B124 H123:J124">
    <cfRule type="expression" dxfId="719" priority="624" stopIfTrue="1">
      <formula>$A123="Mtrvlv"</formula>
    </cfRule>
  </conditionalFormatting>
  <conditionalFormatting sqref="M123:P124 T123:V124 B123:B124 H123:J124">
    <cfRule type="expression" dxfId="718" priority="625" stopIfTrue="1">
      <formula>$A123="Srvvlv"</formula>
    </cfRule>
  </conditionalFormatting>
  <conditionalFormatting sqref="V123:V124 T123:T124 N123:P124 A123:A124 H123:J124">
    <cfRule type="expression" dxfId="717" priority="626" stopIfTrue="1">
      <formula>$A123="Chkvlv"</formula>
    </cfRule>
  </conditionalFormatting>
  <conditionalFormatting sqref="M123:P124 T123:V124 A123:B124 H123:J124">
    <cfRule type="expression" dxfId="716" priority="627" stopIfTrue="1">
      <formula>$A123="Inrvlv"</formula>
    </cfRule>
  </conditionalFormatting>
  <conditionalFormatting sqref="M123:P124 T123:V124 B123:B124 H123:J124">
    <cfRule type="expression" dxfId="715" priority="628" stopIfTrue="1">
      <formula>$A123="Tmdpjun"</formula>
    </cfRule>
  </conditionalFormatting>
  <conditionalFormatting sqref="M123:P124 T123:V124 A123:C124 F123:J124">
    <cfRule type="expression" dxfId="714" priority="629" stopIfTrue="1">
      <formula>$A123="Pump"</formula>
    </cfRule>
  </conditionalFormatting>
  <conditionalFormatting sqref="U123:V124 Q123:Q124 J123:J124 F123:G124 A123:C124">
    <cfRule type="expression" dxfId="713" priority="630" stopIfTrue="1">
      <formula>$A123="Tmdpvol"</formula>
    </cfRule>
  </conditionalFormatting>
  <conditionalFormatting sqref="V123:V124 J123:J124 F123:G124 A123:A124">
    <cfRule type="expression" dxfId="712" priority="631" stopIfTrue="1">
      <formula>$A123="Snglvol"</formula>
    </cfRule>
  </conditionalFormatting>
  <conditionalFormatting sqref="M123:P124 U123:V124 A123:B124 H123:J124">
    <cfRule type="expression" dxfId="711" priority="632" stopIfTrue="1">
      <formula>$A123="Sngljun"</formula>
    </cfRule>
  </conditionalFormatting>
  <conditionalFormatting sqref="M123:P124 R123:T124">
    <cfRule type="expression" dxfId="710" priority="633" stopIfTrue="1">
      <formula>$A123="Pipe"</formula>
    </cfRule>
  </conditionalFormatting>
  <conditionalFormatting sqref="C123:C124">
    <cfRule type="expression" dxfId="709" priority="634" stopIfTrue="1">
      <formula>$A123="Junction"</formula>
    </cfRule>
    <cfRule type="expression" dxfId="708" priority="660" stopIfTrue="1">
      <formula>$A123="Snglvol"</formula>
    </cfRule>
    <cfRule type="expression" dxfId="707" priority="673" stopIfTrue="1">
      <formula>$A123="InitGas"</formula>
    </cfRule>
    <cfRule type="expression" dxfId="706" priority="685" stopIfTrue="1">
      <formula>$A123="Tripvar"</formula>
    </cfRule>
  </conditionalFormatting>
  <conditionalFormatting sqref="Q123:T124 F123:G124 D123:D124">
    <cfRule type="expression" dxfId="705" priority="635" stopIfTrue="1">
      <formula>$A123="Junction"</formula>
    </cfRule>
  </conditionalFormatting>
  <conditionalFormatting sqref="Q123:T124 F123:G124 C123:D124">
    <cfRule type="expression" dxfId="704" priority="636" stopIfTrue="1">
      <formula>$A123="Sngljun"</formula>
    </cfRule>
  </conditionalFormatting>
  <conditionalFormatting sqref="Q123:S124 F123:G124 C123:D124">
    <cfRule type="expression" dxfId="703" priority="637" stopIfTrue="1">
      <formula>$A123="Mtrvlv"</formula>
    </cfRule>
  </conditionalFormatting>
  <conditionalFormatting sqref="A123:A124">
    <cfRule type="expression" dxfId="702" priority="638" stopIfTrue="1">
      <formula>$A123="Srvvlv"</formula>
    </cfRule>
    <cfRule type="expression" dxfId="701" priority="649" stopIfTrue="1">
      <formula>$A123="Tmdpjun"</formula>
    </cfRule>
  </conditionalFormatting>
  <conditionalFormatting sqref="S123:S124 Q123:Q124 F123:G124 C123:D124">
    <cfRule type="expression" dxfId="700" priority="639" stopIfTrue="1">
      <formula>$A123="Srvvlv"</formula>
    </cfRule>
  </conditionalFormatting>
  <conditionalFormatting sqref="R123:R124">
    <cfRule type="expression" dxfId="699" priority="640" stopIfTrue="1">
      <formula>$A123="Srvvlv"</formula>
    </cfRule>
    <cfRule type="expression" dxfId="698" priority="651" stopIfTrue="1">
      <formula>$A123="Tmdpjun"</formula>
    </cfRule>
    <cfRule type="expression" dxfId="697" priority="654" stopIfTrue="1">
      <formula>$A123="Pump"</formula>
    </cfRule>
    <cfRule type="expression" dxfId="696" priority="657" stopIfTrue="1">
      <formula>$A123="Tmdpvol"</formula>
    </cfRule>
    <cfRule type="expression" dxfId="695" priority="664" stopIfTrue="1">
      <formula>$A123="Snglvol"</formula>
    </cfRule>
  </conditionalFormatting>
  <conditionalFormatting sqref="B123:B124">
    <cfRule type="expression" dxfId="694" priority="641" stopIfTrue="1">
      <formula>$A123="Chkvlv"</formula>
    </cfRule>
    <cfRule type="expression" dxfId="693" priority="667" stopIfTrue="1">
      <formula>$A123="Relapnr"</formula>
    </cfRule>
    <cfRule type="expression" dxfId="692" priority="672" stopIfTrue="1">
      <formula>$A123="InitGas"</formula>
    </cfRule>
    <cfRule type="expression" dxfId="691" priority="678" stopIfTrue="1">
      <formula>$A123="Replacements"</formula>
    </cfRule>
    <cfRule type="expression" dxfId="690" priority="682" stopIfTrue="1">
      <formula>$A123="Custom"</formula>
    </cfRule>
    <cfRule type="expression" dxfId="689" priority="687" stopIfTrue="1">
      <formula>$A123="Triplog"</formula>
    </cfRule>
  </conditionalFormatting>
  <conditionalFormatting sqref="C123:C124 Q123:S124 F123:G124">
    <cfRule type="expression" dxfId="688" priority="642" stopIfTrue="1">
      <formula>$A123="Chkvlv"</formula>
    </cfRule>
  </conditionalFormatting>
  <conditionalFormatting sqref="D123:D124">
    <cfRule type="expression" dxfId="687" priority="643" stopIfTrue="1">
      <formula>$A123="Chkvlv"</formula>
    </cfRule>
    <cfRule type="expression" dxfId="686" priority="689" stopIfTrue="1">
      <formula>$A123="Triplog"</formula>
    </cfRule>
  </conditionalFormatting>
  <conditionalFormatting sqref="U123:U124">
    <cfRule type="expression" dxfId="685" priority="644" stopIfTrue="1">
      <formula>$A123="Chkvlv"</formula>
    </cfRule>
    <cfRule type="expression" dxfId="684" priority="662" stopIfTrue="1">
      <formula>$A123="Snglvol"</formula>
    </cfRule>
  </conditionalFormatting>
  <conditionalFormatting sqref="M123:M124">
    <cfRule type="expression" dxfId="683" priority="645" stopIfTrue="1">
      <formula>$A123="Chkvlv"</formula>
    </cfRule>
    <cfRule type="expression" dxfId="682" priority="663" stopIfTrue="1">
      <formula>$A123="Snglvol"</formula>
    </cfRule>
  </conditionalFormatting>
  <conditionalFormatting sqref="C123:C124">
    <cfRule type="expression" dxfId="681" priority="646" stopIfTrue="1">
      <formula>$A123="Inrvlv"</formula>
    </cfRule>
    <cfRule type="expression" dxfId="680" priority="670" stopIfTrue="1">
      <formula>$A123="Init"</formula>
    </cfRule>
    <cfRule type="expression" dxfId="679" priority="676" stopIfTrue="1">
      <formula>$A123="Timestep"</formula>
    </cfRule>
    <cfRule type="expression" dxfId="678" priority="688" stopIfTrue="1">
      <formula>$A123="Triplog"</formula>
    </cfRule>
  </conditionalFormatting>
  <conditionalFormatting sqref="Q123:R124 F123:G124 D123:D124">
    <cfRule type="expression" dxfId="677" priority="647" stopIfTrue="1">
      <formula>$A123="Inrvlv"</formula>
    </cfRule>
  </conditionalFormatting>
  <conditionalFormatting sqref="S123:S124">
    <cfRule type="expression" dxfId="676" priority="648" stopIfTrue="1">
      <formula>$A123="Inrvlv"</formula>
    </cfRule>
    <cfRule type="expression" dxfId="675" priority="652" stopIfTrue="1">
      <formula>$A123="Tmdpjun"</formula>
    </cfRule>
    <cfRule type="expression" dxfId="674" priority="655" stopIfTrue="1">
      <formula>$A123="Pump"</formula>
    </cfRule>
    <cfRule type="expression" dxfId="673" priority="658" stopIfTrue="1">
      <formula>$A123="Tmdpvol"</formula>
    </cfRule>
    <cfRule type="expression" dxfId="672" priority="665" stopIfTrue="1">
      <formula>$A123="Snglvol"</formula>
    </cfRule>
  </conditionalFormatting>
  <conditionalFormatting sqref="Q123:Q124 F123:G124 C123:D124">
    <cfRule type="expression" dxfId="671" priority="650" stopIfTrue="1">
      <formula>$A123="Tmdpjun"</formula>
    </cfRule>
  </conditionalFormatting>
  <conditionalFormatting sqref="Q123:Q124 D123:D124">
    <cfRule type="expression" dxfId="670" priority="653" stopIfTrue="1">
      <formula>$A123="Pump"</formula>
    </cfRule>
  </conditionalFormatting>
  <conditionalFormatting sqref="T123:T124 D123:D124 M123:P124 H123:I124">
    <cfRule type="expression" dxfId="669" priority="656" stopIfTrue="1">
      <formula>$A123="Tmdpvol"</formula>
    </cfRule>
  </conditionalFormatting>
  <conditionalFormatting sqref="B123:B124">
    <cfRule type="expression" dxfId="668" priority="659" stopIfTrue="1">
      <formula>$A123="Snglvol"</formula>
    </cfRule>
    <cfRule type="expression" dxfId="667" priority="669" stopIfTrue="1">
      <formula>$A123="Init"</formula>
    </cfRule>
    <cfRule type="expression" dxfId="666" priority="675" stopIfTrue="1">
      <formula>$A123="Timestep"</formula>
    </cfRule>
    <cfRule type="expression" dxfId="665" priority="680" stopIfTrue="1">
      <formula>$A123="Triggerwords"</formula>
    </cfRule>
    <cfRule type="expression" dxfId="664" priority="684" stopIfTrue="1">
      <formula>$A123="Tripvar"</formula>
    </cfRule>
  </conditionalFormatting>
  <conditionalFormatting sqref="T123:T124 N123:Q124 D123:D124 H123:I124">
    <cfRule type="expression" dxfId="663" priority="661" stopIfTrue="1">
      <formula>$A123="Snglvol"</formula>
    </cfRule>
  </conditionalFormatting>
  <conditionalFormatting sqref="A123:A124">
    <cfRule type="expression" dxfId="662" priority="666" stopIfTrue="1">
      <formula>$A123="Relapnr"</formula>
    </cfRule>
  </conditionalFormatting>
  <conditionalFormatting sqref="A123:A124">
    <cfRule type="expression" dxfId="661" priority="668" stopIfTrue="1">
      <formula>$A123="Init"</formula>
    </cfRule>
  </conditionalFormatting>
  <conditionalFormatting sqref="A123:A124">
    <cfRule type="expression" dxfId="660" priority="671" stopIfTrue="1">
      <formula>$A123="InitGas"</formula>
    </cfRule>
  </conditionalFormatting>
  <conditionalFormatting sqref="A123:A124 D123:D124">
    <cfRule type="expression" dxfId="659" priority="674" stopIfTrue="1">
      <formula>$A123="Timestep"</formula>
    </cfRule>
  </conditionalFormatting>
  <conditionalFormatting sqref="A123:A124">
    <cfRule type="expression" dxfId="658" priority="677" stopIfTrue="1">
      <formula>$A123="Replacements"</formula>
    </cfRule>
  </conditionalFormatting>
  <conditionalFormatting sqref="A123:A124">
    <cfRule type="expression" dxfId="657" priority="679" stopIfTrue="1">
      <formula>$A123="Triggerwords"</formula>
    </cfRule>
  </conditionalFormatting>
  <conditionalFormatting sqref="A123:A124">
    <cfRule type="expression" dxfId="656" priority="681" stopIfTrue="1">
      <formula>$A123="Custom"</formula>
    </cfRule>
  </conditionalFormatting>
  <conditionalFormatting sqref="A123:A124 D123:D124 F123:I124">
    <cfRule type="expression" dxfId="655" priority="683" stopIfTrue="1">
      <formula>$A123="Tripvar"</formula>
    </cfRule>
  </conditionalFormatting>
  <conditionalFormatting sqref="A123:A124 F123:F124">
    <cfRule type="expression" dxfId="654" priority="686" stopIfTrue="1">
      <formula>$A123="Triplog"</formula>
    </cfRule>
  </conditionalFormatting>
  <conditionalFormatting sqref="L123:L124">
    <cfRule type="expression" dxfId="653" priority="611" stopIfTrue="1">
      <formula>$A123="Pipe"</formula>
    </cfRule>
  </conditionalFormatting>
  <conditionalFormatting sqref="L123:L124">
    <cfRule type="expression" dxfId="652" priority="612" stopIfTrue="1">
      <formula>$A123="Junction"</formula>
    </cfRule>
  </conditionalFormatting>
  <conditionalFormatting sqref="L123:L124">
    <cfRule type="expression" dxfId="651" priority="613" stopIfTrue="1">
      <formula>$A123="Sngljun"</formula>
    </cfRule>
  </conditionalFormatting>
  <conditionalFormatting sqref="L123:L124">
    <cfRule type="expression" dxfId="650" priority="614" stopIfTrue="1">
      <formula>$A123="Mtrvlv"</formula>
    </cfRule>
  </conditionalFormatting>
  <conditionalFormatting sqref="L123:L124">
    <cfRule type="expression" dxfId="649" priority="615" stopIfTrue="1">
      <formula>$A123="Srvvlv"</formula>
    </cfRule>
  </conditionalFormatting>
  <conditionalFormatting sqref="L123:L124">
    <cfRule type="expression" dxfId="648" priority="616" stopIfTrue="1">
      <formula>$A123="Chkvlv"</formula>
    </cfRule>
  </conditionalFormatting>
  <conditionalFormatting sqref="L123:L124">
    <cfRule type="expression" dxfId="647" priority="617" stopIfTrue="1">
      <formula>$A123="Inrvlv"</formula>
    </cfRule>
  </conditionalFormatting>
  <conditionalFormatting sqref="L123:L124">
    <cfRule type="expression" dxfId="646" priority="618" stopIfTrue="1">
      <formula>$A123="Tmdpjun"</formula>
    </cfRule>
  </conditionalFormatting>
  <conditionalFormatting sqref="L123:L124">
    <cfRule type="expression" dxfId="645" priority="619" stopIfTrue="1">
      <formula>$A123="Pump"</formula>
    </cfRule>
  </conditionalFormatting>
  <conditionalFormatting sqref="L123:L124">
    <cfRule type="expression" dxfId="644" priority="620" stopIfTrue="1">
      <formula>$A123="Tmdpvol"</formula>
    </cfRule>
  </conditionalFormatting>
  <conditionalFormatting sqref="L123:L124">
    <cfRule type="expression" dxfId="643" priority="621" stopIfTrue="1">
      <formula>$A123="Snglvol"</formula>
    </cfRule>
  </conditionalFormatting>
  <conditionalFormatting sqref="K123:K124">
    <cfRule type="expression" dxfId="642" priority="600" stopIfTrue="1">
      <formula>$A123="Pipe"</formula>
    </cfRule>
  </conditionalFormatting>
  <conditionalFormatting sqref="K123:K124">
    <cfRule type="expression" dxfId="641" priority="601" stopIfTrue="1">
      <formula>$A123="Junction"</formula>
    </cfRule>
  </conditionalFormatting>
  <conditionalFormatting sqref="K123:K124">
    <cfRule type="expression" dxfId="640" priority="602" stopIfTrue="1">
      <formula>$A123="Mtrvlv"</formula>
    </cfRule>
  </conditionalFormatting>
  <conditionalFormatting sqref="K123:K124">
    <cfRule type="expression" dxfId="639" priority="603" stopIfTrue="1">
      <formula>$A123="Srvvlv"</formula>
    </cfRule>
  </conditionalFormatting>
  <conditionalFormatting sqref="K123:K124">
    <cfRule type="expression" dxfId="638" priority="604" stopIfTrue="1">
      <formula>$A123="Inrvlv"</formula>
    </cfRule>
  </conditionalFormatting>
  <conditionalFormatting sqref="K123:K124">
    <cfRule type="expression" dxfId="637" priority="605" stopIfTrue="1">
      <formula>$A123="Tmdpjun"</formula>
    </cfRule>
  </conditionalFormatting>
  <conditionalFormatting sqref="K123:K124">
    <cfRule type="expression" dxfId="636" priority="606" stopIfTrue="1">
      <formula>$A123="Pump"</formula>
    </cfRule>
  </conditionalFormatting>
  <conditionalFormatting sqref="K123:K124">
    <cfRule type="expression" dxfId="635" priority="607" stopIfTrue="1">
      <formula>$A123="Tmdpvol"</formula>
    </cfRule>
  </conditionalFormatting>
  <conditionalFormatting sqref="K123:K124">
    <cfRule type="expression" dxfId="634" priority="608" stopIfTrue="1">
      <formula>$A123="Sngljun"</formula>
    </cfRule>
  </conditionalFormatting>
  <conditionalFormatting sqref="K123:K124">
    <cfRule type="expression" dxfId="633" priority="609" stopIfTrue="1">
      <formula>$A123="Chkvlv"</formula>
    </cfRule>
    <cfRule type="expression" dxfId="632" priority="610" stopIfTrue="1">
      <formula>$A123="Snglvol"</formula>
    </cfRule>
  </conditionalFormatting>
  <conditionalFormatting sqref="E123:E124">
    <cfRule type="expression" dxfId="631" priority="586" stopIfTrue="1">
      <formula>$A123="Pipe"</formula>
    </cfRule>
  </conditionalFormatting>
  <conditionalFormatting sqref="E123:E124">
    <cfRule type="expression" dxfId="630" priority="587" stopIfTrue="1">
      <formula>$A123="Junction"</formula>
    </cfRule>
  </conditionalFormatting>
  <conditionalFormatting sqref="E123:E124">
    <cfRule type="expression" dxfId="629" priority="588" stopIfTrue="1">
      <formula>$A123="Sngljun"</formula>
    </cfRule>
  </conditionalFormatting>
  <conditionalFormatting sqref="E123:E124">
    <cfRule type="expression" dxfId="628" priority="589" stopIfTrue="1">
      <formula>$A123="Mtrvlv"</formula>
    </cfRule>
  </conditionalFormatting>
  <conditionalFormatting sqref="E123:E124">
    <cfRule type="expression" dxfId="627" priority="590" stopIfTrue="1">
      <formula>$A123="Srvvlv"</formula>
    </cfRule>
  </conditionalFormatting>
  <conditionalFormatting sqref="E123:E124">
    <cfRule type="expression" dxfId="626" priority="591" stopIfTrue="1">
      <formula>$A123="Chkvlv"</formula>
    </cfRule>
  </conditionalFormatting>
  <conditionalFormatting sqref="E123:E124">
    <cfRule type="expression" dxfId="625" priority="592" stopIfTrue="1">
      <formula>$A123="Inrvlv"</formula>
    </cfRule>
  </conditionalFormatting>
  <conditionalFormatting sqref="E123:E124">
    <cfRule type="expression" dxfId="624" priority="593" stopIfTrue="1">
      <formula>$A123="Tmdpjun"</formula>
    </cfRule>
  </conditionalFormatting>
  <conditionalFormatting sqref="E123:E124">
    <cfRule type="expression" dxfId="623" priority="594" stopIfTrue="1">
      <formula>$A123="Pump"</formula>
    </cfRule>
  </conditionalFormatting>
  <conditionalFormatting sqref="E123:E124">
    <cfRule type="expression" dxfId="622" priority="595" stopIfTrue="1">
      <formula>$A123="Tmdpvol"</formula>
    </cfRule>
  </conditionalFormatting>
  <conditionalFormatting sqref="E123:E124">
    <cfRule type="expression" dxfId="621" priority="596" stopIfTrue="1">
      <formula>$A123="Snglvol"</formula>
    </cfRule>
  </conditionalFormatting>
  <conditionalFormatting sqref="E123:E124">
    <cfRule type="expression" dxfId="620" priority="597" stopIfTrue="1">
      <formula>$A123="Timestep"</formula>
    </cfRule>
  </conditionalFormatting>
  <conditionalFormatting sqref="E123:E124">
    <cfRule type="expression" dxfId="619" priority="598" stopIfTrue="1">
      <formula>$A123="Tripvar"</formula>
    </cfRule>
  </conditionalFormatting>
  <conditionalFormatting sqref="E123:E124">
    <cfRule type="expression" dxfId="618" priority="599" stopIfTrue="1">
      <formula>$A123="Triplog"</formula>
    </cfRule>
  </conditionalFormatting>
  <conditionalFormatting sqref="L125 A125:J125 U125:V125 Q125">
    <cfRule type="expression" dxfId="617" priority="518" stopIfTrue="1">
      <formula>$A125="Pipe"</formula>
    </cfRule>
  </conditionalFormatting>
  <conditionalFormatting sqref="H125:J125 M125:P125 U125:V125 A125:B125 E125">
    <cfRule type="expression" dxfId="616" priority="519" stopIfTrue="1">
      <formula>$A125="Junction"</formula>
    </cfRule>
  </conditionalFormatting>
  <conditionalFormatting sqref="H125:J125 M125:P125 T125:V125 A125:B125 E125">
    <cfRule type="expression" dxfId="615" priority="520" stopIfTrue="1">
      <formula>$A125="Mtrvlv"</formula>
    </cfRule>
  </conditionalFormatting>
  <conditionalFormatting sqref="H125:J125 M125:P125 T125:V125 B125 E125">
    <cfRule type="expression" dxfId="614" priority="521" stopIfTrue="1">
      <formula>$A125="Srvvlv"</formula>
    </cfRule>
  </conditionalFormatting>
  <conditionalFormatting sqref="V125 T125 N125:P125 A125 H125:J125 E125">
    <cfRule type="expression" dxfId="613" priority="522" stopIfTrue="1">
      <formula>$A125="Chkvlv"</formula>
    </cfRule>
  </conditionalFormatting>
  <conditionalFormatting sqref="H125:J125 M125:P125 T125:V125 A125:B125 E125">
    <cfRule type="expression" dxfId="612" priority="523" stopIfTrue="1">
      <formula>$A125="Inrvlv"</formula>
    </cfRule>
  </conditionalFormatting>
  <conditionalFormatting sqref="H125:J125 M125:P125 T125:V125 B125 E125">
    <cfRule type="expression" dxfId="611" priority="524" stopIfTrue="1">
      <formula>$A125="Tmdpjun"</formula>
    </cfRule>
  </conditionalFormatting>
  <conditionalFormatting sqref="E125:J125 M125:P125 T125:V125 A125:C125">
    <cfRule type="expression" dxfId="610" priority="525" stopIfTrue="1">
      <formula>$A125="Pump"</formula>
    </cfRule>
  </conditionalFormatting>
  <conditionalFormatting sqref="J125 U125:V125 Q125 A125:C125 E125:G125">
    <cfRule type="expression" dxfId="609" priority="526" stopIfTrue="1">
      <formula>$A125="Tmdpvol"</formula>
    </cfRule>
  </conditionalFormatting>
  <conditionalFormatting sqref="V125 J125 A125 E125:G125">
    <cfRule type="expression" dxfId="608" priority="527" stopIfTrue="1">
      <formula>$A125="Snglvol"</formula>
    </cfRule>
  </conditionalFormatting>
  <conditionalFormatting sqref="H125:J125 M125:P125 U125:V125 A125:B125 E125">
    <cfRule type="expression" dxfId="607" priority="528" stopIfTrue="1">
      <formula>$A125="Sngljun"</formula>
    </cfRule>
  </conditionalFormatting>
  <conditionalFormatting sqref="M125:P125 R125:T125">
    <cfRule type="expression" dxfId="606" priority="529" stopIfTrue="1">
      <formula>$A125="Pipe"</formula>
    </cfRule>
  </conditionalFormatting>
  <conditionalFormatting sqref="C125">
    <cfRule type="expression" dxfId="605" priority="530" stopIfTrue="1">
      <formula>$A125="Junction"</formula>
    </cfRule>
    <cfRule type="expression" dxfId="604" priority="556" stopIfTrue="1">
      <formula>$A125="Snglvol"</formula>
    </cfRule>
    <cfRule type="expression" dxfId="603" priority="569" stopIfTrue="1">
      <formula>$A125="InitGas"</formula>
    </cfRule>
    <cfRule type="expression" dxfId="602" priority="581" stopIfTrue="1">
      <formula>$A125="Tripvar"</formula>
    </cfRule>
  </conditionalFormatting>
  <conditionalFormatting sqref="Q125:T125 F125:G125 D125 L125">
    <cfRule type="expression" dxfId="601" priority="531" stopIfTrue="1">
      <formula>$A125="Junction"</formula>
    </cfRule>
  </conditionalFormatting>
  <conditionalFormatting sqref="Q125:T125 F125:G125 C125:D125 L125">
    <cfRule type="expression" dxfId="600" priority="532" stopIfTrue="1">
      <formula>$A125="Sngljun"</formula>
    </cfRule>
  </conditionalFormatting>
  <conditionalFormatting sqref="Q125:S125 F125:G125 C125:D125 L125">
    <cfRule type="expression" dxfId="599" priority="533" stopIfTrue="1">
      <formula>$A125="Mtrvlv"</formula>
    </cfRule>
  </conditionalFormatting>
  <conditionalFormatting sqref="A125">
    <cfRule type="expression" dxfId="598" priority="534" stopIfTrue="1">
      <formula>$A125="Srvvlv"</formula>
    </cfRule>
    <cfRule type="expression" dxfId="597" priority="545" stopIfTrue="1">
      <formula>$A125="Tmdpjun"</formula>
    </cfRule>
  </conditionalFormatting>
  <conditionalFormatting sqref="S125 Q125 F125:G125 C125:D125 L125">
    <cfRule type="expression" dxfId="596" priority="535" stopIfTrue="1">
      <formula>$A125="Srvvlv"</formula>
    </cfRule>
  </conditionalFormatting>
  <conditionalFormatting sqref="R125">
    <cfRule type="expression" dxfId="595" priority="536" stopIfTrue="1">
      <formula>$A125="Srvvlv"</formula>
    </cfRule>
    <cfRule type="expression" dxfId="594" priority="547" stopIfTrue="1">
      <formula>$A125="Tmdpjun"</formula>
    </cfRule>
    <cfRule type="expression" dxfId="593" priority="550" stopIfTrue="1">
      <formula>$A125="Pump"</formula>
    </cfRule>
    <cfRule type="expression" dxfId="592" priority="553" stopIfTrue="1">
      <formula>$A125="Tmdpvol"</formula>
    </cfRule>
    <cfRule type="expression" dxfId="591" priority="560" stopIfTrue="1">
      <formula>$A125="Snglvol"</formula>
    </cfRule>
  </conditionalFormatting>
  <conditionalFormatting sqref="B125">
    <cfRule type="expression" dxfId="590" priority="537" stopIfTrue="1">
      <formula>$A125="Chkvlv"</formula>
    </cfRule>
    <cfRule type="expression" dxfId="589" priority="563" stopIfTrue="1">
      <formula>$A125="Relapnr"</formula>
    </cfRule>
    <cfRule type="expression" dxfId="588" priority="568" stopIfTrue="1">
      <formula>$A125="InitGas"</formula>
    </cfRule>
    <cfRule type="expression" dxfId="587" priority="574" stopIfTrue="1">
      <formula>$A125="Replacements"</formula>
    </cfRule>
    <cfRule type="expression" dxfId="586" priority="578" stopIfTrue="1">
      <formula>$A125="Custom"</formula>
    </cfRule>
    <cfRule type="expression" dxfId="585" priority="583" stopIfTrue="1">
      <formula>$A125="Triplog"</formula>
    </cfRule>
  </conditionalFormatting>
  <conditionalFormatting sqref="C125 Q125:S125 F125:G125 L125">
    <cfRule type="expression" dxfId="584" priority="538" stopIfTrue="1">
      <formula>$A125="Chkvlv"</formula>
    </cfRule>
  </conditionalFormatting>
  <conditionalFormatting sqref="D125">
    <cfRule type="expression" dxfId="583" priority="539" stopIfTrue="1">
      <formula>$A125="Chkvlv"</formula>
    </cfRule>
    <cfRule type="expression" dxfId="582" priority="585" stopIfTrue="1">
      <formula>$A125="Triplog"</formula>
    </cfRule>
  </conditionalFormatting>
  <conditionalFormatting sqref="U125">
    <cfRule type="expression" dxfId="581" priority="540" stopIfTrue="1">
      <formula>$A125="Chkvlv"</formula>
    </cfRule>
    <cfRule type="expression" dxfId="580" priority="558" stopIfTrue="1">
      <formula>$A125="Snglvol"</formula>
    </cfRule>
  </conditionalFormatting>
  <conditionalFormatting sqref="M125">
    <cfRule type="expression" dxfId="579" priority="541" stopIfTrue="1">
      <formula>$A125="Chkvlv"</formula>
    </cfRule>
    <cfRule type="expression" dxfId="578" priority="559" stopIfTrue="1">
      <formula>$A125="Snglvol"</formula>
    </cfRule>
  </conditionalFormatting>
  <conditionalFormatting sqref="C125">
    <cfRule type="expression" dxfId="577" priority="542" stopIfTrue="1">
      <formula>$A125="Inrvlv"</formula>
    </cfRule>
    <cfRule type="expression" dxfId="576" priority="566" stopIfTrue="1">
      <formula>$A125="Init"</formula>
    </cfRule>
    <cfRule type="expression" dxfId="575" priority="572" stopIfTrue="1">
      <formula>$A125="Timestep"</formula>
    </cfRule>
    <cfRule type="expression" dxfId="574" priority="584" stopIfTrue="1">
      <formula>$A125="Triplog"</formula>
    </cfRule>
  </conditionalFormatting>
  <conditionalFormatting sqref="Q125:R125 F125:G125 D125 L125">
    <cfRule type="expression" dxfId="573" priority="543" stopIfTrue="1">
      <formula>$A125="Inrvlv"</formula>
    </cfRule>
  </conditionalFormatting>
  <conditionalFormatting sqref="S125">
    <cfRule type="expression" dxfId="572" priority="544" stopIfTrue="1">
      <formula>$A125="Inrvlv"</formula>
    </cfRule>
    <cfRule type="expression" dxfId="571" priority="548" stopIfTrue="1">
      <formula>$A125="Tmdpjun"</formula>
    </cfRule>
    <cfRule type="expression" dxfId="570" priority="551" stopIfTrue="1">
      <formula>$A125="Pump"</formula>
    </cfRule>
    <cfRule type="expression" dxfId="569" priority="554" stopIfTrue="1">
      <formula>$A125="Tmdpvol"</formula>
    </cfRule>
    <cfRule type="expression" dxfId="568" priority="561" stopIfTrue="1">
      <formula>$A125="Snglvol"</formula>
    </cfRule>
  </conditionalFormatting>
  <conditionalFormatting sqref="Q125 F125:G125 C125:D125 L125">
    <cfRule type="expression" dxfId="567" priority="546" stopIfTrue="1">
      <formula>$A125="Tmdpjun"</formula>
    </cfRule>
  </conditionalFormatting>
  <conditionalFormatting sqref="Q125 D125 L125">
    <cfRule type="expression" dxfId="566" priority="549" stopIfTrue="1">
      <formula>$A125="Pump"</formula>
    </cfRule>
  </conditionalFormatting>
  <conditionalFormatting sqref="T125 H125:I125 D125 L125:P125">
    <cfRule type="expression" dxfId="565" priority="552" stopIfTrue="1">
      <formula>$A125="Tmdpvol"</formula>
    </cfRule>
  </conditionalFormatting>
  <conditionalFormatting sqref="B125">
    <cfRule type="expression" dxfId="564" priority="555" stopIfTrue="1">
      <formula>$A125="Snglvol"</formula>
    </cfRule>
    <cfRule type="expression" dxfId="563" priority="565" stopIfTrue="1">
      <formula>$A125="Init"</formula>
    </cfRule>
    <cfRule type="expression" dxfId="562" priority="571" stopIfTrue="1">
      <formula>$A125="Timestep"</formula>
    </cfRule>
    <cfRule type="expression" dxfId="561" priority="576" stopIfTrue="1">
      <formula>$A125="Triggerwords"</formula>
    </cfRule>
    <cfRule type="expression" dxfId="560" priority="580" stopIfTrue="1">
      <formula>$A125="Tripvar"</formula>
    </cfRule>
  </conditionalFormatting>
  <conditionalFormatting sqref="T125 N125:Q125 H125:I125 D125 L125">
    <cfRule type="expression" dxfId="559" priority="557" stopIfTrue="1">
      <formula>$A125="Snglvol"</formula>
    </cfRule>
  </conditionalFormatting>
  <conditionalFormatting sqref="A125">
    <cfRule type="expression" dxfId="558" priority="562" stopIfTrue="1">
      <formula>$A125="Relapnr"</formula>
    </cfRule>
  </conditionalFormatting>
  <conditionalFormatting sqref="A125">
    <cfRule type="expression" dxfId="557" priority="564" stopIfTrue="1">
      <formula>$A125="Init"</formula>
    </cfRule>
  </conditionalFormatting>
  <conditionalFormatting sqref="A125">
    <cfRule type="expression" dxfId="556" priority="567" stopIfTrue="1">
      <formula>$A125="InitGas"</formula>
    </cfRule>
  </conditionalFormatting>
  <conditionalFormatting sqref="A125 D125:E125">
    <cfRule type="expression" dxfId="555" priority="570" stopIfTrue="1">
      <formula>$A125="Timestep"</formula>
    </cfRule>
  </conditionalFormatting>
  <conditionalFormatting sqref="A125">
    <cfRule type="expression" dxfId="554" priority="573" stopIfTrue="1">
      <formula>$A125="Replacements"</formula>
    </cfRule>
  </conditionalFormatting>
  <conditionalFormatting sqref="A125">
    <cfRule type="expression" dxfId="553" priority="575" stopIfTrue="1">
      <formula>$A125="Triggerwords"</formula>
    </cfRule>
  </conditionalFormatting>
  <conditionalFormatting sqref="A125">
    <cfRule type="expression" dxfId="552" priority="577" stopIfTrue="1">
      <formula>$A125="Custom"</formula>
    </cfRule>
  </conditionalFormatting>
  <conditionalFormatting sqref="A125 D125:I125">
    <cfRule type="expression" dxfId="551" priority="579" stopIfTrue="1">
      <formula>$A125="Tripvar"</formula>
    </cfRule>
  </conditionalFormatting>
  <conditionalFormatting sqref="A125 E125:F125">
    <cfRule type="expression" dxfId="550" priority="582" stopIfTrue="1">
      <formula>$A125="Triplog"</formula>
    </cfRule>
  </conditionalFormatting>
  <conditionalFormatting sqref="K125">
    <cfRule type="expression" dxfId="549" priority="507" stopIfTrue="1">
      <formula>$A125="Pipe"</formula>
    </cfRule>
  </conditionalFormatting>
  <conditionalFormatting sqref="K125">
    <cfRule type="expression" dxfId="548" priority="508" stopIfTrue="1">
      <formula>$A125="Junction"</formula>
    </cfRule>
  </conditionalFormatting>
  <conditionalFormatting sqref="K125">
    <cfRule type="expression" dxfId="547" priority="509" stopIfTrue="1">
      <formula>$A125="Mtrvlv"</formula>
    </cfRule>
  </conditionalFormatting>
  <conditionalFormatting sqref="K125">
    <cfRule type="expression" dxfId="546" priority="510" stopIfTrue="1">
      <formula>$A125="Srvvlv"</formula>
    </cfRule>
  </conditionalFormatting>
  <conditionalFormatting sqref="K125">
    <cfRule type="expression" dxfId="545" priority="511" stopIfTrue="1">
      <formula>$A125="Inrvlv"</formula>
    </cfRule>
  </conditionalFormatting>
  <conditionalFormatting sqref="K125">
    <cfRule type="expression" dxfId="544" priority="512" stopIfTrue="1">
      <formula>$A125="Tmdpjun"</formula>
    </cfRule>
  </conditionalFormatting>
  <conditionalFormatting sqref="K125">
    <cfRule type="expression" dxfId="543" priority="513" stopIfTrue="1">
      <formula>$A125="Pump"</formula>
    </cfRule>
  </conditionalFormatting>
  <conditionalFormatting sqref="K125">
    <cfRule type="expression" dxfId="542" priority="514" stopIfTrue="1">
      <formula>$A125="Tmdpvol"</formula>
    </cfRule>
  </conditionalFormatting>
  <conditionalFormatting sqref="K125">
    <cfRule type="expression" dxfId="541" priority="515" stopIfTrue="1">
      <formula>$A125="Sngljun"</formula>
    </cfRule>
  </conditionalFormatting>
  <conditionalFormatting sqref="K125">
    <cfRule type="expression" dxfId="540" priority="516" stopIfTrue="1">
      <formula>$A125="Chkvlv"</formula>
    </cfRule>
    <cfRule type="expression" dxfId="539" priority="517" stopIfTrue="1">
      <formula>$A125="Snglvol"</formula>
    </cfRule>
  </conditionalFormatting>
  <conditionalFormatting sqref="H261:I261">
    <cfRule type="expression" dxfId="538" priority="495" stopIfTrue="1">
      <formula>$A261="Pipe"</formula>
    </cfRule>
  </conditionalFormatting>
  <conditionalFormatting sqref="H261:I261">
    <cfRule type="expression" dxfId="537" priority="496" stopIfTrue="1">
      <formula>$A261="Junction"</formula>
    </cfRule>
  </conditionalFormatting>
  <conditionalFormatting sqref="H261:I261">
    <cfRule type="expression" dxfId="536" priority="497" stopIfTrue="1">
      <formula>$A261="Mtrvlv"</formula>
    </cfRule>
  </conditionalFormatting>
  <conditionalFormatting sqref="H261:I261">
    <cfRule type="expression" dxfId="535" priority="498" stopIfTrue="1">
      <formula>$A261="Srvvlv"</formula>
    </cfRule>
  </conditionalFormatting>
  <conditionalFormatting sqref="H261:I261">
    <cfRule type="expression" dxfId="534" priority="499" stopIfTrue="1">
      <formula>$A261="Chkvlv"</formula>
    </cfRule>
  </conditionalFormatting>
  <conditionalFormatting sqref="H261:I261">
    <cfRule type="expression" dxfId="533" priority="500" stopIfTrue="1">
      <formula>$A261="Inrvlv"</formula>
    </cfRule>
  </conditionalFormatting>
  <conditionalFormatting sqref="H261:I261">
    <cfRule type="expression" dxfId="532" priority="501" stopIfTrue="1">
      <formula>$A261="Tmdpjun"</formula>
    </cfRule>
  </conditionalFormatting>
  <conditionalFormatting sqref="H261:I261">
    <cfRule type="expression" dxfId="531" priority="502" stopIfTrue="1">
      <formula>$A261="Pump"</formula>
    </cfRule>
  </conditionalFormatting>
  <conditionalFormatting sqref="H261:I261">
    <cfRule type="expression" dxfId="530" priority="503" stopIfTrue="1">
      <formula>$A261="Sngljun"</formula>
    </cfRule>
  </conditionalFormatting>
  <conditionalFormatting sqref="H261:I261">
    <cfRule type="expression" dxfId="529" priority="504" stopIfTrue="1">
      <formula>$A261="Tmdpvol"</formula>
    </cfRule>
  </conditionalFormatting>
  <conditionalFormatting sqref="H261:I261">
    <cfRule type="expression" dxfId="528" priority="505" stopIfTrue="1">
      <formula>$A261="Snglvol"</formula>
    </cfRule>
  </conditionalFormatting>
  <conditionalFormatting sqref="H261:I261">
    <cfRule type="expression" dxfId="527" priority="506" stopIfTrue="1">
      <formula>$A261="Tripvar"</formula>
    </cfRule>
  </conditionalFormatting>
  <conditionalFormatting sqref="H265:I265">
    <cfRule type="expression" dxfId="526" priority="483" stopIfTrue="1">
      <formula>$A265="Pipe"</formula>
    </cfRule>
  </conditionalFormatting>
  <conditionalFormatting sqref="H265:I265">
    <cfRule type="expression" dxfId="525" priority="484" stopIfTrue="1">
      <formula>$A265="Junction"</formula>
    </cfRule>
  </conditionalFormatting>
  <conditionalFormatting sqref="H265:I265">
    <cfRule type="expression" dxfId="524" priority="485" stopIfTrue="1">
      <formula>$A265="Mtrvlv"</formula>
    </cfRule>
  </conditionalFormatting>
  <conditionalFormatting sqref="H265:I265">
    <cfRule type="expression" dxfId="523" priority="486" stopIfTrue="1">
      <formula>$A265="Srvvlv"</formula>
    </cfRule>
  </conditionalFormatting>
  <conditionalFormatting sqref="H265:I265">
    <cfRule type="expression" dxfId="522" priority="487" stopIfTrue="1">
      <formula>$A265="Chkvlv"</formula>
    </cfRule>
  </conditionalFormatting>
  <conditionalFormatting sqref="H265:I265">
    <cfRule type="expression" dxfId="521" priority="488" stopIfTrue="1">
      <formula>$A265="Inrvlv"</formula>
    </cfRule>
  </conditionalFormatting>
  <conditionalFormatting sqref="H265:I265">
    <cfRule type="expression" dxfId="520" priority="489" stopIfTrue="1">
      <formula>$A265="Tmdpjun"</formula>
    </cfRule>
  </conditionalFormatting>
  <conditionalFormatting sqref="H265:I265">
    <cfRule type="expression" dxfId="519" priority="490" stopIfTrue="1">
      <formula>$A265="Pump"</formula>
    </cfRule>
  </conditionalFormatting>
  <conditionalFormatting sqref="H265:I265">
    <cfRule type="expression" dxfId="518" priority="491" stopIfTrue="1">
      <formula>$A265="Sngljun"</formula>
    </cfRule>
  </conditionalFormatting>
  <conditionalFormatting sqref="H265:I265">
    <cfRule type="expression" dxfId="517" priority="492" stopIfTrue="1">
      <formula>$A265="Tmdpvol"</formula>
    </cfRule>
  </conditionalFormatting>
  <conditionalFormatting sqref="H265:I265">
    <cfRule type="expression" dxfId="516" priority="493" stopIfTrue="1">
      <formula>$A265="Snglvol"</formula>
    </cfRule>
  </conditionalFormatting>
  <conditionalFormatting sqref="H265:I265">
    <cfRule type="expression" dxfId="515" priority="494" stopIfTrue="1">
      <formula>$A265="Tripvar"</formula>
    </cfRule>
  </conditionalFormatting>
  <conditionalFormatting sqref="C45">
    <cfRule type="expression" dxfId="514" priority="453" stopIfTrue="1">
      <formula>$A45="Pipe"</formula>
    </cfRule>
  </conditionalFormatting>
  <conditionalFormatting sqref="D45">
    <cfRule type="expression" dxfId="513" priority="454" stopIfTrue="1">
      <formula>$A45="Pipe"</formula>
    </cfRule>
  </conditionalFormatting>
  <conditionalFormatting sqref="C45">
    <cfRule type="expression" dxfId="512" priority="455" stopIfTrue="1">
      <formula>$A45="Junction"</formula>
    </cfRule>
    <cfRule type="expression" dxfId="511" priority="473" stopIfTrue="1">
      <formula>$A45="Snglvol"</formula>
    </cfRule>
    <cfRule type="expression" dxfId="510" priority="476" stopIfTrue="1">
      <formula>$A45="InitGas"</formula>
    </cfRule>
    <cfRule type="expression" dxfId="509" priority="479" stopIfTrue="1">
      <formula>$A45="Tripvar"</formula>
    </cfRule>
  </conditionalFormatting>
  <conditionalFormatting sqref="D45">
    <cfRule type="expression" dxfId="508" priority="456" stopIfTrue="1">
      <formula>$A45="Junction"</formula>
    </cfRule>
  </conditionalFormatting>
  <conditionalFormatting sqref="C45">
    <cfRule type="expression" dxfId="507" priority="457" stopIfTrue="1">
      <formula>$A45="Sngljun"</formula>
    </cfRule>
  </conditionalFormatting>
  <conditionalFormatting sqref="D45">
    <cfRule type="expression" dxfId="506" priority="458" stopIfTrue="1">
      <formula>$A45="Sngljun"</formula>
    </cfRule>
  </conditionalFormatting>
  <conditionalFormatting sqref="C45">
    <cfRule type="expression" dxfId="505" priority="459" stopIfTrue="1">
      <formula>$A45="Mtrvlv"</formula>
    </cfRule>
  </conditionalFormatting>
  <conditionalFormatting sqref="D45">
    <cfRule type="expression" dxfId="504" priority="460" stopIfTrue="1">
      <formula>$A45="Mtrvlv"</formula>
    </cfRule>
  </conditionalFormatting>
  <conditionalFormatting sqref="C45">
    <cfRule type="expression" dxfId="503" priority="461" stopIfTrue="1">
      <formula>$A45="Srvvlv"</formula>
    </cfRule>
  </conditionalFormatting>
  <conditionalFormatting sqref="D45">
    <cfRule type="expression" dxfId="502" priority="462" stopIfTrue="1">
      <formula>$A45="Srvvlv"</formula>
    </cfRule>
  </conditionalFormatting>
  <conditionalFormatting sqref="C45">
    <cfRule type="expression" dxfId="501" priority="463" stopIfTrue="1">
      <formula>$A45="Chkvlv"</formula>
    </cfRule>
  </conditionalFormatting>
  <conditionalFormatting sqref="D45">
    <cfRule type="expression" dxfId="500" priority="464" stopIfTrue="1">
      <formula>$A45="Chkvlv"</formula>
    </cfRule>
    <cfRule type="expression" dxfId="499" priority="482" stopIfTrue="1">
      <formula>$A45="Triplog"</formula>
    </cfRule>
  </conditionalFormatting>
  <conditionalFormatting sqref="C45">
    <cfRule type="expression" dxfId="498" priority="465" stopIfTrue="1">
      <formula>$A45="Inrvlv"</formula>
    </cfRule>
    <cfRule type="expression" dxfId="497" priority="475" stopIfTrue="1">
      <formula>$A45="Init"</formula>
    </cfRule>
    <cfRule type="expression" dxfId="496" priority="477" stopIfTrue="1">
      <formula>$A45="Timestep"</formula>
    </cfRule>
    <cfRule type="expression" dxfId="495" priority="481" stopIfTrue="1">
      <formula>$A45="Triplog"</formula>
    </cfRule>
  </conditionalFormatting>
  <conditionalFormatting sqref="D45">
    <cfRule type="expression" dxfId="494" priority="466" stopIfTrue="1">
      <formula>$A45="Inrvlv"</formula>
    </cfRule>
  </conditionalFormatting>
  <conditionalFormatting sqref="C45">
    <cfRule type="expression" dxfId="493" priority="467" stopIfTrue="1">
      <formula>$A45="Tmdpjun"</formula>
    </cfRule>
  </conditionalFormatting>
  <conditionalFormatting sqref="D45">
    <cfRule type="expression" dxfId="492" priority="468" stopIfTrue="1">
      <formula>$A45="Tmdpjun"</formula>
    </cfRule>
  </conditionalFormatting>
  <conditionalFormatting sqref="C45">
    <cfRule type="expression" dxfId="491" priority="469" stopIfTrue="1">
      <formula>$A45="Pump"</formula>
    </cfRule>
  </conditionalFormatting>
  <conditionalFormatting sqref="D45">
    <cfRule type="expression" dxfId="490" priority="470" stopIfTrue="1">
      <formula>$A45="Pump"</formula>
    </cfRule>
  </conditionalFormatting>
  <conditionalFormatting sqref="C45">
    <cfRule type="expression" dxfId="489" priority="471" stopIfTrue="1">
      <formula>$A45="Tmdpvol"</formula>
    </cfRule>
  </conditionalFormatting>
  <conditionalFormatting sqref="D45">
    <cfRule type="expression" dxfId="488" priority="472" stopIfTrue="1">
      <formula>$A45="Tmdpvol"</formula>
    </cfRule>
  </conditionalFormatting>
  <conditionalFormatting sqref="D45">
    <cfRule type="expression" dxfId="487" priority="474" stopIfTrue="1">
      <formula>$A45="Snglvol"</formula>
    </cfRule>
  </conditionalFormatting>
  <conditionalFormatting sqref="D45">
    <cfRule type="expression" dxfId="486" priority="478" stopIfTrue="1">
      <formula>$A45="Timestep"</formula>
    </cfRule>
  </conditionalFormatting>
  <conditionalFormatting sqref="D45">
    <cfRule type="expression" dxfId="485" priority="480" stopIfTrue="1">
      <formula>$A45="Tripvar"</formula>
    </cfRule>
  </conditionalFormatting>
  <conditionalFormatting sqref="C47:C49">
    <cfRule type="expression" dxfId="484" priority="360" stopIfTrue="1">
      <formula>$A47="Pipe"</formula>
    </cfRule>
  </conditionalFormatting>
  <conditionalFormatting sqref="D47:D49">
    <cfRule type="expression" dxfId="483" priority="361" stopIfTrue="1">
      <formula>$A47="Pipe"</formula>
    </cfRule>
  </conditionalFormatting>
  <conditionalFormatting sqref="E47:E49">
    <cfRule type="expression" dxfId="482" priority="362" stopIfTrue="1">
      <formula>$A47="Pipe"</formula>
    </cfRule>
  </conditionalFormatting>
  <conditionalFormatting sqref="F47:F49">
    <cfRule type="expression" dxfId="481" priority="363" stopIfTrue="1">
      <formula>$A47="Pipe"</formula>
    </cfRule>
  </conditionalFormatting>
  <conditionalFormatting sqref="G47:G49">
    <cfRule type="expression" dxfId="480" priority="364" stopIfTrue="1">
      <formula>$A47="Pipe"</formula>
    </cfRule>
  </conditionalFormatting>
  <conditionalFormatting sqref="H47:H49">
    <cfRule type="expression" dxfId="479" priority="365" stopIfTrue="1">
      <formula>$A47="Pipe"</formula>
    </cfRule>
  </conditionalFormatting>
  <conditionalFormatting sqref="I47:I49">
    <cfRule type="expression" dxfId="478" priority="366" stopIfTrue="1">
      <formula>$A47="Pipe"</formula>
    </cfRule>
  </conditionalFormatting>
  <conditionalFormatting sqref="C47:C49">
    <cfRule type="expression" dxfId="477" priority="367" stopIfTrue="1">
      <formula>$A47="Junction"</formula>
    </cfRule>
    <cfRule type="expression" dxfId="476" priority="430" stopIfTrue="1">
      <formula>$A47="Snglvol"</formula>
    </cfRule>
    <cfRule type="expression" dxfId="475" priority="438" stopIfTrue="1">
      <formula>$A47="InitGas"</formula>
    </cfRule>
    <cfRule type="expression" dxfId="474" priority="442" stopIfTrue="1">
      <formula>$A47="Tripvar"</formula>
    </cfRule>
  </conditionalFormatting>
  <conditionalFormatting sqref="D47:D49">
    <cfRule type="expression" dxfId="473" priority="368" stopIfTrue="1">
      <formula>$A47="Junction"</formula>
    </cfRule>
  </conditionalFormatting>
  <conditionalFormatting sqref="E47:E49">
    <cfRule type="expression" dxfId="472" priority="369" stopIfTrue="1">
      <formula>$A47="Junction"</formula>
    </cfRule>
  </conditionalFormatting>
  <conditionalFormatting sqref="F47:F49">
    <cfRule type="expression" dxfId="471" priority="370" stopIfTrue="1">
      <formula>$A47="Junction"</formula>
    </cfRule>
  </conditionalFormatting>
  <conditionalFormatting sqref="G47:G49">
    <cfRule type="expression" dxfId="470" priority="371" stopIfTrue="1">
      <formula>$A47="Junction"</formula>
    </cfRule>
  </conditionalFormatting>
  <conditionalFormatting sqref="H47:H49">
    <cfRule type="expression" dxfId="469" priority="372" stopIfTrue="1">
      <formula>$A47="Junction"</formula>
    </cfRule>
  </conditionalFormatting>
  <conditionalFormatting sqref="I47:I49">
    <cfRule type="expression" dxfId="468" priority="373" stopIfTrue="1">
      <formula>$A47="Junction"</formula>
    </cfRule>
  </conditionalFormatting>
  <conditionalFormatting sqref="C47:C49">
    <cfRule type="expression" dxfId="467" priority="374" stopIfTrue="1">
      <formula>$A47="Sngljun"</formula>
    </cfRule>
  </conditionalFormatting>
  <conditionalFormatting sqref="D47:D49">
    <cfRule type="expression" dxfId="466" priority="375" stopIfTrue="1">
      <formula>$A47="Sngljun"</formula>
    </cfRule>
  </conditionalFormatting>
  <conditionalFormatting sqref="E47:E49">
    <cfRule type="expression" dxfId="465" priority="376" stopIfTrue="1">
      <formula>$A47="Sngljun"</formula>
    </cfRule>
  </conditionalFormatting>
  <conditionalFormatting sqref="F47:F49">
    <cfRule type="expression" dxfId="464" priority="377" stopIfTrue="1">
      <formula>$A47="Sngljun"</formula>
    </cfRule>
  </conditionalFormatting>
  <conditionalFormatting sqref="G47:G49">
    <cfRule type="expression" dxfId="463" priority="378" stopIfTrue="1">
      <formula>$A47="Sngljun"</formula>
    </cfRule>
  </conditionalFormatting>
  <conditionalFormatting sqref="H47:H49">
    <cfRule type="expression" dxfId="462" priority="379" stopIfTrue="1">
      <formula>$A47="Sngljun"</formula>
    </cfRule>
  </conditionalFormatting>
  <conditionalFormatting sqref="I47:I49">
    <cfRule type="expression" dxfId="461" priority="380" stopIfTrue="1">
      <formula>$A47="Sngljun"</formula>
    </cfRule>
  </conditionalFormatting>
  <conditionalFormatting sqref="C47:C49">
    <cfRule type="expression" dxfId="460" priority="381" stopIfTrue="1">
      <formula>$A47="Mtrvlv"</formula>
    </cfRule>
  </conditionalFormatting>
  <conditionalFormatting sqref="D47:D49">
    <cfRule type="expression" dxfId="459" priority="382" stopIfTrue="1">
      <formula>$A47="Mtrvlv"</formula>
    </cfRule>
  </conditionalFormatting>
  <conditionalFormatting sqref="E47:E49">
    <cfRule type="expression" dxfId="458" priority="383" stopIfTrue="1">
      <formula>$A47="Mtrvlv"</formula>
    </cfRule>
  </conditionalFormatting>
  <conditionalFormatting sqref="F47:F49">
    <cfRule type="expression" dxfId="457" priority="384" stopIfTrue="1">
      <formula>$A47="Mtrvlv"</formula>
    </cfRule>
  </conditionalFormatting>
  <conditionalFormatting sqref="G47:G49">
    <cfRule type="expression" dxfId="456" priority="385" stopIfTrue="1">
      <formula>$A47="Mtrvlv"</formula>
    </cfRule>
  </conditionalFormatting>
  <conditionalFormatting sqref="H47:H49">
    <cfRule type="expression" dxfId="455" priority="386" stopIfTrue="1">
      <formula>$A47="Mtrvlv"</formula>
    </cfRule>
  </conditionalFormatting>
  <conditionalFormatting sqref="I47:I49">
    <cfRule type="expression" dxfId="454" priority="387" stopIfTrue="1">
      <formula>$A47="Mtrvlv"</formula>
    </cfRule>
  </conditionalFormatting>
  <conditionalFormatting sqref="C47:C49">
    <cfRule type="expression" dxfId="453" priority="388" stopIfTrue="1">
      <formula>$A47="Srvvlv"</formula>
    </cfRule>
  </conditionalFormatting>
  <conditionalFormatting sqref="D47:D49">
    <cfRule type="expression" dxfId="452" priority="389" stopIfTrue="1">
      <formula>$A47="Srvvlv"</formula>
    </cfRule>
  </conditionalFormatting>
  <conditionalFormatting sqref="E47:E49">
    <cfRule type="expression" dxfId="451" priority="390" stopIfTrue="1">
      <formula>$A47="Srvvlv"</formula>
    </cfRule>
  </conditionalFormatting>
  <conditionalFormatting sqref="F47:F49">
    <cfRule type="expression" dxfId="450" priority="391" stopIfTrue="1">
      <formula>$A47="Srvvlv"</formula>
    </cfRule>
  </conditionalFormatting>
  <conditionalFormatting sqref="G47:G49">
    <cfRule type="expression" dxfId="449" priority="392" stopIfTrue="1">
      <formula>$A47="Srvvlv"</formula>
    </cfRule>
  </conditionalFormatting>
  <conditionalFormatting sqref="H47:H49">
    <cfRule type="expression" dxfId="448" priority="393" stopIfTrue="1">
      <formula>$A47="Srvvlv"</formula>
    </cfRule>
  </conditionalFormatting>
  <conditionalFormatting sqref="I47:I49">
    <cfRule type="expression" dxfId="447" priority="394" stopIfTrue="1">
      <formula>$A47="Srvvlv"</formula>
    </cfRule>
  </conditionalFormatting>
  <conditionalFormatting sqref="C47:C49">
    <cfRule type="expression" dxfId="446" priority="395" stopIfTrue="1">
      <formula>$A47="Chkvlv"</formula>
    </cfRule>
  </conditionalFormatting>
  <conditionalFormatting sqref="D47:D49">
    <cfRule type="expression" dxfId="445" priority="396" stopIfTrue="1">
      <formula>$A47="Chkvlv"</formula>
    </cfRule>
    <cfRule type="expression" dxfId="444" priority="450" stopIfTrue="1">
      <formula>$A47="Triplog"</formula>
    </cfRule>
  </conditionalFormatting>
  <conditionalFormatting sqref="E47:E49">
    <cfRule type="expression" dxfId="443" priority="397" stopIfTrue="1">
      <formula>$A47="Chkvlv"</formula>
    </cfRule>
  </conditionalFormatting>
  <conditionalFormatting sqref="F47:F49">
    <cfRule type="expression" dxfId="442" priority="398" stopIfTrue="1">
      <formula>$A47="Chkvlv"</formula>
    </cfRule>
  </conditionalFormatting>
  <conditionalFormatting sqref="G47:G49">
    <cfRule type="expression" dxfId="441" priority="399" stopIfTrue="1">
      <formula>$A47="Chkvlv"</formula>
    </cfRule>
  </conditionalFormatting>
  <conditionalFormatting sqref="H47:H49">
    <cfRule type="expression" dxfId="440" priority="400" stopIfTrue="1">
      <formula>$A47="Chkvlv"</formula>
    </cfRule>
  </conditionalFormatting>
  <conditionalFormatting sqref="I47:I49">
    <cfRule type="expression" dxfId="439" priority="401" stopIfTrue="1">
      <formula>$A47="Chkvlv"</formula>
    </cfRule>
  </conditionalFormatting>
  <conditionalFormatting sqref="C47:C49">
    <cfRule type="expression" dxfId="438" priority="402" stopIfTrue="1">
      <formula>$A47="Inrvlv"</formula>
    </cfRule>
    <cfRule type="expression" dxfId="437" priority="437" stopIfTrue="1">
      <formula>$A47="Init"</formula>
    </cfRule>
    <cfRule type="expression" dxfId="436" priority="439" stopIfTrue="1">
      <formula>$A47="Timestep"</formula>
    </cfRule>
    <cfRule type="expression" dxfId="435" priority="449" stopIfTrue="1">
      <formula>$A47="Triplog"</formula>
    </cfRule>
  </conditionalFormatting>
  <conditionalFormatting sqref="D47:D49">
    <cfRule type="expression" dxfId="434" priority="403" stopIfTrue="1">
      <formula>$A47="Inrvlv"</formula>
    </cfRule>
  </conditionalFormatting>
  <conditionalFormatting sqref="E47:E49">
    <cfRule type="expression" dxfId="433" priority="404" stopIfTrue="1">
      <formula>$A47="Inrvlv"</formula>
    </cfRule>
  </conditionalFormatting>
  <conditionalFormatting sqref="F47:F49">
    <cfRule type="expression" dxfId="432" priority="405" stopIfTrue="1">
      <formula>$A47="Inrvlv"</formula>
    </cfRule>
  </conditionalFormatting>
  <conditionalFormatting sqref="G47:G49">
    <cfRule type="expression" dxfId="431" priority="406" stopIfTrue="1">
      <formula>$A47="Inrvlv"</formula>
    </cfRule>
  </conditionalFormatting>
  <conditionalFormatting sqref="H47:H49">
    <cfRule type="expression" dxfId="430" priority="407" stopIfTrue="1">
      <formula>$A47="Inrvlv"</formula>
    </cfRule>
  </conditionalFormatting>
  <conditionalFormatting sqref="I47:I49">
    <cfRule type="expression" dxfId="429" priority="408" stopIfTrue="1">
      <formula>$A47="Inrvlv"</formula>
    </cfRule>
  </conditionalFormatting>
  <conditionalFormatting sqref="C47:C49">
    <cfRule type="expression" dxfId="428" priority="409" stopIfTrue="1">
      <formula>$A47="Tmdpjun"</formula>
    </cfRule>
  </conditionalFormatting>
  <conditionalFormatting sqref="D47:D49">
    <cfRule type="expression" dxfId="427" priority="410" stopIfTrue="1">
      <formula>$A47="Tmdpjun"</formula>
    </cfRule>
  </conditionalFormatting>
  <conditionalFormatting sqref="E47:E49">
    <cfRule type="expression" dxfId="426" priority="411" stopIfTrue="1">
      <formula>$A47="Tmdpjun"</formula>
    </cfRule>
  </conditionalFormatting>
  <conditionalFormatting sqref="F47:F49">
    <cfRule type="expression" dxfId="425" priority="412" stopIfTrue="1">
      <formula>$A47="Tmdpjun"</formula>
    </cfRule>
  </conditionalFormatting>
  <conditionalFormatting sqref="G47:G49">
    <cfRule type="expression" dxfId="424" priority="413" stopIfTrue="1">
      <formula>$A47="Tmdpjun"</formula>
    </cfRule>
  </conditionalFormatting>
  <conditionalFormatting sqref="H47:H49">
    <cfRule type="expression" dxfId="423" priority="414" stopIfTrue="1">
      <formula>$A47="Tmdpjun"</formula>
    </cfRule>
  </conditionalFormatting>
  <conditionalFormatting sqref="I47:I49">
    <cfRule type="expression" dxfId="422" priority="415" stopIfTrue="1">
      <formula>$A47="Tmdpjun"</formula>
    </cfRule>
  </conditionalFormatting>
  <conditionalFormatting sqref="C47:C49">
    <cfRule type="expression" dxfId="421" priority="416" stopIfTrue="1">
      <formula>$A47="Pump"</formula>
    </cfRule>
  </conditionalFormatting>
  <conditionalFormatting sqref="D47:D49">
    <cfRule type="expression" dxfId="420" priority="417" stopIfTrue="1">
      <formula>$A47="Pump"</formula>
    </cfRule>
  </conditionalFormatting>
  <conditionalFormatting sqref="E47:E49">
    <cfRule type="expression" dxfId="419" priority="418" stopIfTrue="1">
      <formula>$A47="Pump"</formula>
    </cfRule>
  </conditionalFormatting>
  <conditionalFormatting sqref="F47:F49">
    <cfRule type="expression" dxfId="418" priority="419" stopIfTrue="1">
      <formula>$A47="Pump"</formula>
    </cfRule>
  </conditionalFormatting>
  <conditionalFormatting sqref="G47:G49">
    <cfRule type="expression" dxfId="417" priority="420" stopIfTrue="1">
      <formula>$A47="Pump"</formula>
    </cfRule>
  </conditionalFormatting>
  <conditionalFormatting sqref="H47:H49">
    <cfRule type="expression" dxfId="416" priority="421" stopIfTrue="1">
      <formula>$A47="Pump"</formula>
    </cfRule>
  </conditionalFormatting>
  <conditionalFormatting sqref="I47:I49">
    <cfRule type="expression" dxfId="415" priority="422" stopIfTrue="1">
      <formula>$A47="Pump"</formula>
    </cfRule>
  </conditionalFormatting>
  <conditionalFormatting sqref="C47:C49">
    <cfRule type="expression" dxfId="414" priority="423" stopIfTrue="1">
      <formula>$A47="Tmdpvol"</formula>
    </cfRule>
  </conditionalFormatting>
  <conditionalFormatting sqref="D47:D49">
    <cfRule type="expression" dxfId="413" priority="424" stopIfTrue="1">
      <formula>$A47="Tmdpvol"</formula>
    </cfRule>
  </conditionalFormatting>
  <conditionalFormatting sqref="E47:E49">
    <cfRule type="expression" dxfId="412" priority="425" stopIfTrue="1">
      <formula>$A47="Tmdpvol"</formula>
    </cfRule>
  </conditionalFormatting>
  <conditionalFormatting sqref="F47:F49">
    <cfRule type="expression" dxfId="411" priority="426" stopIfTrue="1">
      <formula>$A47="Tmdpvol"</formula>
    </cfRule>
  </conditionalFormatting>
  <conditionalFormatting sqref="G47:G49">
    <cfRule type="expression" dxfId="410" priority="427" stopIfTrue="1">
      <formula>$A47="Tmdpvol"</formula>
    </cfRule>
  </conditionalFormatting>
  <conditionalFormatting sqref="H47:H49">
    <cfRule type="expression" dxfId="409" priority="428" stopIfTrue="1">
      <formula>$A47="Tmdpvol"</formula>
    </cfRule>
  </conditionalFormatting>
  <conditionalFormatting sqref="I47:I49">
    <cfRule type="expression" dxfId="408" priority="429" stopIfTrue="1">
      <formula>$A47="Tmdpvol"</formula>
    </cfRule>
  </conditionalFormatting>
  <conditionalFormatting sqref="D47:D49">
    <cfRule type="expression" dxfId="407" priority="431" stopIfTrue="1">
      <formula>$A47="Snglvol"</formula>
    </cfRule>
  </conditionalFormatting>
  <conditionalFormatting sqref="E47:E49">
    <cfRule type="expression" dxfId="406" priority="432" stopIfTrue="1">
      <formula>$A47="Snglvol"</formula>
    </cfRule>
  </conditionalFormatting>
  <conditionalFormatting sqref="F47:F49">
    <cfRule type="expression" dxfId="405" priority="433" stopIfTrue="1">
      <formula>$A47="Snglvol"</formula>
    </cfRule>
  </conditionalFormatting>
  <conditionalFormatting sqref="G47:G49">
    <cfRule type="expression" dxfId="404" priority="434" stopIfTrue="1">
      <formula>$A47="Snglvol"</formula>
    </cfRule>
  </conditionalFormatting>
  <conditionalFormatting sqref="H47:H49">
    <cfRule type="expression" dxfId="403" priority="435" stopIfTrue="1">
      <formula>$A47="Snglvol"</formula>
    </cfRule>
  </conditionalFormatting>
  <conditionalFormatting sqref="I47:I49">
    <cfRule type="expression" dxfId="402" priority="436" stopIfTrue="1">
      <formula>$A47="Snglvol"</formula>
    </cfRule>
  </conditionalFormatting>
  <conditionalFormatting sqref="D47:D49">
    <cfRule type="expression" dxfId="401" priority="440" stopIfTrue="1">
      <formula>$A47="Timestep"</formula>
    </cfRule>
  </conditionalFormatting>
  <conditionalFormatting sqref="E47:E49">
    <cfRule type="expression" dxfId="400" priority="441" stopIfTrue="1">
      <formula>$A47="Timestep"</formula>
    </cfRule>
  </conditionalFormatting>
  <conditionalFormatting sqref="D47:D49">
    <cfRule type="expression" dxfId="399" priority="443" stopIfTrue="1">
      <formula>$A47="Tripvar"</formula>
    </cfRule>
  </conditionalFormatting>
  <conditionalFormatting sqref="E47:E49">
    <cfRule type="expression" dxfId="398" priority="444" stopIfTrue="1">
      <formula>$A47="Tripvar"</formula>
    </cfRule>
  </conditionalFormatting>
  <conditionalFormatting sqref="F47:F49">
    <cfRule type="expression" dxfId="397" priority="445" stopIfTrue="1">
      <formula>$A47="Tripvar"</formula>
    </cfRule>
  </conditionalFormatting>
  <conditionalFormatting sqref="G47:G49">
    <cfRule type="expression" dxfId="396" priority="446" stopIfTrue="1">
      <formula>$A47="Tripvar"</formula>
    </cfRule>
  </conditionalFormatting>
  <conditionalFormatting sqref="H47:H49">
    <cfRule type="expression" dxfId="395" priority="447" stopIfTrue="1">
      <formula>$A47="Tripvar"</formula>
    </cfRule>
  </conditionalFormatting>
  <conditionalFormatting sqref="I47:I49">
    <cfRule type="expression" dxfId="394" priority="448" stopIfTrue="1">
      <formula>$A47="Tripvar"</formula>
    </cfRule>
  </conditionalFormatting>
  <conditionalFormatting sqref="E47:E49">
    <cfRule type="expression" dxfId="393" priority="451" stopIfTrue="1">
      <formula>$A47="Triplog"</formula>
    </cfRule>
  </conditionalFormatting>
  <conditionalFormatting sqref="F47:F49">
    <cfRule type="expression" dxfId="392" priority="452" stopIfTrue="1">
      <formula>$A47="Triplog"</formula>
    </cfRule>
  </conditionalFormatting>
  <conditionalFormatting sqref="A47:A49">
    <cfRule type="expression" dxfId="391" priority="320" stopIfTrue="1">
      <formula>$A47="Pipe"</formula>
    </cfRule>
  </conditionalFormatting>
  <conditionalFormatting sqref="B47:B49">
    <cfRule type="expression" dxfId="390" priority="321" stopIfTrue="1">
      <formula>$A47="Pipe"</formula>
    </cfRule>
  </conditionalFormatting>
  <conditionalFormatting sqref="A47:A49">
    <cfRule type="expression" dxfId="389" priority="322" stopIfTrue="1">
      <formula>$A47="Junction"</formula>
    </cfRule>
  </conditionalFormatting>
  <conditionalFormatting sqref="B47:B49">
    <cfRule type="expression" dxfId="388" priority="323" stopIfTrue="1">
      <formula>$A47="Junction"</formula>
    </cfRule>
  </conditionalFormatting>
  <conditionalFormatting sqref="A47:A49">
    <cfRule type="expression" dxfId="387" priority="324" stopIfTrue="1">
      <formula>$A47="Sngljun"</formula>
    </cfRule>
  </conditionalFormatting>
  <conditionalFormatting sqref="B47:B49">
    <cfRule type="expression" dxfId="386" priority="325" stopIfTrue="1">
      <formula>$A47="Sngljun"</formula>
    </cfRule>
  </conditionalFormatting>
  <conditionalFormatting sqref="A47:A49">
    <cfRule type="expression" dxfId="385" priority="326" stopIfTrue="1">
      <formula>$A47="Mtrvlv"</formula>
    </cfRule>
  </conditionalFormatting>
  <conditionalFormatting sqref="B47:B49">
    <cfRule type="expression" dxfId="384" priority="327" stopIfTrue="1">
      <formula>$A47="Mtrvlv"</formula>
    </cfRule>
  </conditionalFormatting>
  <conditionalFormatting sqref="A47:A49">
    <cfRule type="expression" dxfId="383" priority="328" stopIfTrue="1">
      <formula>$A47="Srvvlv"</formula>
    </cfRule>
    <cfRule type="expression" dxfId="382" priority="334" stopIfTrue="1">
      <formula>$A47="Tmdpjun"</formula>
    </cfRule>
  </conditionalFormatting>
  <conditionalFormatting sqref="B47:B49">
    <cfRule type="expression" dxfId="381" priority="329" stopIfTrue="1">
      <formula>$A47="Srvvlv"</formula>
    </cfRule>
  </conditionalFormatting>
  <conditionalFormatting sqref="A47:A49">
    <cfRule type="expression" dxfId="380" priority="330" stopIfTrue="1">
      <formula>$A47="Chkvlv"</formula>
    </cfRule>
  </conditionalFormatting>
  <conditionalFormatting sqref="B47:B49">
    <cfRule type="expression" dxfId="379" priority="331" stopIfTrue="1">
      <formula>$A47="Chkvlv"</formula>
    </cfRule>
    <cfRule type="expression" dxfId="378" priority="343" stopIfTrue="1">
      <formula>$A47="Relapnr"</formula>
    </cfRule>
    <cfRule type="expression" dxfId="377" priority="347" stopIfTrue="1">
      <formula>$A47="InitGas"</formula>
    </cfRule>
    <cfRule type="expression" dxfId="376" priority="351" stopIfTrue="1">
      <formula>$A47="Replacements"</formula>
    </cfRule>
    <cfRule type="expression" dxfId="375" priority="355" stopIfTrue="1">
      <formula>$A47="Custom"</formula>
    </cfRule>
    <cfRule type="expression" dxfId="374" priority="359" stopIfTrue="1">
      <formula>$A47="Triplog"</formula>
    </cfRule>
  </conditionalFormatting>
  <conditionalFormatting sqref="A47:A49">
    <cfRule type="expression" dxfId="373" priority="332" stopIfTrue="1">
      <formula>$A47="Inrvlv"</formula>
    </cfRule>
  </conditionalFormatting>
  <conditionalFormatting sqref="B47:B49">
    <cfRule type="expression" dxfId="372" priority="333" stopIfTrue="1">
      <formula>$A47="Inrvlv"</formula>
    </cfRule>
  </conditionalFormatting>
  <conditionalFormatting sqref="B47:B49">
    <cfRule type="expression" dxfId="371" priority="335" stopIfTrue="1">
      <formula>$A47="Tmdpjun"</formula>
    </cfRule>
  </conditionalFormatting>
  <conditionalFormatting sqref="A47:A49">
    <cfRule type="expression" dxfId="370" priority="336" stopIfTrue="1">
      <formula>$A47="Pump"</formula>
    </cfRule>
  </conditionalFormatting>
  <conditionalFormatting sqref="B47:B49">
    <cfRule type="expression" dxfId="369" priority="337" stopIfTrue="1">
      <formula>$A47="Pump"</formula>
    </cfRule>
  </conditionalFormatting>
  <conditionalFormatting sqref="A47:A49">
    <cfRule type="expression" dxfId="368" priority="338" stopIfTrue="1">
      <formula>$A47="Tmdpvol"</formula>
    </cfRule>
  </conditionalFormatting>
  <conditionalFormatting sqref="B47:B49">
    <cfRule type="expression" dxfId="367" priority="339" stopIfTrue="1">
      <formula>$A47="Tmdpvol"</formula>
    </cfRule>
  </conditionalFormatting>
  <conditionalFormatting sqref="A47:A49">
    <cfRule type="expression" dxfId="366" priority="340" stopIfTrue="1">
      <formula>$A47="Snglvol"</formula>
    </cfRule>
  </conditionalFormatting>
  <conditionalFormatting sqref="B47:B49">
    <cfRule type="expression" dxfId="365" priority="341" stopIfTrue="1">
      <formula>$A47="Snglvol"</formula>
    </cfRule>
    <cfRule type="expression" dxfId="364" priority="345" stopIfTrue="1">
      <formula>$A47="Init"</formula>
    </cfRule>
    <cfRule type="expression" dxfId="363" priority="349" stopIfTrue="1">
      <formula>$A47="Timestep"</formula>
    </cfRule>
    <cfRule type="expression" dxfId="362" priority="353" stopIfTrue="1">
      <formula>$A47="Triggerwords"</formula>
    </cfRule>
    <cfRule type="expression" dxfId="361" priority="357" stopIfTrue="1">
      <formula>$A47="Tripvar"</formula>
    </cfRule>
  </conditionalFormatting>
  <conditionalFormatting sqref="A47:A49">
    <cfRule type="expression" dxfId="360" priority="342" stopIfTrue="1">
      <formula>$A47="Relapnr"</formula>
    </cfRule>
  </conditionalFormatting>
  <conditionalFormatting sqref="A47:A49">
    <cfRule type="expression" dxfId="359" priority="344" stopIfTrue="1">
      <formula>$A47="Init"</formula>
    </cfRule>
  </conditionalFormatting>
  <conditionalFormatting sqref="A47:A49">
    <cfRule type="expression" dxfId="358" priority="346" stopIfTrue="1">
      <formula>$A47="InitGas"</formula>
    </cfRule>
  </conditionalFormatting>
  <conditionalFormatting sqref="A47:A49">
    <cfRule type="expression" dxfId="357" priority="348" stopIfTrue="1">
      <formula>$A47="Timestep"</formula>
    </cfRule>
  </conditionalFormatting>
  <conditionalFormatting sqref="A47:A49">
    <cfRule type="expression" dxfId="356" priority="350" stopIfTrue="1">
      <formula>$A47="Replacements"</formula>
    </cfRule>
  </conditionalFormatting>
  <conditionalFormatting sqref="A47:A49">
    <cfRule type="expression" dxfId="355" priority="352" stopIfTrue="1">
      <formula>$A47="Triggerwords"</formula>
    </cfRule>
  </conditionalFormatting>
  <conditionalFormatting sqref="A47:A49">
    <cfRule type="expression" dxfId="354" priority="354" stopIfTrue="1">
      <formula>$A47="Custom"</formula>
    </cfRule>
  </conditionalFormatting>
  <conditionalFormatting sqref="A47:A49">
    <cfRule type="expression" dxfId="353" priority="356" stopIfTrue="1">
      <formula>$A47="Tripvar"</formula>
    </cfRule>
  </conditionalFormatting>
  <conditionalFormatting sqref="A47:A49">
    <cfRule type="expression" dxfId="352" priority="358" stopIfTrue="1">
      <formula>$A47="Triplog"</formula>
    </cfRule>
  </conditionalFormatting>
  <conditionalFormatting sqref="U292:V302 Q292:Q302 A292:D302 F292:L302">
    <cfRule type="expression" dxfId="351" priority="238" stopIfTrue="1">
      <formula>$A292="Pipe"</formula>
    </cfRule>
  </conditionalFormatting>
  <conditionalFormatting sqref="M292:P302 U292:V302 A292:B302 H292:K302">
    <cfRule type="expression" dxfId="350" priority="239" stopIfTrue="1">
      <formula>$A292="Junction"</formula>
    </cfRule>
  </conditionalFormatting>
  <conditionalFormatting sqref="M292:P302 T292:V302 A292:B302 H292:K302">
    <cfRule type="expression" dxfId="349" priority="240" stopIfTrue="1">
      <formula>$A292="Mtrvlv"</formula>
    </cfRule>
  </conditionalFormatting>
  <conditionalFormatting sqref="M292:P302 T292:V302 B292:B302 H292:K302">
    <cfRule type="expression" dxfId="348" priority="241" stopIfTrue="1">
      <formula>$A292="Srvvlv"</formula>
    </cfRule>
  </conditionalFormatting>
  <conditionalFormatting sqref="V292:V302 T292:T302 N292:P302 A292:A302 H292:J302">
    <cfRule type="expression" dxfId="347" priority="242" stopIfTrue="1">
      <formula>$A292="Chkvlv"</formula>
    </cfRule>
  </conditionalFormatting>
  <conditionalFormatting sqref="M292:P302 T292:V302 A292:B302 H292:K302">
    <cfRule type="expression" dxfId="346" priority="243" stopIfTrue="1">
      <formula>$A292="Inrvlv"</formula>
    </cfRule>
  </conditionalFormatting>
  <conditionalFormatting sqref="M292:P302 T292:V302 B292:B302 H292:K302">
    <cfRule type="expression" dxfId="345" priority="244" stopIfTrue="1">
      <formula>$A292="Tmdpjun"</formula>
    </cfRule>
  </conditionalFormatting>
  <conditionalFormatting sqref="M292:P302 T292:V302 A292:C302 F292:K302">
    <cfRule type="expression" dxfId="344" priority="245" stopIfTrue="1">
      <formula>$A292="Pump"</formula>
    </cfRule>
  </conditionalFormatting>
  <conditionalFormatting sqref="U292:V302 Q292:Q302 J292:K302 F292:G302 A292:C302">
    <cfRule type="expression" dxfId="343" priority="246" stopIfTrue="1">
      <formula>$A292="Tmdpvol"</formula>
    </cfRule>
  </conditionalFormatting>
  <conditionalFormatting sqref="V292:V302 J292:J302 F292:G302 A292:A302">
    <cfRule type="expression" dxfId="342" priority="247" stopIfTrue="1">
      <formula>$A292="Snglvol"</formula>
    </cfRule>
  </conditionalFormatting>
  <conditionalFormatting sqref="M292:P302 U292:V302 A292:B302 H292:K302">
    <cfRule type="expression" dxfId="341" priority="248" stopIfTrue="1">
      <formula>$A292="Sngljun"</formula>
    </cfRule>
  </conditionalFormatting>
  <conditionalFormatting sqref="E292:E302">
    <cfRule type="expression" dxfId="340" priority="249" stopIfTrue="1">
      <formula>$A292="Pipe"</formula>
    </cfRule>
  </conditionalFormatting>
  <conditionalFormatting sqref="M292:P302 R292:T302">
    <cfRule type="expression" dxfId="339" priority="250" stopIfTrue="1">
      <formula>$A292="Pipe"</formula>
    </cfRule>
  </conditionalFormatting>
  <conditionalFormatting sqref="C292:C302">
    <cfRule type="expression" dxfId="338" priority="251" stopIfTrue="1">
      <formula>$A292="Junction"</formula>
    </cfRule>
    <cfRule type="expression" dxfId="337" priority="286" stopIfTrue="1">
      <formula>$A292="Snglvol"</formula>
    </cfRule>
    <cfRule type="expression" dxfId="336" priority="300" stopIfTrue="1">
      <formula>$A292="InitGas"</formula>
    </cfRule>
    <cfRule type="expression" dxfId="335" priority="313" stopIfTrue="1">
      <formula>$A292="Tripvar"</formula>
    </cfRule>
  </conditionalFormatting>
  <conditionalFormatting sqref="Q292:T302 L292:L302 F292:G302 D292:D302">
    <cfRule type="expression" dxfId="334" priority="252" stopIfTrue="1">
      <formula>$A292="Junction"</formula>
    </cfRule>
  </conditionalFormatting>
  <conditionalFormatting sqref="E292:E302">
    <cfRule type="expression" dxfId="333" priority="253" stopIfTrue="1">
      <formula>$A292="Junction"</formula>
    </cfRule>
  </conditionalFormatting>
  <conditionalFormatting sqref="Q292:T302 L292:L302 F292:G302 C292:D302">
    <cfRule type="expression" dxfId="332" priority="254" stopIfTrue="1">
      <formula>$A292="Sngljun"</formula>
    </cfRule>
  </conditionalFormatting>
  <conditionalFormatting sqref="E292:E302">
    <cfRule type="expression" dxfId="331" priority="255" stopIfTrue="1">
      <formula>$A292="Sngljun"</formula>
    </cfRule>
  </conditionalFormatting>
  <conditionalFormatting sqref="Q292:S302 L292:L302 F292:G302 C292:D302">
    <cfRule type="expression" dxfId="330" priority="256" stopIfTrue="1">
      <formula>$A292="Mtrvlv"</formula>
    </cfRule>
  </conditionalFormatting>
  <conditionalFormatting sqref="E292:E302">
    <cfRule type="expression" dxfId="329" priority="257" stopIfTrue="1">
      <formula>$A292="Mtrvlv"</formula>
    </cfRule>
  </conditionalFormatting>
  <conditionalFormatting sqref="A292:A302">
    <cfRule type="expression" dxfId="328" priority="258" stopIfTrue="1">
      <formula>$A292="Srvvlv"</formula>
    </cfRule>
    <cfRule type="expression" dxfId="327" priority="272" stopIfTrue="1">
      <formula>$A292="Tmdpjun"</formula>
    </cfRule>
  </conditionalFormatting>
  <conditionalFormatting sqref="S292:S302 Q292:Q302 L292:L302 F292:G302 C292:D302">
    <cfRule type="expression" dxfId="326" priority="259" stopIfTrue="1">
      <formula>$A292="Srvvlv"</formula>
    </cfRule>
  </conditionalFormatting>
  <conditionalFormatting sqref="E292:E302">
    <cfRule type="expression" dxfId="325" priority="260" stopIfTrue="1">
      <formula>$A292="Srvvlv"</formula>
    </cfRule>
  </conditionalFormatting>
  <conditionalFormatting sqref="R292:R302">
    <cfRule type="expression" dxfId="324" priority="261" stopIfTrue="1">
      <formula>$A292="Srvvlv"</formula>
    </cfRule>
    <cfRule type="expression" dxfId="323" priority="275" stopIfTrue="1">
      <formula>$A292="Tmdpjun"</formula>
    </cfRule>
    <cfRule type="expression" dxfId="322" priority="279" stopIfTrue="1">
      <formula>$A292="Pump"</formula>
    </cfRule>
    <cfRule type="expression" dxfId="321" priority="283" stopIfTrue="1">
      <formula>$A292="Tmdpvol"</formula>
    </cfRule>
    <cfRule type="expression" dxfId="320" priority="291" stopIfTrue="1">
      <formula>$A292="Snglvol"</formula>
    </cfRule>
  </conditionalFormatting>
  <conditionalFormatting sqref="B292:B302">
    <cfRule type="expression" dxfId="319" priority="262" stopIfTrue="1">
      <formula>$A292="Chkvlv"</formula>
    </cfRule>
    <cfRule type="expression" dxfId="318" priority="294" stopIfTrue="1">
      <formula>$A292="Relapnr"</formula>
    </cfRule>
    <cfRule type="expression" dxfId="317" priority="299" stopIfTrue="1">
      <formula>$A292="InitGas"</formula>
    </cfRule>
    <cfRule type="expression" dxfId="316" priority="306" stopIfTrue="1">
      <formula>$A292="Replacements"</formula>
    </cfRule>
    <cfRule type="expression" dxfId="315" priority="310" stopIfTrue="1">
      <formula>$A292="Custom"</formula>
    </cfRule>
    <cfRule type="expression" dxfId="314" priority="316" stopIfTrue="1">
      <formula>$A292="Triplog"</formula>
    </cfRule>
  </conditionalFormatting>
  <conditionalFormatting sqref="C292:C302 Q292:S302 L292:L302 F292:G302">
    <cfRule type="expression" dxfId="313" priority="263" stopIfTrue="1">
      <formula>$A292="Chkvlv"</formula>
    </cfRule>
  </conditionalFormatting>
  <conditionalFormatting sqref="D292:D302">
    <cfRule type="expression" dxfId="312" priority="264" stopIfTrue="1">
      <formula>$A292="Chkvlv"</formula>
    </cfRule>
    <cfRule type="expression" dxfId="311" priority="318" stopIfTrue="1">
      <formula>$A292="Triplog"</formula>
    </cfRule>
  </conditionalFormatting>
  <conditionalFormatting sqref="E292:E302">
    <cfRule type="expression" dxfId="310" priority="265" stopIfTrue="1">
      <formula>$A292="Chkvlv"</formula>
    </cfRule>
  </conditionalFormatting>
  <conditionalFormatting sqref="U292:U302 K292:K302">
    <cfRule type="expression" dxfId="309" priority="266" stopIfTrue="1">
      <formula>$A292="Chkvlv"</formula>
    </cfRule>
    <cfRule type="expression" dxfId="308" priority="289" stopIfTrue="1">
      <formula>$A292="Snglvol"</formula>
    </cfRule>
  </conditionalFormatting>
  <conditionalFormatting sqref="M292:M302">
    <cfRule type="expression" dxfId="307" priority="267" stopIfTrue="1">
      <formula>$A292="Chkvlv"</formula>
    </cfRule>
    <cfRule type="expression" dxfId="306" priority="290" stopIfTrue="1">
      <formula>$A292="Snglvol"</formula>
    </cfRule>
  </conditionalFormatting>
  <conditionalFormatting sqref="C292:C302">
    <cfRule type="expression" dxfId="305" priority="268" stopIfTrue="1">
      <formula>$A292="Inrvlv"</formula>
    </cfRule>
    <cfRule type="expression" dxfId="304" priority="297" stopIfTrue="1">
      <formula>$A292="Init"</formula>
    </cfRule>
    <cfRule type="expression" dxfId="303" priority="303" stopIfTrue="1">
      <formula>$A292="Timestep"</formula>
    </cfRule>
    <cfRule type="expression" dxfId="302" priority="317" stopIfTrue="1">
      <formula>$A292="Triplog"</formula>
    </cfRule>
  </conditionalFormatting>
  <conditionalFormatting sqref="Q292:R302 L292:L302 F292:G302 D292:D302">
    <cfRule type="expression" dxfId="301" priority="269" stopIfTrue="1">
      <formula>$A292="Inrvlv"</formula>
    </cfRule>
  </conditionalFormatting>
  <conditionalFormatting sqref="E292:E302">
    <cfRule type="expression" dxfId="300" priority="270" stopIfTrue="1">
      <formula>$A292="Inrvlv"</formula>
    </cfRule>
  </conditionalFormatting>
  <conditionalFormatting sqref="S292:S302">
    <cfRule type="expression" dxfId="299" priority="271" stopIfTrue="1">
      <formula>$A292="Inrvlv"</formula>
    </cfRule>
    <cfRule type="expression" dxfId="298" priority="276" stopIfTrue="1">
      <formula>$A292="Tmdpjun"</formula>
    </cfRule>
    <cfRule type="expression" dxfId="297" priority="280" stopIfTrue="1">
      <formula>$A292="Pump"</formula>
    </cfRule>
    <cfRule type="expression" dxfId="296" priority="284" stopIfTrue="1">
      <formula>$A292="Tmdpvol"</formula>
    </cfRule>
    <cfRule type="expression" dxfId="295" priority="292" stopIfTrue="1">
      <formula>$A292="Snglvol"</formula>
    </cfRule>
  </conditionalFormatting>
  <conditionalFormatting sqref="Q292:Q302 L292:L302 F292:G302 C292:D302">
    <cfRule type="expression" dxfId="294" priority="273" stopIfTrue="1">
      <formula>$A292="Tmdpjun"</formula>
    </cfRule>
  </conditionalFormatting>
  <conditionalFormatting sqref="E292:E302">
    <cfRule type="expression" dxfId="293" priority="274" stopIfTrue="1">
      <formula>$A292="Tmdpjun"</formula>
    </cfRule>
  </conditionalFormatting>
  <conditionalFormatting sqref="Q292:Q302 L292:L302 D292:D302">
    <cfRule type="expression" dxfId="292" priority="277" stopIfTrue="1">
      <formula>$A292="Pump"</formula>
    </cfRule>
  </conditionalFormatting>
  <conditionalFormatting sqref="E292:E302">
    <cfRule type="expression" dxfId="291" priority="278" stopIfTrue="1">
      <formula>$A292="Pump"</formula>
    </cfRule>
  </conditionalFormatting>
  <conditionalFormatting sqref="L292:P302 T292:T302 H292:I302 D292:D302">
    <cfRule type="expression" dxfId="290" priority="281" stopIfTrue="1">
      <formula>$A292="Tmdpvol"</formula>
    </cfRule>
  </conditionalFormatting>
  <conditionalFormatting sqref="E292:E302">
    <cfRule type="expression" dxfId="289" priority="282" stopIfTrue="1">
      <formula>$A292="Tmdpvol"</formula>
    </cfRule>
  </conditionalFormatting>
  <conditionalFormatting sqref="B292:B302">
    <cfRule type="expression" dxfId="288" priority="285" stopIfTrue="1">
      <formula>$A292="Snglvol"</formula>
    </cfRule>
    <cfRule type="expression" dxfId="287" priority="296" stopIfTrue="1">
      <formula>$A292="Init"</formula>
    </cfRule>
    <cfRule type="expression" dxfId="286" priority="302" stopIfTrue="1">
      <formula>$A292="Timestep"</formula>
    </cfRule>
    <cfRule type="expression" dxfId="285" priority="308" stopIfTrue="1">
      <formula>$A292="Triggerwords"</formula>
    </cfRule>
    <cfRule type="expression" dxfId="284" priority="312" stopIfTrue="1">
      <formula>$A292="Tripvar"</formula>
    </cfRule>
  </conditionalFormatting>
  <conditionalFormatting sqref="T292:T302 N292:Q302 L292:L302 H292:I302 D292:D302">
    <cfRule type="expression" dxfId="283" priority="287" stopIfTrue="1">
      <formula>$A292="Snglvol"</formula>
    </cfRule>
  </conditionalFormatting>
  <conditionalFormatting sqref="E292:E302">
    <cfRule type="expression" dxfId="282" priority="288" stopIfTrue="1">
      <formula>$A292="Snglvol"</formula>
    </cfRule>
  </conditionalFormatting>
  <conditionalFormatting sqref="A292:A302">
    <cfRule type="expression" dxfId="281" priority="293" stopIfTrue="1">
      <formula>$A292="Relapnr"</formula>
    </cfRule>
  </conditionalFormatting>
  <conditionalFormatting sqref="A292:A302">
    <cfRule type="expression" dxfId="280" priority="295" stopIfTrue="1">
      <formula>$A292="Init"</formula>
    </cfRule>
  </conditionalFormatting>
  <conditionalFormatting sqref="A292:A302">
    <cfRule type="expression" dxfId="279" priority="298" stopIfTrue="1">
      <formula>$A292="InitGas"</formula>
    </cfRule>
  </conditionalFormatting>
  <conditionalFormatting sqref="A292:A302 D292:D302">
    <cfRule type="expression" dxfId="278" priority="301" stopIfTrue="1">
      <formula>$A292="Timestep"</formula>
    </cfRule>
  </conditionalFormatting>
  <conditionalFormatting sqref="E292:E302">
    <cfRule type="expression" dxfId="277" priority="304" stopIfTrue="1">
      <formula>$A292="Timestep"</formula>
    </cfRule>
  </conditionalFormatting>
  <conditionalFormatting sqref="A292:A302">
    <cfRule type="expression" dxfId="276" priority="305" stopIfTrue="1">
      <formula>$A292="Replacements"</formula>
    </cfRule>
  </conditionalFormatting>
  <conditionalFormatting sqref="A292:A302">
    <cfRule type="expression" dxfId="275" priority="307" stopIfTrue="1">
      <formula>$A292="Triggerwords"</formula>
    </cfRule>
  </conditionalFormatting>
  <conditionalFormatting sqref="A292:A302">
    <cfRule type="expression" dxfId="274" priority="309" stopIfTrue="1">
      <formula>$A292="Custom"</formula>
    </cfRule>
  </conditionalFormatting>
  <conditionalFormatting sqref="A292:A302 F292:I302 D292:D302">
    <cfRule type="expression" dxfId="273" priority="311" stopIfTrue="1">
      <formula>$A292="Tripvar"</formula>
    </cfRule>
  </conditionalFormatting>
  <conditionalFormatting sqref="E292:E302">
    <cfRule type="expression" dxfId="272" priority="314" stopIfTrue="1">
      <formula>$A292="Tripvar"</formula>
    </cfRule>
  </conditionalFormatting>
  <conditionalFormatting sqref="A292:A302 F292:F302">
    <cfRule type="expression" dxfId="271" priority="315" stopIfTrue="1">
      <formula>$A292="Triplog"</formula>
    </cfRule>
  </conditionalFormatting>
  <conditionalFormatting sqref="E292:E302">
    <cfRule type="expression" dxfId="270" priority="319" stopIfTrue="1">
      <formula>$A292="Triplog"</formula>
    </cfRule>
  </conditionalFormatting>
  <conditionalFormatting sqref="F306:L319 A306:D319 Q306:Q319 U306:V319">
    <cfRule type="expression" dxfId="236" priority="156" stopIfTrue="1">
      <formula>$A306="Pipe"</formula>
    </cfRule>
  </conditionalFormatting>
  <conditionalFormatting sqref="H306:K319 A306:B319 U306:V319 M306:P319">
    <cfRule type="expression" dxfId="235" priority="157" stopIfTrue="1">
      <formula>$A306="Junction"</formula>
    </cfRule>
  </conditionalFormatting>
  <conditionalFormatting sqref="H306:K319 A306:B319 T306:V319 M306:P319">
    <cfRule type="expression" dxfId="234" priority="158" stopIfTrue="1">
      <formula>$A306="Mtrvlv"</formula>
    </cfRule>
  </conditionalFormatting>
  <conditionalFormatting sqref="H306:K319 B306:B319 T306:V319 M306:P319">
    <cfRule type="expression" dxfId="233" priority="159" stopIfTrue="1">
      <formula>$A306="Srvvlv"</formula>
    </cfRule>
  </conditionalFormatting>
  <conditionalFormatting sqref="H306:J319 A306:A319 N306:P319 T306:T319 V306:V319">
    <cfRule type="expression" dxfId="232" priority="160" stopIfTrue="1">
      <formula>$A306="Chkvlv"</formula>
    </cfRule>
  </conditionalFormatting>
  <conditionalFormatting sqref="H306:K319 A306:B319 T306:V319 M306:P319">
    <cfRule type="expression" dxfId="231" priority="161" stopIfTrue="1">
      <formula>$A306="Inrvlv"</formula>
    </cfRule>
  </conditionalFormatting>
  <conditionalFormatting sqref="H306:K319 B306:B319 T306:V319 M306:P319">
    <cfRule type="expression" dxfId="230" priority="162" stopIfTrue="1">
      <formula>$A306="Tmdpjun"</formula>
    </cfRule>
  </conditionalFormatting>
  <conditionalFormatting sqref="F306:K319 A306:C319 T306:V319 M306:P319">
    <cfRule type="expression" dxfId="229" priority="163" stopIfTrue="1">
      <formula>$A306="Pump"</formula>
    </cfRule>
  </conditionalFormatting>
  <conditionalFormatting sqref="A306:C319 F306:G319 J306:K319 Q306:Q319 U306:V319">
    <cfRule type="expression" dxfId="228" priority="164" stopIfTrue="1">
      <formula>$A306="Tmdpvol"</formula>
    </cfRule>
  </conditionalFormatting>
  <conditionalFormatting sqref="A306:A319 F306:G319 J306:J319 V306:V319">
    <cfRule type="expression" dxfId="227" priority="165" stopIfTrue="1">
      <formula>$A306="Snglvol"</formula>
    </cfRule>
  </conditionalFormatting>
  <conditionalFormatting sqref="H306:K319 A306:B319 U306:V319 M306:P319">
    <cfRule type="expression" dxfId="226" priority="166" stopIfTrue="1">
      <formula>$A306="Sngljun"</formula>
    </cfRule>
  </conditionalFormatting>
  <conditionalFormatting sqref="E306:E319">
    <cfRule type="expression" dxfId="225" priority="167" stopIfTrue="1">
      <formula>$A306="Pipe"</formula>
    </cfRule>
  </conditionalFormatting>
  <conditionalFormatting sqref="R306:T319 M306:P319">
    <cfRule type="expression" dxfId="224" priority="168" stopIfTrue="1">
      <formula>$A306="Pipe"</formula>
    </cfRule>
  </conditionalFormatting>
  <conditionalFormatting sqref="C306:C319">
    <cfRule type="expression" dxfId="223" priority="169" stopIfTrue="1">
      <formula>$A306="Junction"</formula>
    </cfRule>
    <cfRule type="expression" dxfId="222" priority="204" stopIfTrue="1">
      <formula>$A306="Snglvol"</formula>
    </cfRule>
    <cfRule type="expression" dxfId="221" priority="218" stopIfTrue="1">
      <formula>$A306="InitGas"</formula>
    </cfRule>
    <cfRule type="expression" dxfId="220" priority="231" stopIfTrue="1">
      <formula>$A306="Tripvar"</formula>
    </cfRule>
  </conditionalFormatting>
  <conditionalFormatting sqref="D306:D319 F306:G319 L306:L319 Q306:T319">
    <cfRule type="expression" dxfId="219" priority="170" stopIfTrue="1">
      <formula>$A306="Junction"</formula>
    </cfRule>
  </conditionalFormatting>
  <conditionalFormatting sqref="E306:E319">
    <cfRule type="expression" dxfId="218" priority="171" stopIfTrue="1">
      <formula>$A306="Junction"</formula>
    </cfRule>
  </conditionalFormatting>
  <conditionalFormatting sqref="C306:D319 F306:G319 L306:L319 Q306:T319">
    <cfRule type="expression" dxfId="217" priority="172" stopIfTrue="1">
      <formula>$A306="Sngljun"</formula>
    </cfRule>
  </conditionalFormatting>
  <conditionalFormatting sqref="E306:E319">
    <cfRule type="expression" dxfId="216" priority="173" stopIfTrue="1">
      <formula>$A306="Sngljun"</formula>
    </cfRule>
  </conditionalFormatting>
  <conditionalFormatting sqref="C306:D319 F306:G319 L306:L319 Q306:S319">
    <cfRule type="expression" dxfId="215" priority="174" stopIfTrue="1">
      <formula>$A306="Mtrvlv"</formula>
    </cfRule>
  </conditionalFormatting>
  <conditionalFormatting sqref="E306:E319">
    <cfRule type="expression" dxfId="214" priority="175" stopIfTrue="1">
      <formula>$A306="Mtrvlv"</formula>
    </cfRule>
  </conditionalFormatting>
  <conditionalFormatting sqref="A306:A319">
    <cfRule type="expression" dxfId="213" priority="176" stopIfTrue="1">
      <formula>$A306="Srvvlv"</formula>
    </cfRule>
    <cfRule type="expression" dxfId="212" priority="190" stopIfTrue="1">
      <formula>$A306="Tmdpjun"</formula>
    </cfRule>
  </conditionalFormatting>
  <conditionalFormatting sqref="C306:D319 F306:G319 L306:L319 Q306:Q319 S306:S319">
    <cfRule type="expression" dxfId="211" priority="177" stopIfTrue="1">
      <formula>$A306="Srvvlv"</formula>
    </cfRule>
  </conditionalFormatting>
  <conditionalFormatting sqref="E306:E319">
    <cfRule type="expression" dxfId="210" priority="178" stopIfTrue="1">
      <formula>$A306="Srvvlv"</formula>
    </cfRule>
  </conditionalFormatting>
  <conditionalFormatting sqref="R306:R319">
    <cfRule type="expression" dxfId="209" priority="179" stopIfTrue="1">
      <formula>$A306="Srvvlv"</formula>
    </cfRule>
    <cfRule type="expression" dxfId="208" priority="193" stopIfTrue="1">
      <formula>$A306="Tmdpjun"</formula>
    </cfRule>
    <cfRule type="expression" dxfId="207" priority="197" stopIfTrue="1">
      <formula>$A306="Pump"</formula>
    </cfRule>
    <cfRule type="expression" dxfId="206" priority="201" stopIfTrue="1">
      <formula>$A306="Tmdpvol"</formula>
    </cfRule>
    <cfRule type="expression" dxfId="205" priority="209" stopIfTrue="1">
      <formula>$A306="Snglvol"</formula>
    </cfRule>
  </conditionalFormatting>
  <conditionalFormatting sqref="B306:B319">
    <cfRule type="expression" dxfId="204" priority="180" stopIfTrue="1">
      <formula>$A306="Chkvlv"</formula>
    </cfRule>
    <cfRule type="expression" dxfId="203" priority="212" stopIfTrue="1">
      <formula>$A306="Relapnr"</formula>
    </cfRule>
    <cfRule type="expression" dxfId="202" priority="217" stopIfTrue="1">
      <formula>$A306="InitGas"</formula>
    </cfRule>
    <cfRule type="expression" dxfId="201" priority="224" stopIfTrue="1">
      <formula>$A306="Replacements"</formula>
    </cfRule>
    <cfRule type="expression" dxfId="200" priority="228" stopIfTrue="1">
      <formula>$A306="Custom"</formula>
    </cfRule>
    <cfRule type="expression" dxfId="199" priority="234" stopIfTrue="1">
      <formula>$A306="Triplog"</formula>
    </cfRule>
  </conditionalFormatting>
  <conditionalFormatting sqref="F306:G319 L306:L319 Q306:S319 C306:C319">
    <cfRule type="expression" dxfId="198" priority="181" stopIfTrue="1">
      <formula>$A306="Chkvlv"</formula>
    </cfRule>
  </conditionalFormatting>
  <conditionalFormatting sqref="D306:D319">
    <cfRule type="expression" dxfId="197" priority="182" stopIfTrue="1">
      <formula>$A306="Chkvlv"</formula>
    </cfRule>
    <cfRule type="expression" dxfId="196" priority="236" stopIfTrue="1">
      <formula>$A306="Triplog"</formula>
    </cfRule>
  </conditionalFormatting>
  <conditionalFormatting sqref="E306:E319">
    <cfRule type="expression" dxfId="195" priority="183" stopIfTrue="1">
      <formula>$A306="Chkvlv"</formula>
    </cfRule>
  </conditionalFormatting>
  <conditionalFormatting sqref="K306:K319 U306:U319">
    <cfRule type="expression" dxfId="194" priority="184" stopIfTrue="1">
      <formula>$A306="Chkvlv"</formula>
    </cfRule>
    <cfRule type="expression" dxfId="193" priority="207" stopIfTrue="1">
      <formula>$A306="Snglvol"</formula>
    </cfRule>
  </conditionalFormatting>
  <conditionalFormatting sqref="M306:M319">
    <cfRule type="expression" dxfId="192" priority="185" stopIfTrue="1">
      <formula>$A306="Chkvlv"</formula>
    </cfRule>
    <cfRule type="expression" dxfId="191" priority="208" stopIfTrue="1">
      <formula>$A306="Snglvol"</formula>
    </cfRule>
  </conditionalFormatting>
  <conditionalFormatting sqref="C306:C319">
    <cfRule type="expression" dxfId="190" priority="186" stopIfTrue="1">
      <formula>$A306="Inrvlv"</formula>
    </cfRule>
    <cfRule type="expression" dxfId="189" priority="215" stopIfTrue="1">
      <formula>$A306="Init"</formula>
    </cfRule>
    <cfRule type="expression" dxfId="188" priority="221" stopIfTrue="1">
      <formula>$A306="Timestep"</formula>
    </cfRule>
    <cfRule type="expression" dxfId="187" priority="235" stopIfTrue="1">
      <formula>$A306="Triplog"</formula>
    </cfRule>
  </conditionalFormatting>
  <conditionalFormatting sqref="D306:D319 F306:G319 L306:L319 Q306:R319">
    <cfRule type="expression" dxfId="186" priority="187" stopIfTrue="1">
      <formula>$A306="Inrvlv"</formula>
    </cfRule>
  </conditionalFormatting>
  <conditionalFormatting sqref="E306:E319">
    <cfRule type="expression" dxfId="185" priority="188" stopIfTrue="1">
      <formula>$A306="Inrvlv"</formula>
    </cfRule>
  </conditionalFormatting>
  <conditionalFormatting sqref="S306:S319">
    <cfRule type="expression" dxfId="184" priority="189" stopIfTrue="1">
      <formula>$A306="Inrvlv"</formula>
    </cfRule>
    <cfRule type="expression" dxfId="183" priority="194" stopIfTrue="1">
      <formula>$A306="Tmdpjun"</formula>
    </cfRule>
    <cfRule type="expression" dxfId="182" priority="198" stopIfTrue="1">
      <formula>$A306="Pump"</formula>
    </cfRule>
    <cfRule type="expression" dxfId="181" priority="202" stopIfTrue="1">
      <formula>$A306="Tmdpvol"</formula>
    </cfRule>
    <cfRule type="expression" dxfId="180" priority="210" stopIfTrue="1">
      <formula>$A306="Snglvol"</formula>
    </cfRule>
  </conditionalFormatting>
  <conditionalFormatting sqref="C306:D319 F306:G319 L306:L319 Q306:Q319">
    <cfRule type="expression" dxfId="179" priority="191" stopIfTrue="1">
      <formula>$A306="Tmdpjun"</formula>
    </cfRule>
  </conditionalFormatting>
  <conditionalFormatting sqref="E306:E319">
    <cfRule type="expression" dxfId="178" priority="192" stopIfTrue="1">
      <formula>$A306="Tmdpjun"</formula>
    </cfRule>
  </conditionalFormatting>
  <conditionalFormatting sqref="D306:D319 L306:L319 Q306:Q319">
    <cfRule type="expression" dxfId="177" priority="195" stopIfTrue="1">
      <formula>$A306="Pump"</formula>
    </cfRule>
  </conditionalFormatting>
  <conditionalFormatting sqref="E306:E319">
    <cfRule type="expression" dxfId="176" priority="196" stopIfTrue="1">
      <formula>$A306="Pump"</formula>
    </cfRule>
  </conditionalFormatting>
  <conditionalFormatting sqref="D306:D319 H306:I319 T306:T319 L306:P319">
    <cfRule type="expression" dxfId="175" priority="199" stopIfTrue="1">
      <formula>$A306="Tmdpvol"</formula>
    </cfRule>
  </conditionalFormatting>
  <conditionalFormatting sqref="E306:E319">
    <cfRule type="expression" dxfId="174" priority="200" stopIfTrue="1">
      <formula>$A306="Tmdpvol"</formula>
    </cfRule>
  </conditionalFormatting>
  <conditionalFormatting sqref="B306:B319">
    <cfRule type="expression" dxfId="173" priority="203" stopIfTrue="1">
      <formula>$A306="Snglvol"</formula>
    </cfRule>
    <cfRule type="expression" dxfId="172" priority="214" stopIfTrue="1">
      <formula>$A306="Init"</formula>
    </cfRule>
    <cfRule type="expression" dxfId="171" priority="220" stopIfTrue="1">
      <formula>$A306="Timestep"</formula>
    </cfRule>
    <cfRule type="expression" dxfId="170" priority="226" stopIfTrue="1">
      <formula>$A306="Triggerwords"</formula>
    </cfRule>
    <cfRule type="expression" dxfId="169" priority="230" stopIfTrue="1">
      <formula>$A306="Tripvar"</formula>
    </cfRule>
  </conditionalFormatting>
  <conditionalFormatting sqref="D306:D319 H306:I319 L306:L319 N306:Q319 T306:T319">
    <cfRule type="expression" dxfId="168" priority="205" stopIfTrue="1">
      <formula>$A306="Snglvol"</formula>
    </cfRule>
  </conditionalFormatting>
  <conditionalFormatting sqref="E306:E319">
    <cfRule type="expression" dxfId="167" priority="206" stopIfTrue="1">
      <formula>$A306="Snglvol"</formula>
    </cfRule>
  </conditionalFormatting>
  <conditionalFormatting sqref="A306:A319">
    <cfRule type="expression" dxfId="166" priority="211" stopIfTrue="1">
      <formula>$A306="Relapnr"</formula>
    </cfRule>
  </conditionalFormatting>
  <conditionalFormatting sqref="A306:A319">
    <cfRule type="expression" dxfId="165" priority="213" stopIfTrue="1">
      <formula>$A306="Init"</formula>
    </cfRule>
  </conditionalFormatting>
  <conditionalFormatting sqref="A306:A319">
    <cfRule type="expression" dxfId="164" priority="216" stopIfTrue="1">
      <formula>$A306="InitGas"</formula>
    </cfRule>
  </conditionalFormatting>
  <conditionalFormatting sqref="D306:D319 A306:A319">
    <cfRule type="expression" dxfId="163" priority="219" stopIfTrue="1">
      <formula>$A306="Timestep"</formula>
    </cfRule>
  </conditionalFormatting>
  <conditionalFormatting sqref="E306:E319">
    <cfRule type="expression" dxfId="162" priority="222" stopIfTrue="1">
      <formula>$A306="Timestep"</formula>
    </cfRule>
  </conditionalFormatting>
  <conditionalFormatting sqref="A306:A319">
    <cfRule type="expression" dxfId="161" priority="223" stopIfTrue="1">
      <formula>$A306="Replacements"</formula>
    </cfRule>
  </conditionalFormatting>
  <conditionalFormatting sqref="A306:A319">
    <cfRule type="expression" dxfId="160" priority="225" stopIfTrue="1">
      <formula>$A306="Triggerwords"</formula>
    </cfRule>
  </conditionalFormatting>
  <conditionalFormatting sqref="A306:A319">
    <cfRule type="expression" dxfId="159" priority="227" stopIfTrue="1">
      <formula>$A306="Custom"</formula>
    </cfRule>
  </conditionalFormatting>
  <conditionalFormatting sqref="D306:D319 F306:I319 A306:A319">
    <cfRule type="expression" dxfId="158" priority="229" stopIfTrue="1">
      <formula>$A306="Tripvar"</formula>
    </cfRule>
  </conditionalFormatting>
  <conditionalFormatting sqref="E306:E319">
    <cfRule type="expression" dxfId="157" priority="232" stopIfTrue="1">
      <formula>$A306="Tripvar"</formula>
    </cfRule>
  </conditionalFormatting>
  <conditionalFormatting sqref="F306:F319 A306:A319">
    <cfRule type="expression" dxfId="156" priority="233" stopIfTrue="1">
      <formula>$A306="Triplog"</formula>
    </cfRule>
  </conditionalFormatting>
  <conditionalFormatting sqref="E306:E319">
    <cfRule type="expression" dxfId="155" priority="237" stopIfTrue="1">
      <formula>$A306="Triplog"</formula>
    </cfRule>
  </conditionalFormatting>
  <conditionalFormatting sqref="B29">
    <cfRule type="expression" dxfId="154" priority="136" stopIfTrue="1">
      <formula>$A29="Pipe"</formula>
    </cfRule>
  </conditionalFormatting>
  <conditionalFormatting sqref="B29">
    <cfRule type="expression" dxfId="153" priority="137" stopIfTrue="1">
      <formula>$A29="Junction"</formula>
    </cfRule>
  </conditionalFormatting>
  <conditionalFormatting sqref="B29">
    <cfRule type="expression" dxfId="152" priority="138" stopIfTrue="1">
      <formula>$A29="Sngljun"</formula>
    </cfRule>
  </conditionalFormatting>
  <conditionalFormatting sqref="B29">
    <cfRule type="expression" dxfId="151" priority="139" stopIfTrue="1">
      <formula>$A29="Mtrvlv"</formula>
    </cfRule>
  </conditionalFormatting>
  <conditionalFormatting sqref="B29">
    <cfRule type="expression" dxfId="150" priority="140" stopIfTrue="1">
      <formula>$A29="Srvvlv"</formula>
    </cfRule>
  </conditionalFormatting>
  <conditionalFormatting sqref="B29">
    <cfRule type="expression" dxfId="149" priority="141" stopIfTrue="1">
      <formula>$A29="Chkvlv"</formula>
    </cfRule>
    <cfRule type="expression" dxfId="148" priority="147" stopIfTrue="1">
      <formula>$A29="Relapnr"</formula>
    </cfRule>
    <cfRule type="expression" dxfId="147" priority="149" stopIfTrue="1">
      <formula>$A29="InitGas"</formula>
    </cfRule>
    <cfRule type="expression" dxfId="146" priority="151" stopIfTrue="1">
      <formula>$A29="Replacements"</formula>
    </cfRule>
    <cfRule type="expression" dxfId="145" priority="153" stopIfTrue="1">
      <formula>$A29="Custom"</formula>
    </cfRule>
    <cfRule type="expression" dxfId="144" priority="155" stopIfTrue="1">
      <formula>$A29="Triplog"</formula>
    </cfRule>
  </conditionalFormatting>
  <conditionalFormatting sqref="B29">
    <cfRule type="expression" dxfId="143" priority="142" stopIfTrue="1">
      <formula>$A29="Inrvlv"</formula>
    </cfRule>
  </conditionalFormatting>
  <conditionalFormatting sqref="B29">
    <cfRule type="expression" dxfId="142" priority="143" stopIfTrue="1">
      <formula>$A29="Tmdpjun"</formula>
    </cfRule>
  </conditionalFormatting>
  <conditionalFormatting sqref="B29">
    <cfRule type="expression" dxfId="141" priority="144" stopIfTrue="1">
      <formula>$A29="Pump"</formula>
    </cfRule>
  </conditionalFormatting>
  <conditionalFormatting sqref="B29">
    <cfRule type="expression" dxfId="140" priority="145" stopIfTrue="1">
      <formula>$A29="Tmdpvol"</formula>
    </cfRule>
  </conditionalFormatting>
  <conditionalFormatting sqref="B29">
    <cfRule type="expression" dxfId="139" priority="146" stopIfTrue="1">
      <formula>$A29="Snglvol"</formula>
    </cfRule>
    <cfRule type="expression" dxfId="138" priority="148" stopIfTrue="1">
      <formula>$A29="Init"</formula>
    </cfRule>
    <cfRule type="expression" dxfId="137" priority="150" stopIfTrue="1">
      <formula>$A29="Timestep"</formula>
    </cfRule>
    <cfRule type="expression" dxfId="136" priority="152" stopIfTrue="1">
      <formula>$A29="Triggerwords"</formula>
    </cfRule>
    <cfRule type="expression" dxfId="135" priority="154" stopIfTrue="1">
      <formula>$A29="Tripvar"</formula>
    </cfRule>
  </conditionalFormatting>
  <conditionalFormatting sqref="C29">
    <cfRule type="expression" dxfId="134" priority="120" stopIfTrue="1">
      <formula>$A29="Pipe"</formula>
    </cfRule>
  </conditionalFormatting>
  <conditionalFormatting sqref="C29">
    <cfRule type="expression" dxfId="133" priority="121" stopIfTrue="1">
      <formula>$A29="Junction"</formula>
    </cfRule>
    <cfRule type="expression" dxfId="132" priority="130" stopIfTrue="1">
      <formula>$A29="Snglvol"</formula>
    </cfRule>
    <cfRule type="expression" dxfId="131" priority="132" stopIfTrue="1">
      <formula>$A29="InitGas"</formula>
    </cfRule>
    <cfRule type="expression" dxfId="130" priority="134" stopIfTrue="1">
      <formula>$A29="Tripvar"</formula>
    </cfRule>
  </conditionalFormatting>
  <conditionalFormatting sqref="C29">
    <cfRule type="expression" dxfId="129" priority="122" stopIfTrue="1">
      <formula>$A29="Sngljun"</formula>
    </cfRule>
  </conditionalFormatting>
  <conditionalFormatting sqref="C29">
    <cfRule type="expression" dxfId="128" priority="123" stopIfTrue="1">
      <formula>$A29="Mtrvlv"</formula>
    </cfRule>
  </conditionalFormatting>
  <conditionalFormatting sqref="C29">
    <cfRule type="expression" dxfId="127" priority="124" stopIfTrue="1">
      <formula>$A29="Srvvlv"</formula>
    </cfRule>
  </conditionalFormatting>
  <conditionalFormatting sqref="C29">
    <cfRule type="expression" dxfId="126" priority="125" stopIfTrue="1">
      <formula>$A29="Chkvlv"</formula>
    </cfRule>
  </conditionalFormatting>
  <conditionalFormatting sqref="C29">
    <cfRule type="expression" dxfId="125" priority="126" stopIfTrue="1">
      <formula>$A29="Inrvlv"</formula>
    </cfRule>
    <cfRule type="expression" dxfId="124" priority="131" stopIfTrue="1">
      <formula>$A29="Init"</formula>
    </cfRule>
    <cfRule type="expression" dxfId="123" priority="133" stopIfTrue="1">
      <formula>$A29="Timestep"</formula>
    </cfRule>
    <cfRule type="expression" dxfId="122" priority="135" stopIfTrue="1">
      <formula>$A29="Triplog"</formula>
    </cfRule>
  </conditionalFormatting>
  <conditionalFormatting sqref="C29">
    <cfRule type="expression" dxfId="121" priority="127" stopIfTrue="1">
      <formula>$A29="Tmdpjun"</formula>
    </cfRule>
  </conditionalFormatting>
  <conditionalFormatting sqref="C29">
    <cfRule type="expression" dxfId="120" priority="128" stopIfTrue="1">
      <formula>$A29="Pump"</formula>
    </cfRule>
  </conditionalFormatting>
  <conditionalFormatting sqref="C29">
    <cfRule type="expression" dxfId="119" priority="129" stopIfTrue="1">
      <formula>$A29="Tmdpvol"</formula>
    </cfRule>
  </conditionalFormatting>
  <conditionalFormatting sqref="B227:C227">
    <cfRule type="expression" dxfId="118" priority="87" stopIfTrue="1">
      <formula>$A227="Pipe"</formula>
    </cfRule>
  </conditionalFormatting>
  <conditionalFormatting sqref="B227">
    <cfRule type="expression" dxfId="117" priority="88" stopIfTrue="1">
      <formula>$A227="Junction"</formula>
    </cfRule>
  </conditionalFormatting>
  <conditionalFormatting sqref="B227">
    <cfRule type="expression" dxfId="116" priority="89" stopIfTrue="1">
      <formula>$A227="Mtrvlv"</formula>
    </cfRule>
  </conditionalFormatting>
  <conditionalFormatting sqref="B227">
    <cfRule type="expression" dxfId="115" priority="90" stopIfTrue="1">
      <formula>$A227="Srvvlv"</formula>
    </cfRule>
  </conditionalFormatting>
  <conditionalFormatting sqref="B227">
    <cfRule type="expression" dxfId="114" priority="91" stopIfTrue="1">
      <formula>$A227="Inrvlv"</formula>
    </cfRule>
  </conditionalFormatting>
  <conditionalFormatting sqref="B227">
    <cfRule type="expression" dxfId="113" priority="92" stopIfTrue="1">
      <formula>$A227="Tmdpjun"</formula>
    </cfRule>
  </conditionalFormatting>
  <conditionalFormatting sqref="B227:C227">
    <cfRule type="expression" dxfId="112" priority="93" stopIfTrue="1">
      <formula>$A227="Pump"</formula>
    </cfRule>
  </conditionalFormatting>
  <conditionalFormatting sqref="B227:C227">
    <cfRule type="expression" dxfId="111" priority="94" stopIfTrue="1">
      <formula>$A227="Tmdpvol"</formula>
    </cfRule>
  </conditionalFormatting>
  <conditionalFormatting sqref="B227">
    <cfRule type="expression" dxfId="110" priority="95" stopIfTrue="1">
      <formula>$A227="Sngljun"</formula>
    </cfRule>
  </conditionalFormatting>
  <conditionalFormatting sqref="C227">
    <cfRule type="expression" dxfId="109" priority="96" stopIfTrue="1">
      <formula>$A227="Junction"</formula>
    </cfRule>
    <cfRule type="expression" dxfId="108" priority="105" stopIfTrue="1">
      <formula>$A227="Snglvol"</formula>
    </cfRule>
    <cfRule type="expression" dxfId="107" priority="110" stopIfTrue="1">
      <formula>$A227="InitGas"</formula>
    </cfRule>
    <cfRule type="expression" dxfId="106" priority="117" stopIfTrue="1">
      <formula>$A227="Tripvar"</formula>
    </cfRule>
  </conditionalFormatting>
  <conditionalFormatting sqref="C227">
    <cfRule type="expression" dxfId="105" priority="97" stopIfTrue="1">
      <formula>$A227="Sngljun"</formula>
    </cfRule>
  </conditionalFormatting>
  <conditionalFormatting sqref="C227">
    <cfRule type="expression" dxfId="104" priority="98" stopIfTrue="1">
      <formula>$A227="Mtrvlv"</formula>
    </cfRule>
  </conditionalFormatting>
  <conditionalFormatting sqref="C227">
    <cfRule type="expression" dxfId="103" priority="99" stopIfTrue="1">
      <formula>$A227="Srvvlv"</formula>
    </cfRule>
  </conditionalFormatting>
  <conditionalFormatting sqref="B227">
    <cfRule type="expression" dxfId="102" priority="100" stopIfTrue="1">
      <formula>$A227="Chkvlv"</formula>
    </cfRule>
    <cfRule type="expression" dxfId="101" priority="106" stopIfTrue="1">
      <formula>$A227="Relapnr"</formula>
    </cfRule>
    <cfRule type="expression" dxfId="100" priority="109" stopIfTrue="1">
      <formula>$A227="InitGas"</formula>
    </cfRule>
    <cfRule type="expression" dxfId="99" priority="113" stopIfTrue="1">
      <formula>$A227="Replacements"</formula>
    </cfRule>
    <cfRule type="expression" dxfId="98" priority="115" stopIfTrue="1">
      <formula>$A227="Custom"</formula>
    </cfRule>
    <cfRule type="expression" dxfId="97" priority="118" stopIfTrue="1">
      <formula>$A227="Triplog"</formula>
    </cfRule>
  </conditionalFormatting>
  <conditionalFormatting sqref="C227">
    <cfRule type="expression" dxfId="96" priority="101" stopIfTrue="1">
      <formula>$A227="Chkvlv"</formula>
    </cfRule>
  </conditionalFormatting>
  <conditionalFormatting sqref="C227">
    <cfRule type="expression" dxfId="95" priority="102" stopIfTrue="1">
      <formula>$A227="Inrvlv"</formula>
    </cfRule>
    <cfRule type="expression" dxfId="94" priority="108" stopIfTrue="1">
      <formula>$A227="Init"</formula>
    </cfRule>
    <cfRule type="expression" dxfId="93" priority="112" stopIfTrue="1">
      <formula>$A227="Timestep"</formula>
    </cfRule>
    <cfRule type="expression" dxfId="92" priority="119" stopIfTrue="1">
      <formula>$A227="Triplog"</formula>
    </cfRule>
  </conditionalFormatting>
  <conditionalFormatting sqref="C227">
    <cfRule type="expression" dxfId="91" priority="103" stopIfTrue="1">
      <formula>$A227="Tmdpjun"</formula>
    </cfRule>
  </conditionalFormatting>
  <conditionalFormatting sqref="B227">
    <cfRule type="expression" dxfId="90" priority="104" stopIfTrue="1">
      <formula>$A227="Snglvol"</formula>
    </cfRule>
    <cfRule type="expression" dxfId="89" priority="107" stopIfTrue="1">
      <formula>$A227="Init"</formula>
    </cfRule>
    <cfRule type="expression" dxfId="88" priority="111" stopIfTrue="1">
      <formula>$A227="Timestep"</formula>
    </cfRule>
    <cfRule type="expression" dxfId="87" priority="114" stopIfTrue="1">
      <formula>$A227="Triggerwords"</formula>
    </cfRule>
    <cfRule type="expression" dxfId="86" priority="116" stopIfTrue="1">
      <formula>$A227="Tripvar"</formula>
    </cfRule>
  </conditionalFormatting>
  <conditionalFormatting sqref="B234:C234">
    <cfRule type="expression" dxfId="85" priority="54" stopIfTrue="1">
      <formula>$A234="Pipe"</formula>
    </cfRule>
  </conditionalFormatting>
  <conditionalFormatting sqref="B234">
    <cfRule type="expression" dxfId="84" priority="55" stopIfTrue="1">
      <formula>$A234="Junction"</formula>
    </cfRule>
  </conditionalFormatting>
  <conditionalFormatting sqref="B234">
    <cfRule type="expression" dxfId="83" priority="56" stopIfTrue="1">
      <formula>$A234="Mtrvlv"</formula>
    </cfRule>
  </conditionalFormatting>
  <conditionalFormatting sqref="B234">
    <cfRule type="expression" dxfId="82" priority="57" stopIfTrue="1">
      <formula>$A234="Srvvlv"</formula>
    </cfRule>
  </conditionalFormatting>
  <conditionalFormatting sqref="B234">
    <cfRule type="expression" dxfId="81" priority="58" stopIfTrue="1">
      <formula>$A234="Inrvlv"</formula>
    </cfRule>
  </conditionalFormatting>
  <conditionalFormatting sqref="B234">
    <cfRule type="expression" dxfId="80" priority="59" stopIfTrue="1">
      <formula>$A234="Tmdpjun"</formula>
    </cfRule>
  </conditionalFormatting>
  <conditionalFormatting sqref="B234:C234">
    <cfRule type="expression" dxfId="79" priority="60" stopIfTrue="1">
      <formula>$A234="Pump"</formula>
    </cfRule>
  </conditionalFormatting>
  <conditionalFormatting sqref="B234:C234">
    <cfRule type="expression" dxfId="78" priority="61" stopIfTrue="1">
      <formula>$A234="Tmdpvol"</formula>
    </cfRule>
  </conditionalFormatting>
  <conditionalFormatting sqref="B234">
    <cfRule type="expression" dxfId="77" priority="62" stopIfTrue="1">
      <formula>$A234="Sngljun"</formula>
    </cfRule>
  </conditionalFormatting>
  <conditionalFormatting sqref="C234">
    <cfRule type="expression" dxfId="76" priority="63" stopIfTrue="1">
      <formula>$A234="Junction"</formula>
    </cfRule>
    <cfRule type="expression" dxfId="75" priority="72" stopIfTrue="1">
      <formula>$A234="Snglvol"</formula>
    </cfRule>
    <cfRule type="expression" dxfId="74" priority="77" stopIfTrue="1">
      <formula>$A234="InitGas"</formula>
    </cfRule>
    <cfRule type="expression" dxfId="73" priority="84" stopIfTrue="1">
      <formula>$A234="Tripvar"</formula>
    </cfRule>
  </conditionalFormatting>
  <conditionalFormatting sqref="C234">
    <cfRule type="expression" dxfId="72" priority="64" stopIfTrue="1">
      <formula>$A234="Sngljun"</formula>
    </cfRule>
  </conditionalFormatting>
  <conditionalFormatting sqref="C234">
    <cfRule type="expression" dxfId="71" priority="65" stopIfTrue="1">
      <formula>$A234="Mtrvlv"</formula>
    </cfRule>
  </conditionalFormatting>
  <conditionalFormatting sqref="C234">
    <cfRule type="expression" dxfId="70" priority="66" stopIfTrue="1">
      <formula>$A234="Srvvlv"</formula>
    </cfRule>
  </conditionalFormatting>
  <conditionalFormatting sqref="B234">
    <cfRule type="expression" dxfId="69" priority="67" stopIfTrue="1">
      <formula>$A234="Chkvlv"</formula>
    </cfRule>
    <cfRule type="expression" dxfId="68" priority="73" stopIfTrue="1">
      <formula>$A234="Relapnr"</formula>
    </cfRule>
    <cfRule type="expression" dxfId="67" priority="76" stopIfTrue="1">
      <formula>$A234="InitGas"</formula>
    </cfRule>
    <cfRule type="expression" dxfId="66" priority="80" stopIfTrue="1">
      <formula>$A234="Replacements"</formula>
    </cfRule>
    <cfRule type="expression" dxfId="65" priority="82" stopIfTrue="1">
      <formula>$A234="Custom"</formula>
    </cfRule>
    <cfRule type="expression" dxfId="64" priority="85" stopIfTrue="1">
      <formula>$A234="Triplog"</formula>
    </cfRule>
  </conditionalFormatting>
  <conditionalFormatting sqref="C234">
    <cfRule type="expression" dxfId="63" priority="68" stopIfTrue="1">
      <formula>$A234="Chkvlv"</formula>
    </cfRule>
  </conditionalFormatting>
  <conditionalFormatting sqref="C234">
    <cfRule type="expression" dxfId="62" priority="69" stopIfTrue="1">
      <formula>$A234="Inrvlv"</formula>
    </cfRule>
    <cfRule type="expression" dxfId="61" priority="75" stopIfTrue="1">
      <formula>$A234="Init"</formula>
    </cfRule>
    <cfRule type="expression" dxfId="60" priority="79" stopIfTrue="1">
      <formula>$A234="Timestep"</formula>
    </cfRule>
    <cfRule type="expression" dxfId="59" priority="86" stopIfTrue="1">
      <formula>$A234="Triplog"</formula>
    </cfRule>
  </conditionalFormatting>
  <conditionalFormatting sqref="C234">
    <cfRule type="expression" dxfId="58" priority="70" stopIfTrue="1">
      <formula>$A234="Tmdpjun"</formula>
    </cfRule>
  </conditionalFormatting>
  <conditionalFormatting sqref="B234">
    <cfRule type="expression" dxfId="57" priority="71" stopIfTrue="1">
      <formula>$A234="Snglvol"</formula>
    </cfRule>
    <cfRule type="expression" dxfId="56" priority="74" stopIfTrue="1">
      <formula>$A234="Init"</formula>
    </cfRule>
    <cfRule type="expression" dxfId="55" priority="78" stopIfTrue="1">
      <formula>$A234="Timestep"</formula>
    </cfRule>
    <cfRule type="expression" dxfId="54" priority="81" stopIfTrue="1">
      <formula>$A234="Triggerwords"</formula>
    </cfRule>
    <cfRule type="expression" dxfId="53" priority="83" stopIfTrue="1">
      <formula>$A234="Tripvar"</formula>
    </cfRule>
  </conditionalFormatting>
  <conditionalFormatting sqref="B255:C255">
    <cfRule type="expression" dxfId="52" priority="21" stopIfTrue="1">
      <formula>$A255="Pipe"</formula>
    </cfRule>
  </conditionalFormatting>
  <conditionalFormatting sqref="B255">
    <cfRule type="expression" dxfId="51" priority="22" stopIfTrue="1">
      <formula>$A255="Junction"</formula>
    </cfRule>
  </conditionalFormatting>
  <conditionalFormatting sqref="B255">
    <cfRule type="expression" dxfId="50" priority="23" stopIfTrue="1">
      <formula>$A255="Mtrvlv"</formula>
    </cfRule>
  </conditionalFormatting>
  <conditionalFormatting sqref="B255">
    <cfRule type="expression" dxfId="49" priority="24" stopIfTrue="1">
      <formula>$A255="Srvvlv"</formula>
    </cfRule>
  </conditionalFormatting>
  <conditionalFormatting sqref="B255">
    <cfRule type="expression" dxfId="48" priority="25" stopIfTrue="1">
      <formula>$A255="Inrvlv"</formula>
    </cfRule>
  </conditionalFormatting>
  <conditionalFormatting sqref="B255">
    <cfRule type="expression" dxfId="47" priority="26" stopIfTrue="1">
      <formula>$A255="Tmdpjun"</formula>
    </cfRule>
  </conditionalFormatting>
  <conditionalFormatting sqref="B255:C255">
    <cfRule type="expression" dxfId="46" priority="27" stopIfTrue="1">
      <formula>$A255="Pump"</formula>
    </cfRule>
  </conditionalFormatting>
  <conditionalFormatting sqref="B255:C255">
    <cfRule type="expression" dxfId="45" priority="28" stopIfTrue="1">
      <formula>$A255="Tmdpvol"</formula>
    </cfRule>
  </conditionalFormatting>
  <conditionalFormatting sqref="B255">
    <cfRule type="expression" dxfId="44" priority="29" stopIfTrue="1">
      <formula>$A255="Sngljun"</formula>
    </cfRule>
  </conditionalFormatting>
  <conditionalFormatting sqref="C255">
    <cfRule type="expression" dxfId="43" priority="30" stopIfTrue="1">
      <formula>$A255="Junction"</formula>
    </cfRule>
    <cfRule type="expression" dxfId="42" priority="39" stopIfTrue="1">
      <formula>$A255="Snglvol"</formula>
    </cfRule>
    <cfRule type="expression" dxfId="41" priority="44" stopIfTrue="1">
      <formula>$A255="InitGas"</formula>
    </cfRule>
    <cfRule type="expression" dxfId="40" priority="51" stopIfTrue="1">
      <formula>$A255="Tripvar"</formula>
    </cfRule>
  </conditionalFormatting>
  <conditionalFormatting sqref="C255">
    <cfRule type="expression" dxfId="39" priority="31" stopIfTrue="1">
      <formula>$A255="Sngljun"</formula>
    </cfRule>
  </conditionalFormatting>
  <conditionalFormatting sqref="C255">
    <cfRule type="expression" dxfId="38" priority="32" stopIfTrue="1">
      <formula>$A255="Mtrvlv"</formula>
    </cfRule>
  </conditionalFormatting>
  <conditionalFormatting sqref="C255">
    <cfRule type="expression" dxfId="37" priority="33" stopIfTrue="1">
      <formula>$A255="Srvvlv"</formula>
    </cfRule>
  </conditionalFormatting>
  <conditionalFormatting sqref="B255">
    <cfRule type="expression" dxfId="36" priority="34" stopIfTrue="1">
      <formula>$A255="Chkvlv"</formula>
    </cfRule>
    <cfRule type="expression" dxfId="35" priority="40" stopIfTrue="1">
      <formula>$A255="Relapnr"</formula>
    </cfRule>
    <cfRule type="expression" dxfId="34" priority="43" stopIfTrue="1">
      <formula>$A255="InitGas"</formula>
    </cfRule>
    <cfRule type="expression" dxfId="33" priority="47" stopIfTrue="1">
      <formula>$A255="Replacements"</formula>
    </cfRule>
    <cfRule type="expression" dxfId="32" priority="49" stopIfTrue="1">
      <formula>$A255="Custom"</formula>
    </cfRule>
    <cfRule type="expression" dxfId="31" priority="52" stopIfTrue="1">
      <formula>$A255="Triplog"</formula>
    </cfRule>
  </conditionalFormatting>
  <conditionalFormatting sqref="C255">
    <cfRule type="expression" dxfId="30" priority="35" stopIfTrue="1">
      <formula>$A255="Chkvlv"</formula>
    </cfRule>
  </conditionalFormatting>
  <conditionalFormatting sqref="C255">
    <cfRule type="expression" dxfId="29" priority="36" stopIfTrue="1">
      <formula>$A255="Inrvlv"</formula>
    </cfRule>
    <cfRule type="expression" dxfId="28" priority="42" stopIfTrue="1">
      <formula>$A255="Init"</formula>
    </cfRule>
    <cfRule type="expression" dxfId="27" priority="46" stopIfTrue="1">
      <formula>$A255="Timestep"</formula>
    </cfRule>
    <cfRule type="expression" dxfId="26" priority="53" stopIfTrue="1">
      <formula>$A255="Triplog"</formula>
    </cfRule>
  </conditionalFormatting>
  <conditionalFormatting sqref="C255">
    <cfRule type="expression" dxfId="25" priority="37" stopIfTrue="1">
      <formula>$A255="Tmdpjun"</formula>
    </cfRule>
  </conditionalFormatting>
  <conditionalFormatting sqref="B255">
    <cfRule type="expression" dxfId="24" priority="38" stopIfTrue="1">
      <formula>$A255="Snglvol"</formula>
    </cfRule>
    <cfRule type="expression" dxfId="23" priority="41" stopIfTrue="1">
      <formula>$A255="Init"</formula>
    </cfRule>
    <cfRule type="expression" dxfId="22" priority="45" stopIfTrue="1">
      <formula>$A255="Timestep"</formula>
    </cfRule>
    <cfRule type="expression" dxfId="21" priority="48" stopIfTrue="1">
      <formula>$A255="Triggerwords"</formula>
    </cfRule>
    <cfRule type="expression" dxfId="20" priority="50" stopIfTrue="1">
      <formula>$A255="Tripvar"</formula>
    </cfRule>
  </conditionalFormatting>
  <conditionalFormatting sqref="B198">
    <cfRule type="expression" dxfId="19" priority="1" stopIfTrue="1">
      <formula>$A198="Pipe"</formula>
    </cfRule>
  </conditionalFormatting>
  <conditionalFormatting sqref="B198">
    <cfRule type="expression" dxfId="18" priority="2" stopIfTrue="1">
      <formula>$A198="Junction"</formula>
    </cfRule>
  </conditionalFormatting>
  <conditionalFormatting sqref="B198">
    <cfRule type="expression" dxfId="17" priority="3" stopIfTrue="1">
      <formula>$A198="Mtrvlv"</formula>
    </cfRule>
  </conditionalFormatting>
  <conditionalFormatting sqref="B198">
    <cfRule type="expression" dxfId="16" priority="4" stopIfTrue="1">
      <formula>$A198="Srvvlv"</formula>
    </cfRule>
  </conditionalFormatting>
  <conditionalFormatting sqref="B198">
    <cfRule type="expression" dxfId="15" priority="5" stopIfTrue="1">
      <formula>$A198="Inrvlv"</formula>
    </cfRule>
  </conditionalFormatting>
  <conditionalFormatting sqref="B198">
    <cfRule type="expression" dxfId="14" priority="6" stopIfTrue="1">
      <formula>$A198="Tmdpjun"</formula>
    </cfRule>
  </conditionalFormatting>
  <conditionalFormatting sqref="B198">
    <cfRule type="expression" dxfId="13" priority="7" stopIfTrue="1">
      <formula>$A198="Pump"</formula>
    </cfRule>
  </conditionalFormatting>
  <conditionalFormatting sqref="B198">
    <cfRule type="expression" dxfId="12" priority="8" stopIfTrue="1">
      <formula>$A198="Tmdpvol"</formula>
    </cfRule>
  </conditionalFormatting>
  <conditionalFormatting sqref="B198">
    <cfRule type="expression" dxfId="11" priority="9" stopIfTrue="1">
      <formula>$A198="Sngljun"</formula>
    </cfRule>
  </conditionalFormatting>
  <conditionalFormatting sqref="B198">
    <cfRule type="expression" dxfId="10" priority="10" stopIfTrue="1">
      <formula>$A198="Chkvlv"</formula>
    </cfRule>
    <cfRule type="expression" dxfId="9" priority="12" stopIfTrue="1">
      <formula>$A198="Relapnr"</formula>
    </cfRule>
    <cfRule type="expression" dxfId="8" priority="14" stopIfTrue="1">
      <formula>$A198="InitGas"</formula>
    </cfRule>
    <cfRule type="expression" dxfId="7" priority="16" stopIfTrue="1">
      <formula>$A198="Replacements"</formula>
    </cfRule>
    <cfRule type="expression" dxfId="6" priority="18" stopIfTrue="1">
      <formula>$A198="Custom"</formula>
    </cfRule>
    <cfRule type="expression" dxfId="5" priority="20" stopIfTrue="1">
      <formula>$A198="Triplog"</formula>
    </cfRule>
  </conditionalFormatting>
  <conditionalFormatting sqref="B198">
    <cfRule type="expression" dxfId="4" priority="11" stopIfTrue="1">
      <formula>$A198="Snglvol"</formula>
    </cfRule>
    <cfRule type="expression" dxfId="3" priority="13" stopIfTrue="1">
      <formula>$A198="Init"</formula>
    </cfRule>
    <cfRule type="expression" dxfId="2" priority="15" stopIfTrue="1">
      <formula>$A198="Timestep"</formula>
    </cfRule>
    <cfRule type="expression" dxfId="1" priority="17" stopIfTrue="1">
      <formula>$A198="Triggerwords"</formula>
    </cfRule>
    <cfRule type="expression" dxfId="0" priority="19" stopIfTrue="1">
      <formula>$A198="Tripvar"</formula>
    </cfRule>
  </conditionalFormatting>
  <dataValidations count="2">
    <dataValidation type="list" allowBlank="1" showInputMessage="1" showErrorMessage="1" sqref="B15" xr:uid="{8680303C-EF7D-4F5F-B4E6-2AB02932A995}">
      <formula1>"0,1"</formula1>
    </dataValidation>
    <dataValidation type="list" allowBlank="1" showInputMessage="1" showErrorMessage="1" sqref="B13" xr:uid="{2288B5E5-7A83-4C54-84D1-C6AD182BD7B1}">
      <formula1>"0,1,2"</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CreateInputFile">
                <anchor>
                  <from>
                    <xdr:col>14</xdr:col>
                    <xdr:colOff>38100</xdr:colOff>
                    <xdr:row>0</xdr:row>
                    <xdr:rowOff>438150</xdr:rowOff>
                  </from>
                  <to>
                    <xdr:col>18</xdr:col>
                    <xdr:colOff>19050</xdr:colOff>
                    <xdr:row>1</xdr:row>
                    <xdr:rowOff>171450</xdr:rowOff>
                  </to>
                </anchor>
              </controlPr>
            </control>
          </mc:Choice>
        </mc:AlternateContent>
        <mc:AlternateContent xmlns:mc="http://schemas.openxmlformats.org/markup-compatibility/2006">
          <mc:Choice Requires="x14">
            <control shapeId="25602" r:id="rId5" name="Button 2">
              <controlPr defaultSize="0" print="0" autoFill="0" autoPict="0" macro="[0]!CreateInputFiles">
                <anchor>
                  <from>
                    <xdr:col>18</xdr:col>
                    <xdr:colOff>180975</xdr:colOff>
                    <xdr:row>0</xdr:row>
                    <xdr:rowOff>438150</xdr:rowOff>
                  </from>
                  <to>
                    <xdr:col>21</xdr:col>
                    <xdr:colOff>76200</xdr:colOff>
                    <xdr:row>1</xdr:row>
                    <xdr:rowOff>171450</xdr:rowOff>
                  </to>
                </anchor>
              </controlPr>
            </control>
          </mc:Choice>
        </mc:AlternateContent>
        <mc:AlternateContent xmlns:mc="http://schemas.openxmlformats.org/markup-compatibility/2006">
          <mc:Choice Requires="x14">
            <control shapeId="25603"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5604"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5605"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5606"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5607"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5608" r:id="rId11" name="Button 8">
              <controlPr defaultSize="0" print="0" autoFill="0" autoPict="0" macro="[0]!ModelSummary">
                <anchor>
                  <from>
                    <xdr:col>12</xdr:col>
                    <xdr:colOff>47625</xdr:colOff>
                    <xdr:row>0</xdr:row>
                    <xdr:rowOff>438150</xdr:rowOff>
                  </from>
                  <to>
                    <xdr:col>13</xdr:col>
                    <xdr:colOff>504825</xdr:colOff>
                    <xdr:row>1</xdr:row>
                    <xdr:rowOff>171450</xdr:rowOff>
                  </to>
                </anchor>
              </controlPr>
            </control>
          </mc:Choice>
        </mc:AlternateContent>
        <mc:AlternateContent xmlns:mc="http://schemas.openxmlformats.org/markup-compatibility/2006">
          <mc:Choice Requires="x14">
            <control shapeId="25609" r:id="rId12" name="Button 9">
              <controlPr defaultSize="0" print="0" autoFill="0" autoPict="0" macro="[0]!ProbeOutput">
                <anchor>
                  <from>
                    <xdr:col>10</xdr:col>
                    <xdr:colOff>19050</xdr:colOff>
                    <xdr:row>0</xdr:row>
                    <xdr:rowOff>438150</xdr:rowOff>
                  </from>
                  <to>
                    <xdr:col>11</xdr:col>
                    <xdr:colOff>361950</xdr:colOff>
                    <xdr:row>1</xdr:row>
                    <xdr:rowOff>171450</xdr:rowOff>
                  </to>
                </anchor>
              </controlPr>
            </control>
          </mc:Choice>
        </mc:AlternateContent>
        <mc:AlternateContent xmlns:mc="http://schemas.openxmlformats.org/markup-compatibility/2006">
          <mc:Choice Requires="x14">
            <control shapeId="25610"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5611"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DB60"/>
  <sheetViews>
    <sheetView zoomScaleNormal="100" workbookViewId="0">
      <pane xSplit="5" topLeftCell="F1" activePane="topRight" state="frozenSplit"/>
      <selection pane="topRight" activeCell="J15" sqref="J15"/>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106" width="10.28515625" customWidth="1"/>
  </cols>
  <sheetData>
    <row r="1" spans="1:106" ht="26.25" x14ac:dyDescent="0.4">
      <c r="A1" s="115" t="s">
        <v>324</v>
      </c>
      <c r="B1" s="51"/>
      <c r="C1" s="49"/>
    </row>
    <row r="2" spans="1:106" ht="15" x14ac:dyDescent="0.2">
      <c r="B2" s="50" t="s">
        <v>272</v>
      </c>
      <c r="C2" s="113">
        <v>1</v>
      </c>
    </row>
    <row r="3" spans="1:106" ht="15" x14ac:dyDescent="0.2">
      <c r="B3" s="50" t="s">
        <v>317</v>
      </c>
      <c r="C3" s="113" t="s">
        <v>328</v>
      </c>
    </row>
    <row r="4" spans="1:106" ht="15" x14ac:dyDescent="0.25">
      <c r="B4" s="50" t="s">
        <v>318</v>
      </c>
      <c r="C4" s="114" t="e">
        <f>INDEX(TestMatrixVariableValues,C2,MATCH(C3,TestMatrixVariableNames,0))</f>
        <v>#N/A</v>
      </c>
    </row>
    <row r="5" spans="1:106" x14ac:dyDescent="0.2">
      <c r="F5" s="44" t="s">
        <v>294</v>
      </c>
      <c r="G5" s="45"/>
    </row>
    <row r="6" spans="1:106" x14ac:dyDescent="0.2">
      <c r="A6" s="110" t="s">
        <v>297</v>
      </c>
      <c r="B6" s="91" t="s">
        <v>292</v>
      </c>
      <c r="C6" s="52" t="s">
        <v>24</v>
      </c>
      <c r="D6" s="52" t="s">
        <v>293</v>
      </c>
      <c r="E6" s="91" t="s">
        <v>296</v>
      </c>
      <c r="F6" s="48" t="s">
        <v>295</v>
      </c>
      <c r="G6" s="48" t="s">
        <v>43</v>
      </c>
      <c r="H6" s="48" t="s">
        <v>46</v>
      </c>
      <c r="I6" s="48" t="s">
        <v>49</v>
      </c>
      <c r="J6" s="48" t="s">
        <v>44</v>
      </c>
      <c r="K6" s="48" t="s">
        <v>47</v>
      </c>
      <c r="L6" s="48" t="s">
        <v>50</v>
      </c>
      <c r="M6" s="48" t="s">
        <v>45</v>
      </c>
      <c r="N6" s="48" t="s">
        <v>48</v>
      </c>
      <c r="O6" s="48" t="s">
        <v>51</v>
      </c>
      <c r="P6" s="47"/>
      <c r="Q6" s="47" t="s">
        <v>447</v>
      </c>
      <c r="R6" s="47" t="s">
        <v>448</v>
      </c>
      <c r="S6" s="47" t="s">
        <v>369</v>
      </c>
      <c r="T6" s="47" t="s">
        <v>452</v>
      </c>
      <c r="U6" s="47"/>
      <c r="V6" s="47" t="s">
        <v>370</v>
      </c>
      <c r="W6" s="48" t="s">
        <v>371</v>
      </c>
      <c r="X6" s="48" t="s">
        <v>372</v>
      </c>
      <c r="Y6" s="48"/>
      <c r="Z6" s="47" t="s">
        <v>376</v>
      </c>
      <c r="AA6" s="47" t="s">
        <v>377</v>
      </c>
      <c r="AB6" s="47"/>
      <c r="AC6" s="47" t="s">
        <v>383</v>
      </c>
      <c r="AD6" s="47"/>
      <c r="AE6" s="47"/>
      <c r="AF6" s="47"/>
      <c r="AG6" s="47"/>
      <c r="AH6" s="47"/>
      <c r="AI6" s="47"/>
      <c r="AJ6" s="47"/>
      <c r="AK6" s="47"/>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271</v>
      </c>
      <c r="C7" s="93" t="s">
        <v>391</v>
      </c>
      <c r="D7" s="109" t="str">
        <f>IF(B7="","",IF(ISERROR(FIND("\",B7)),CONCATENATE(B7,"\",B7,".i"),CONCATENATE(B7,".i")))</f>
        <v>Case1\Case1.i</v>
      </c>
      <c r="E7" s="109" t="str">
        <f>IF(B7="","",IF(ISERROR(FIND("\",B7)),B7,RIGHT(B7,LEN(B7)-FIND("\",B7))))</f>
        <v>Case1</v>
      </c>
      <c r="F7" s="107" t="s">
        <v>28</v>
      </c>
      <c r="G7" s="107">
        <v>600</v>
      </c>
      <c r="H7" s="107">
        <v>600.1</v>
      </c>
      <c r="I7" s="107">
        <v>600.6</v>
      </c>
      <c r="J7" s="108">
        <v>0.02</v>
      </c>
      <c r="K7" s="108">
        <v>1.0000000000000001E-5</v>
      </c>
      <c r="L7" s="108">
        <v>1E-3</v>
      </c>
      <c r="M7" s="107">
        <v>50</v>
      </c>
      <c r="N7" s="107">
        <v>50</v>
      </c>
      <c r="O7" s="107">
        <v>10</v>
      </c>
      <c r="P7" s="107"/>
      <c r="Q7" s="107">
        <v>85</v>
      </c>
      <c r="R7" s="107">
        <f t="shared" ref="R7:R12" si="0">(562.2-32)*5/9</f>
        <v>294.55555555555554</v>
      </c>
      <c r="S7" s="107">
        <f>25000*0.45359237/3600</f>
        <v>3.1499470138888888</v>
      </c>
      <c r="T7" s="107">
        <v>10</v>
      </c>
      <c r="U7" s="107"/>
      <c r="V7" s="107">
        <v>3</v>
      </c>
      <c r="W7" s="107">
        <v>35</v>
      </c>
      <c r="X7" s="107">
        <f>375000*0.45359237/3600</f>
        <v>47.249205208333336</v>
      </c>
      <c r="Y7" s="107"/>
      <c r="Z7" s="107">
        <v>1</v>
      </c>
      <c r="AA7" s="107">
        <v>1</v>
      </c>
      <c r="AB7" s="107"/>
      <c r="AC7" s="107" t="s">
        <v>375</v>
      </c>
      <c r="AD7" s="107"/>
      <c r="AE7" s="107"/>
      <c r="AF7" s="107"/>
      <c r="AG7" s="107"/>
      <c r="AH7" s="107"/>
      <c r="AI7" s="107"/>
      <c r="AJ7" s="107"/>
      <c r="AK7" s="107"/>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285</v>
      </c>
      <c r="C8" s="93" t="s">
        <v>388</v>
      </c>
      <c r="D8" s="109" t="str">
        <f>IF(B8="","",IF(ISERROR(FIND("\",B8)),CONCATENATE(B8,"\",B8,".i"),CONCATENATE(B8,".i")))</f>
        <v>Case2\Case2.i</v>
      </c>
      <c r="E8" s="109" t="str">
        <f>IF(B8="","",IF(ISERROR(FIND("\",B8)),B8,RIGHT(B8,LEN(B8)-FIND("\",B8))))</f>
        <v>Case2</v>
      </c>
      <c r="F8" s="107" t="s">
        <v>28</v>
      </c>
      <c r="G8" s="107">
        <v>600</v>
      </c>
      <c r="H8" s="107">
        <v>600.1</v>
      </c>
      <c r="I8" s="107">
        <v>600.6</v>
      </c>
      <c r="J8" s="108">
        <v>0.02</v>
      </c>
      <c r="K8" s="108">
        <v>1.0000000000000001E-5</v>
      </c>
      <c r="L8" s="108">
        <v>1E-3</v>
      </c>
      <c r="M8" s="107">
        <v>50</v>
      </c>
      <c r="N8" s="107">
        <v>50</v>
      </c>
      <c r="O8" s="107">
        <v>10</v>
      </c>
      <c r="P8" s="107"/>
      <c r="Q8" s="107">
        <v>85</v>
      </c>
      <c r="R8" s="107">
        <f t="shared" si="0"/>
        <v>294.55555555555554</v>
      </c>
      <c r="S8" s="107">
        <f t="shared" ref="S8:S9" si="1">25000*0.45359237/3600</f>
        <v>3.1499470138888888</v>
      </c>
      <c r="T8" s="107">
        <v>10</v>
      </c>
      <c r="U8" s="107"/>
      <c r="V8" s="107">
        <v>3</v>
      </c>
      <c r="W8" s="107">
        <v>35</v>
      </c>
      <c r="X8" s="107">
        <f t="shared" ref="W8:X12" si="2">375000*0.45359237/3600</f>
        <v>47.249205208333336</v>
      </c>
      <c r="Y8" s="107"/>
      <c r="Z8" s="107">
        <v>1</v>
      </c>
      <c r="AA8" s="107">
        <v>1</v>
      </c>
      <c r="AB8" s="107"/>
      <c r="AC8" s="107" t="s">
        <v>384</v>
      </c>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385</v>
      </c>
      <c r="C9" s="93" t="s">
        <v>389</v>
      </c>
      <c r="D9" s="109" t="str">
        <f t="shared" ref="D9:D16" si="3">IF(B9="","",IF(ISERROR(FIND("\",B9)),CONCATENATE(B9,"\",B9,".i"),CONCATENATE(B9,".i")))</f>
        <v>Case3\Case3.i</v>
      </c>
      <c r="E9" s="109" t="str">
        <f t="shared" ref="E9:E14" si="4">IF(B9="","",IF(ISERROR(FIND("\",B9)),B9,RIGHT(B9,LEN(B9)-FIND("\",B9))))</f>
        <v>Case3</v>
      </c>
      <c r="F9" s="107" t="s">
        <v>28</v>
      </c>
      <c r="G9" s="107">
        <v>600</v>
      </c>
      <c r="H9" s="107">
        <v>600.1</v>
      </c>
      <c r="I9" s="107">
        <v>600.6</v>
      </c>
      <c r="J9" s="108">
        <v>0.02</v>
      </c>
      <c r="K9" s="108">
        <v>1.0000000000000001E-5</v>
      </c>
      <c r="L9" s="108">
        <v>1E-3</v>
      </c>
      <c r="M9" s="107">
        <v>50</v>
      </c>
      <c r="N9" s="107">
        <v>50</v>
      </c>
      <c r="O9" s="107">
        <v>10</v>
      </c>
      <c r="P9" s="107"/>
      <c r="Q9" s="107">
        <v>85</v>
      </c>
      <c r="R9" s="107">
        <f t="shared" si="0"/>
        <v>294.55555555555554</v>
      </c>
      <c r="S9" s="107">
        <f t="shared" si="1"/>
        <v>3.1499470138888888</v>
      </c>
      <c r="T9" s="107">
        <v>10</v>
      </c>
      <c r="U9" s="107"/>
      <c r="V9" s="107">
        <v>3</v>
      </c>
      <c r="W9" s="107">
        <v>35</v>
      </c>
      <c r="X9" s="107">
        <f t="shared" si="2"/>
        <v>47.249205208333336</v>
      </c>
      <c r="Y9" s="107"/>
      <c r="Z9" s="107">
        <v>1</v>
      </c>
      <c r="AA9" s="107">
        <v>1</v>
      </c>
      <c r="AB9" s="107"/>
      <c r="AC9" s="107" t="s">
        <v>386</v>
      </c>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 t="shared" ref="A10:A17" si="5">ROW()-ROW($A$6)</f>
        <v>4</v>
      </c>
      <c r="B10" s="92" t="s">
        <v>390</v>
      </c>
      <c r="C10" s="93" t="s">
        <v>394</v>
      </c>
      <c r="D10" s="109" t="str">
        <f t="shared" si="3"/>
        <v>Case4\Case4.i</v>
      </c>
      <c r="E10" s="109" t="str">
        <f t="shared" si="4"/>
        <v>Case4</v>
      </c>
      <c r="F10" s="107" t="s">
        <v>28</v>
      </c>
      <c r="G10" s="107">
        <v>600</v>
      </c>
      <c r="H10" s="107">
        <v>600.1</v>
      </c>
      <c r="I10" s="107">
        <v>600.6</v>
      </c>
      <c r="J10" s="108">
        <v>0.02</v>
      </c>
      <c r="K10" s="108">
        <v>1.0000000000000001E-5</v>
      </c>
      <c r="L10" s="108">
        <v>1E-3</v>
      </c>
      <c r="M10" s="107">
        <v>50</v>
      </c>
      <c r="N10" s="107">
        <v>50</v>
      </c>
      <c r="O10" s="107">
        <v>10</v>
      </c>
      <c r="P10" s="107"/>
      <c r="Q10" s="107">
        <v>85</v>
      </c>
      <c r="R10" s="107">
        <f t="shared" si="0"/>
        <v>294.55555555555554</v>
      </c>
      <c r="S10" s="107">
        <f>55000*0.45359237/3600</f>
        <v>6.9298834305555559</v>
      </c>
      <c r="T10" s="107">
        <v>10</v>
      </c>
      <c r="U10" s="107"/>
      <c r="V10" s="107">
        <v>3</v>
      </c>
      <c r="W10" s="107">
        <v>35</v>
      </c>
      <c r="X10" s="107">
        <f t="shared" si="2"/>
        <v>47.249205208333336</v>
      </c>
      <c r="Y10" s="107"/>
      <c r="Z10" s="107">
        <v>1</v>
      </c>
      <c r="AA10" s="107">
        <v>1</v>
      </c>
      <c r="AB10" s="107"/>
      <c r="AC10" s="107" t="s">
        <v>375</v>
      </c>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si="5"/>
        <v>5</v>
      </c>
      <c r="B11" s="92" t="s">
        <v>392</v>
      </c>
      <c r="C11" s="93" t="s">
        <v>395</v>
      </c>
      <c r="D11" s="109" t="str">
        <f t="shared" si="3"/>
        <v>Case5\Case5.i</v>
      </c>
      <c r="E11" s="109" t="str">
        <f t="shared" si="4"/>
        <v>Case5</v>
      </c>
      <c r="F11" s="107" t="s">
        <v>28</v>
      </c>
      <c r="G11" s="107">
        <v>600</v>
      </c>
      <c r="H11" s="107">
        <v>600.1</v>
      </c>
      <c r="I11" s="107">
        <v>600.6</v>
      </c>
      <c r="J11" s="108">
        <v>0.02</v>
      </c>
      <c r="K11" s="108">
        <v>1.0000000000000001E-5</v>
      </c>
      <c r="L11" s="108">
        <v>1E-3</v>
      </c>
      <c r="M11" s="107">
        <v>50</v>
      </c>
      <c r="N11" s="107">
        <v>50</v>
      </c>
      <c r="O11" s="107">
        <v>10</v>
      </c>
      <c r="P11" s="107"/>
      <c r="Q11" s="107">
        <v>85</v>
      </c>
      <c r="R11" s="107">
        <f t="shared" si="0"/>
        <v>294.55555555555554</v>
      </c>
      <c r="S11" s="107">
        <f>55000*0.45359237/3600</f>
        <v>6.9298834305555559</v>
      </c>
      <c r="T11" s="107">
        <v>10</v>
      </c>
      <c r="U11" s="107"/>
      <c r="V11" s="107">
        <v>3</v>
      </c>
      <c r="W11" s="107">
        <v>35</v>
      </c>
      <c r="X11" s="107">
        <f t="shared" si="2"/>
        <v>47.249205208333336</v>
      </c>
      <c r="Y11" s="107"/>
      <c r="Z11" s="107">
        <v>1</v>
      </c>
      <c r="AA11" s="107">
        <v>1</v>
      </c>
      <c r="AB11" s="107"/>
      <c r="AC11" s="107" t="s">
        <v>384</v>
      </c>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5"/>
        <v>6</v>
      </c>
      <c r="B12" s="92" t="s">
        <v>393</v>
      </c>
      <c r="C12" s="93" t="s">
        <v>396</v>
      </c>
      <c r="D12" s="109" t="str">
        <f t="shared" si="3"/>
        <v>Case6\Case6.i</v>
      </c>
      <c r="E12" s="109" t="str">
        <f t="shared" si="4"/>
        <v>Case6</v>
      </c>
      <c r="F12" s="107" t="s">
        <v>28</v>
      </c>
      <c r="G12" s="107">
        <v>600</v>
      </c>
      <c r="H12" s="107">
        <v>600.1</v>
      </c>
      <c r="I12" s="107">
        <v>600.6</v>
      </c>
      <c r="J12" s="108">
        <v>0.02</v>
      </c>
      <c r="K12" s="108">
        <v>1.0000000000000001E-5</v>
      </c>
      <c r="L12" s="108">
        <v>1E-3</v>
      </c>
      <c r="M12" s="107">
        <v>50</v>
      </c>
      <c r="N12" s="107">
        <v>50</v>
      </c>
      <c r="O12" s="107">
        <v>10</v>
      </c>
      <c r="P12" s="107"/>
      <c r="Q12" s="107">
        <v>85</v>
      </c>
      <c r="R12" s="107">
        <f t="shared" si="0"/>
        <v>294.55555555555554</v>
      </c>
      <c r="S12" s="107">
        <f>55000*0.45359237/3600</f>
        <v>6.9298834305555559</v>
      </c>
      <c r="T12" s="107">
        <v>10</v>
      </c>
      <c r="U12" s="107"/>
      <c r="V12" s="107">
        <v>3</v>
      </c>
      <c r="W12" s="107">
        <v>35</v>
      </c>
      <c r="X12" s="107">
        <f t="shared" si="2"/>
        <v>47.249205208333336</v>
      </c>
      <c r="Y12" s="107"/>
      <c r="Z12" s="107">
        <v>1</v>
      </c>
      <c r="AA12" s="107">
        <v>1</v>
      </c>
      <c r="AB12" s="107"/>
      <c r="AC12" s="107" t="s">
        <v>386</v>
      </c>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5"/>
        <v>7</v>
      </c>
      <c r="B13" s="92"/>
      <c r="C13" s="93"/>
      <c r="D13" s="109" t="str">
        <f t="shared" si="3"/>
        <v/>
      </c>
      <c r="E13" s="109" t="str">
        <f t="shared" si="4"/>
        <v/>
      </c>
      <c r="F13" s="107"/>
      <c r="G13" s="107"/>
      <c r="H13" s="107"/>
      <c r="I13" s="107"/>
      <c r="J13" s="108"/>
      <c r="K13" s="108"/>
      <c r="L13" s="108"/>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5"/>
        <v>8</v>
      </c>
      <c r="B14" s="92"/>
      <c r="C14" s="93"/>
      <c r="D14" s="109" t="str">
        <f t="shared" si="3"/>
        <v/>
      </c>
      <c r="E14" s="109" t="str">
        <f t="shared" si="4"/>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5"/>
        <v>9</v>
      </c>
      <c r="B15" s="92"/>
      <c r="C15" s="93"/>
      <c r="D15" s="109" t="str">
        <f t="shared" si="3"/>
        <v/>
      </c>
      <c r="E15" s="109" t="str">
        <f>IF(B15="","",IF(ISERROR(FIND("\",B15)),B15,RIGHT(B15,LEN(B15)-FIND("\",B15))))</f>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5"/>
        <v>10</v>
      </c>
      <c r="B16" s="92"/>
      <c r="C16" s="93"/>
      <c r="D16" s="109" t="str">
        <f t="shared" si="3"/>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5"/>
        <v>11</v>
      </c>
      <c r="B17" s="92"/>
      <c r="C17" s="93"/>
      <c r="D17" s="109" t="str">
        <f>IF(B17="","",IF(ISERROR(FIND("\",B17)),CONCATENATE(B17,"\",B17,".i"),CONCATENATE(B17,".i")))</f>
        <v/>
      </c>
      <c r="E17" s="109" t="str">
        <f>IF(B17="","",IF(ISERROR(FIND("\",B17)),B17,RIGHT(B17,LEN(B17)-FIND("\",B17))))</f>
        <v/>
      </c>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93"/>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x14ac:dyDescent="0.2">
      <c r="E18" s="46"/>
      <c r="F18" s="40"/>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6"/>
    </row>
    <row r="19" spans="1:106" x14ac:dyDescent="0.2">
      <c r="E19" s="46"/>
      <c r="F19" s="40"/>
      <c r="G19" s="123"/>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2">
    <pageSetUpPr fitToPage="1"/>
  </sheetPr>
  <dimension ref="D30:F39"/>
  <sheetViews>
    <sheetView zoomScaleNormal="100" workbookViewId="0">
      <selection activeCell="E21" sqref="E21"/>
    </sheetView>
  </sheetViews>
  <sheetFormatPr defaultRowHeight="12.75" x14ac:dyDescent="0.2"/>
  <cols>
    <col min="1" max="16384" width="9.140625" style="53"/>
  </cols>
  <sheetData>
    <row r="30" spans="4:6" ht="13.5" thickBot="1" x14ac:dyDescent="0.25">
      <c r="D30" s="121" t="s">
        <v>397</v>
      </c>
      <c r="E30" s="122"/>
      <c r="F30" s="122" t="s">
        <v>420</v>
      </c>
    </row>
    <row r="31" spans="4:6" ht="13.5" thickTop="1" x14ac:dyDescent="0.2">
      <c r="D31" s="53" t="s">
        <v>398</v>
      </c>
      <c r="F31" s="53" t="s">
        <v>399</v>
      </c>
    </row>
    <row r="32" spans="4:6" x14ac:dyDescent="0.2">
      <c r="D32" s="53" t="s">
        <v>400</v>
      </c>
      <c r="F32" s="53" t="s">
        <v>401</v>
      </c>
    </row>
    <row r="33" spans="4:6" x14ac:dyDescent="0.2">
      <c r="D33" s="53" t="s">
        <v>403</v>
      </c>
      <c r="F33" s="53" t="s">
        <v>402</v>
      </c>
    </row>
    <row r="34" spans="4:6" x14ac:dyDescent="0.2">
      <c r="D34" s="53" t="s">
        <v>404</v>
      </c>
      <c r="F34" s="53" t="s">
        <v>405</v>
      </c>
    </row>
    <row r="35" spans="4:6" x14ac:dyDescent="0.2">
      <c r="D35" s="80" t="s">
        <v>431</v>
      </c>
      <c r="F35" s="53" t="s">
        <v>407</v>
      </c>
    </row>
    <row r="36" spans="4:6" x14ac:dyDescent="0.2">
      <c r="D36" s="53" t="s">
        <v>406</v>
      </c>
      <c r="F36" s="53" t="s">
        <v>407</v>
      </c>
    </row>
    <row r="37" spans="4:6" x14ac:dyDescent="0.2">
      <c r="D37" s="53" t="s">
        <v>408</v>
      </c>
      <c r="F37" s="53" t="s">
        <v>409</v>
      </c>
    </row>
    <row r="38" spans="4:6" x14ac:dyDescent="0.2">
      <c r="D38" s="80" t="s">
        <v>419</v>
      </c>
      <c r="F38" s="80" t="s">
        <v>421</v>
      </c>
    </row>
    <row r="39" spans="4:6" x14ac:dyDescent="0.2">
      <c r="D39" s="80" t="s">
        <v>422</v>
      </c>
      <c r="F39" s="80" t="s">
        <v>423</v>
      </c>
    </row>
  </sheetData>
  <phoneticPr fontId="33" type="noConversion"/>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64</v>
      </c>
    </row>
    <row r="2" spans="1:2" ht="13.5" customHeight="1" x14ac:dyDescent="0.2">
      <c r="A2" s="80" t="s">
        <v>257</v>
      </c>
    </row>
    <row r="4" spans="1:2" ht="15.75" x14ac:dyDescent="0.25">
      <c r="A4" s="72" t="s">
        <v>65</v>
      </c>
    </row>
    <row r="5" spans="1:2" x14ac:dyDescent="0.2">
      <c r="A5" s="53" t="s">
        <v>66</v>
      </c>
    </row>
    <row r="6" spans="1:2" x14ac:dyDescent="0.2">
      <c r="A6" s="53" t="s">
        <v>67</v>
      </c>
    </row>
    <row r="11" spans="1:2" ht="15.75" x14ac:dyDescent="0.25">
      <c r="A11" s="72" t="s">
        <v>68</v>
      </c>
    </row>
    <row r="12" spans="1:2" x14ac:dyDescent="0.2">
      <c r="A12" s="53" t="s">
        <v>69</v>
      </c>
    </row>
    <row r="15" spans="1:2" x14ac:dyDescent="0.2">
      <c r="A15" s="70" t="s">
        <v>70</v>
      </c>
      <c r="B15" s="70" t="s">
        <v>71</v>
      </c>
    </row>
    <row r="17" spans="1:2" ht="13.5" x14ac:dyDescent="0.25">
      <c r="A17" s="71" t="s">
        <v>24</v>
      </c>
      <c r="B17" s="53" t="s">
        <v>94</v>
      </c>
    </row>
    <row r="18" spans="1:2" ht="13.5" x14ac:dyDescent="0.25">
      <c r="A18" s="71" t="s">
        <v>25</v>
      </c>
      <c r="B18" s="53" t="s">
        <v>95</v>
      </c>
    </row>
    <row r="19" spans="1:2" ht="13.5" x14ac:dyDescent="0.25">
      <c r="A19" s="71" t="s">
        <v>26</v>
      </c>
      <c r="B19" s="53" t="s">
        <v>96</v>
      </c>
    </row>
    <row r="20" spans="1:2" ht="13.5" x14ac:dyDescent="0.25">
      <c r="A20" s="71" t="s">
        <v>27</v>
      </c>
      <c r="B20" s="53" t="s">
        <v>97</v>
      </c>
    </row>
    <row r="21" spans="1:2" ht="13.5" x14ac:dyDescent="0.25">
      <c r="A21" s="71" t="s">
        <v>30</v>
      </c>
      <c r="B21" s="53" t="s">
        <v>98</v>
      </c>
    </row>
    <row r="22" spans="1:2" ht="13.5" x14ac:dyDescent="0.25">
      <c r="A22" s="71" t="s">
        <v>31</v>
      </c>
      <c r="B22" s="53" t="s">
        <v>99</v>
      </c>
    </row>
    <row r="23" spans="1:2" ht="13.5" x14ac:dyDescent="0.25">
      <c r="A23" s="71" t="s">
        <v>32</v>
      </c>
      <c r="B23" s="53" t="s">
        <v>100</v>
      </c>
    </row>
    <row r="24" spans="1:2" ht="13.5" x14ac:dyDescent="0.25">
      <c r="A24" s="71" t="s">
        <v>33</v>
      </c>
      <c r="B24" s="53" t="s">
        <v>101</v>
      </c>
    </row>
    <row r="25" spans="1:2" ht="13.5" x14ac:dyDescent="0.25">
      <c r="A25" s="71"/>
    </row>
    <row r="26" spans="1:2" ht="13.5" x14ac:dyDescent="0.25">
      <c r="A26" s="71"/>
    </row>
    <row r="27" spans="1:2" ht="13.5" x14ac:dyDescent="0.25">
      <c r="A27" s="71" t="s">
        <v>41</v>
      </c>
      <c r="B27" s="53" t="s">
        <v>84</v>
      </c>
    </row>
    <row r="28" spans="1:2" ht="13.5" x14ac:dyDescent="0.25">
      <c r="A28" s="71" t="s">
        <v>39</v>
      </c>
      <c r="B28" s="53" t="s">
        <v>85</v>
      </c>
    </row>
    <row r="29" spans="1:2" ht="13.5" x14ac:dyDescent="0.25">
      <c r="A29" s="71" t="s">
        <v>62</v>
      </c>
      <c r="B29" s="53" t="s">
        <v>88</v>
      </c>
    </row>
    <row r="30" spans="1:2" ht="13.5" x14ac:dyDescent="0.25">
      <c r="A30" s="71" t="s">
        <v>52</v>
      </c>
      <c r="B30" s="53" t="s">
        <v>87</v>
      </c>
    </row>
    <row r="31" spans="1:2" ht="13.5" x14ac:dyDescent="0.25">
      <c r="A31" s="71" t="s">
        <v>72</v>
      </c>
      <c r="B31" s="53" t="s">
        <v>86</v>
      </c>
    </row>
    <row r="32" spans="1:2" ht="13.5" x14ac:dyDescent="0.25">
      <c r="A32" s="71" t="s">
        <v>57</v>
      </c>
      <c r="B32" s="53" t="s">
        <v>89</v>
      </c>
    </row>
    <row r="33" spans="1:2" ht="13.5" x14ac:dyDescent="0.25">
      <c r="A33" s="71" t="s">
        <v>75</v>
      </c>
      <c r="B33" s="53" t="s">
        <v>90</v>
      </c>
    </row>
    <row r="34" spans="1:2" ht="13.5" x14ac:dyDescent="0.25">
      <c r="A34" s="71" t="s">
        <v>37</v>
      </c>
      <c r="B34" s="53" t="s">
        <v>91</v>
      </c>
    </row>
    <row r="35" spans="1:2" ht="13.5" x14ac:dyDescent="0.25">
      <c r="A35" s="71" t="s">
        <v>73</v>
      </c>
      <c r="B35" s="53" t="s">
        <v>92</v>
      </c>
    </row>
    <row r="36" spans="1:2" ht="13.5" x14ac:dyDescent="0.25">
      <c r="A36" s="71" t="s">
        <v>74</v>
      </c>
      <c r="B36" s="53" t="s">
        <v>93</v>
      </c>
    </row>
    <row r="37" spans="1:2" ht="13.5" x14ac:dyDescent="0.25">
      <c r="A37" s="71" t="s">
        <v>55</v>
      </c>
      <c r="B37" s="53" t="s">
        <v>55</v>
      </c>
    </row>
    <row r="38" spans="1:2" ht="13.5" x14ac:dyDescent="0.25">
      <c r="A38" s="71"/>
    </row>
    <row r="39" spans="1:2" ht="13.5" x14ac:dyDescent="0.25">
      <c r="A39" s="71" t="s">
        <v>35</v>
      </c>
      <c r="B39" s="53" t="s">
        <v>81</v>
      </c>
    </row>
    <row r="40" spans="1:2" ht="13.5" x14ac:dyDescent="0.25">
      <c r="A40" s="71" t="s">
        <v>36</v>
      </c>
      <c r="B40" s="53" t="s">
        <v>82</v>
      </c>
    </row>
    <row r="41" spans="1:2" ht="13.5" x14ac:dyDescent="0.25">
      <c r="A41" s="71" t="s">
        <v>76</v>
      </c>
      <c r="B41" s="53" t="s">
        <v>83</v>
      </c>
    </row>
    <row r="42" spans="1:2" ht="13.5" x14ac:dyDescent="0.25">
      <c r="A42" s="71"/>
    </row>
    <row r="43" spans="1:2" ht="13.5" x14ac:dyDescent="0.25">
      <c r="A43" s="71" t="s">
        <v>77</v>
      </c>
      <c r="B43" s="53" t="s">
        <v>80</v>
      </c>
    </row>
    <row r="44" spans="1:2" ht="13.5" x14ac:dyDescent="0.25">
      <c r="A44" s="71" t="s">
        <v>78</v>
      </c>
      <c r="B44" s="53" t="s">
        <v>79</v>
      </c>
    </row>
    <row r="45" spans="1:2" ht="13.5" x14ac:dyDescent="0.25">
      <c r="A45" s="71" t="s">
        <v>203</v>
      </c>
      <c r="B45" s="53" t="s">
        <v>206</v>
      </c>
    </row>
    <row r="46" spans="1:2" ht="13.5" x14ac:dyDescent="0.25">
      <c r="A46" s="71" t="s">
        <v>204</v>
      </c>
      <c r="B46" s="53" t="s">
        <v>205</v>
      </c>
    </row>
    <row r="47" spans="1:2" ht="13.5" x14ac:dyDescent="0.25">
      <c r="A47" s="71"/>
    </row>
    <row r="48" spans="1:2" ht="13.5" x14ac:dyDescent="0.25">
      <c r="A48" s="71" t="s">
        <v>34</v>
      </c>
      <c r="B48" s="53" t="s">
        <v>102</v>
      </c>
    </row>
    <row r="49" spans="1:2" ht="13.5" x14ac:dyDescent="0.25">
      <c r="A49" s="71" t="s">
        <v>42</v>
      </c>
      <c r="B49" s="53" t="s">
        <v>119</v>
      </c>
    </row>
    <row r="50" spans="1:2" ht="13.5" x14ac:dyDescent="0.25">
      <c r="A50" s="71" t="s">
        <v>287</v>
      </c>
      <c r="B50" s="53" t="s">
        <v>331</v>
      </c>
    </row>
    <row r="52" spans="1:2" x14ac:dyDescent="0.2">
      <c r="A52" s="53" t="s">
        <v>259</v>
      </c>
    </row>
    <row r="53" spans="1:2" x14ac:dyDescent="0.2">
      <c r="A53" s="53" t="s">
        <v>258</v>
      </c>
    </row>
    <row r="54" spans="1:2" x14ac:dyDescent="0.2">
      <c r="A54" s="53" t="s">
        <v>260</v>
      </c>
    </row>
    <row r="55" spans="1:2" x14ac:dyDescent="0.2">
      <c r="A55" s="53" t="s">
        <v>261</v>
      </c>
    </row>
    <row r="59" spans="1:2" ht="15.75" x14ac:dyDescent="0.25">
      <c r="A59" s="72" t="s">
        <v>103</v>
      </c>
    </row>
    <row r="60" spans="1:2" x14ac:dyDescent="0.2">
      <c r="A60" s="53" t="s">
        <v>104</v>
      </c>
    </row>
    <row r="61" spans="1:2" x14ac:dyDescent="0.2">
      <c r="A61" s="53" t="s">
        <v>105</v>
      </c>
    </row>
    <row r="62" spans="1:2" x14ac:dyDescent="0.2">
      <c r="A62" s="53" t="s">
        <v>106</v>
      </c>
    </row>
    <row r="64" spans="1:2" x14ac:dyDescent="0.2">
      <c r="A64" s="53" t="s">
        <v>107</v>
      </c>
    </row>
    <row r="66" spans="1:2" ht="15.75" x14ac:dyDescent="0.25">
      <c r="A66" s="73" t="s">
        <v>110</v>
      </c>
    </row>
    <row r="67" spans="1:2" ht="15.75" x14ac:dyDescent="0.25">
      <c r="A67" s="73" t="s">
        <v>108</v>
      </c>
    </row>
    <row r="68" spans="1:2" ht="15.75" x14ac:dyDescent="0.25">
      <c r="A68" s="73" t="s">
        <v>109</v>
      </c>
    </row>
    <row r="70" spans="1:2" ht="15.75" x14ac:dyDescent="0.25">
      <c r="A70" s="73" t="s">
        <v>113</v>
      </c>
    </row>
    <row r="71" spans="1:2" ht="15.75" x14ac:dyDescent="0.25">
      <c r="A71" s="73" t="s">
        <v>112</v>
      </c>
    </row>
    <row r="72" spans="1:2" ht="15.75" x14ac:dyDescent="0.25">
      <c r="A72" s="73" t="s">
        <v>111</v>
      </c>
    </row>
    <row r="75" spans="1:2" x14ac:dyDescent="0.2">
      <c r="A75" s="70" t="s">
        <v>114</v>
      </c>
    </row>
    <row r="76" spans="1:2" x14ac:dyDescent="0.2">
      <c r="A76" s="53" t="s">
        <v>118</v>
      </c>
    </row>
    <row r="78" spans="1:2" x14ac:dyDescent="0.2">
      <c r="A78" s="53" t="s">
        <v>115</v>
      </c>
    </row>
    <row r="79" spans="1:2" ht="13.5" x14ac:dyDescent="0.25">
      <c r="B79" s="53" t="s">
        <v>116</v>
      </c>
    </row>
    <row r="80" spans="1:2" ht="13.5" x14ac:dyDescent="0.25">
      <c r="B80" s="53" t="s">
        <v>117</v>
      </c>
    </row>
    <row r="82" spans="1:22" x14ac:dyDescent="0.2">
      <c r="A82" s="70" t="s">
        <v>210</v>
      </c>
    </row>
    <row r="83" spans="1:22" x14ac:dyDescent="0.2">
      <c r="A83" s="53" t="s">
        <v>207</v>
      </c>
    </row>
    <row r="85" spans="1:22" x14ac:dyDescent="0.2">
      <c r="A85" s="53" t="s">
        <v>208</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136</v>
      </c>
      <c r="N86" s="74" t="s">
        <v>209</v>
      </c>
      <c r="O86" s="74">
        <v>2</v>
      </c>
      <c r="P86" s="74">
        <v>1</v>
      </c>
      <c r="Q86" s="75" t="s">
        <v>38</v>
      </c>
      <c r="R86" s="75" t="s">
        <v>38</v>
      </c>
      <c r="S86" s="75" t="s">
        <v>38</v>
      </c>
      <c r="T86" s="75" t="s">
        <v>38</v>
      </c>
      <c r="U86" s="74" t="s">
        <v>38</v>
      </c>
      <c r="V86" s="74" t="s">
        <v>38</v>
      </c>
    </row>
    <row r="89" spans="1:22" ht="15.75" x14ac:dyDescent="0.25">
      <c r="A89" s="72" t="s">
        <v>120</v>
      </c>
    </row>
    <row r="90" spans="1:22" x14ac:dyDescent="0.2">
      <c r="A90" s="53" t="s">
        <v>122</v>
      </c>
    </row>
    <row r="91" spans="1:22" x14ac:dyDescent="0.2">
      <c r="A91" s="53" t="s">
        <v>121</v>
      </c>
    </row>
    <row r="93" spans="1:22" x14ac:dyDescent="0.2">
      <c r="A93" s="53" t="s">
        <v>124</v>
      </c>
    </row>
    <row r="94" spans="1:22" x14ac:dyDescent="0.2">
      <c r="A94" s="53" t="s">
        <v>125</v>
      </c>
    </row>
    <row r="96" spans="1:22" x14ac:dyDescent="0.2">
      <c r="A96" s="53" t="s">
        <v>130</v>
      </c>
    </row>
    <row r="97" spans="1:22" ht="13.5" x14ac:dyDescent="0.25">
      <c r="A97" s="74" t="s">
        <v>55</v>
      </c>
      <c r="B97" s="75" t="s">
        <v>38</v>
      </c>
      <c r="C97" s="75" t="s">
        <v>38</v>
      </c>
      <c r="D97" s="75" t="s">
        <v>38</v>
      </c>
      <c r="E97" s="74">
        <v>7.8539816339744835E-3</v>
      </c>
      <c r="F97" s="75" t="s">
        <v>38</v>
      </c>
      <c r="G97" s="75" t="s">
        <v>38</v>
      </c>
      <c r="H97" s="74">
        <v>0</v>
      </c>
      <c r="I97" s="74">
        <v>0</v>
      </c>
      <c r="J97" s="74" t="s">
        <v>128</v>
      </c>
      <c r="K97" s="75" t="s">
        <v>38</v>
      </c>
      <c r="L97" s="75" t="s">
        <v>38</v>
      </c>
      <c r="M97" s="74" t="s">
        <v>126</v>
      </c>
      <c r="N97" s="74" t="s">
        <v>127</v>
      </c>
      <c r="O97" s="74">
        <v>2</v>
      </c>
      <c r="P97" s="74">
        <v>1</v>
      </c>
      <c r="Q97" s="75" t="s">
        <v>38</v>
      </c>
      <c r="R97" s="74">
        <v>0.04</v>
      </c>
      <c r="S97" s="74">
        <v>700</v>
      </c>
      <c r="T97" s="74">
        <v>157.07963267948966</v>
      </c>
      <c r="U97" s="74" t="s">
        <v>38</v>
      </c>
      <c r="V97" s="74" t="s">
        <v>38</v>
      </c>
    </row>
    <row r="99" spans="1:22" x14ac:dyDescent="0.2">
      <c r="A99" s="53" t="s">
        <v>142</v>
      </c>
    </row>
    <row r="101" spans="1:22" ht="13.5" x14ac:dyDescent="0.25">
      <c r="A101" s="76" t="s">
        <v>41</v>
      </c>
      <c r="B101" s="76" t="s">
        <v>133</v>
      </c>
      <c r="C101" s="76">
        <v>0.66300000000000003</v>
      </c>
      <c r="D101" s="76">
        <v>0.2</v>
      </c>
      <c r="E101" s="76">
        <v>4.7685999999999996E-3</v>
      </c>
      <c r="F101" s="76">
        <v>0</v>
      </c>
      <c r="G101" s="76">
        <v>0</v>
      </c>
      <c r="H101" s="76">
        <v>0</v>
      </c>
      <c r="I101" s="76">
        <v>0</v>
      </c>
      <c r="J101" s="76" t="s">
        <v>134</v>
      </c>
      <c r="K101" s="76" t="s">
        <v>135</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136</v>
      </c>
      <c r="C102" s="76">
        <v>0.50600000000000001</v>
      </c>
      <c r="D102" s="76">
        <v>0.2</v>
      </c>
      <c r="E102" s="76">
        <v>4.7685999999999996E-3</v>
      </c>
      <c r="F102" s="76">
        <v>90</v>
      </c>
      <c r="G102" s="76">
        <v>0</v>
      </c>
      <c r="H102" s="76">
        <v>0</v>
      </c>
      <c r="I102" s="76">
        <v>0</v>
      </c>
      <c r="J102" s="76" t="s">
        <v>134</v>
      </c>
      <c r="K102" s="76" t="s">
        <v>135</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137</v>
      </c>
      <c r="K104" s="75" t="s">
        <v>38</v>
      </c>
      <c r="L104" s="75" t="s">
        <v>38</v>
      </c>
      <c r="M104" s="74" t="s">
        <v>136</v>
      </c>
      <c r="N104" s="74" t="s">
        <v>138</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138</v>
      </c>
      <c r="C106" s="76">
        <v>0.51500000000000001</v>
      </c>
      <c r="D106" s="76">
        <v>0.2</v>
      </c>
      <c r="E106" s="76">
        <v>9.1947999999999995E-3</v>
      </c>
      <c r="F106" s="76">
        <v>0</v>
      </c>
      <c r="G106" s="76">
        <v>0</v>
      </c>
      <c r="H106" s="76">
        <v>0</v>
      </c>
      <c r="I106" s="76">
        <v>0</v>
      </c>
      <c r="J106" s="76" t="s">
        <v>139</v>
      </c>
      <c r="K106" s="76" t="s">
        <v>140</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141</v>
      </c>
      <c r="C107" s="76">
        <v>0.88700000000000001</v>
      </c>
      <c r="D107" s="76">
        <v>0.2</v>
      </c>
      <c r="E107" s="76">
        <v>9.1947999999999995E-3</v>
      </c>
      <c r="F107" s="76">
        <v>90</v>
      </c>
      <c r="G107" s="76">
        <v>0</v>
      </c>
      <c r="H107" s="76">
        <v>0</v>
      </c>
      <c r="I107" s="76">
        <v>0</v>
      </c>
      <c r="J107" s="76" t="s">
        <v>139</v>
      </c>
      <c r="K107" s="76" t="s">
        <v>140</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123</v>
      </c>
    </row>
    <row r="112" spans="1:22" x14ac:dyDescent="0.2">
      <c r="A112" s="53" t="s">
        <v>131</v>
      </c>
    </row>
    <row r="113" spans="1:3" ht="13.5" x14ac:dyDescent="0.25">
      <c r="A113" s="58" t="s">
        <v>34</v>
      </c>
      <c r="B113" s="58" t="s">
        <v>129</v>
      </c>
    </row>
    <row r="116" spans="1:3" x14ac:dyDescent="0.2">
      <c r="A116" s="53" t="s">
        <v>269</v>
      </c>
    </row>
    <row r="117" spans="1:3" ht="13.5" x14ac:dyDescent="0.25">
      <c r="A117" s="58" t="s">
        <v>34</v>
      </c>
      <c r="B117" s="58" t="s">
        <v>129</v>
      </c>
      <c r="C117" s="71" t="s">
        <v>132</v>
      </c>
    </row>
    <row r="120" spans="1:3" x14ac:dyDescent="0.2">
      <c r="A120" s="70" t="s">
        <v>195</v>
      </c>
    </row>
    <row r="122" spans="1:3" x14ac:dyDescent="0.2">
      <c r="A122" s="53" t="s">
        <v>143</v>
      </c>
    </row>
    <row r="123" spans="1:3" ht="13.5" x14ac:dyDescent="0.25">
      <c r="A123" s="71" t="s">
        <v>144</v>
      </c>
      <c r="B123" s="53" t="s">
        <v>145</v>
      </c>
    </row>
    <row r="124" spans="1:3" ht="13.5" x14ac:dyDescent="0.25">
      <c r="A124" s="71" t="s">
        <v>146</v>
      </c>
      <c r="B124" s="53" t="s">
        <v>149</v>
      </c>
    </row>
    <row r="125" spans="1:3" ht="13.5" x14ac:dyDescent="0.25">
      <c r="A125" s="71" t="s">
        <v>147</v>
      </c>
      <c r="B125" s="53" t="s">
        <v>148</v>
      </c>
    </row>
    <row r="126" spans="1:3" ht="13.5" x14ac:dyDescent="0.25">
      <c r="A126" s="71" t="s">
        <v>150</v>
      </c>
      <c r="B126" s="53" t="s">
        <v>151</v>
      </c>
    </row>
    <row r="127" spans="1:3" ht="13.5" x14ac:dyDescent="0.25">
      <c r="A127" s="71" t="s">
        <v>152</v>
      </c>
      <c r="B127" s="53" t="s">
        <v>170</v>
      </c>
    </row>
    <row r="128" spans="1:3" ht="13.5" x14ac:dyDescent="0.25">
      <c r="A128" s="71" t="s">
        <v>153</v>
      </c>
      <c r="B128" s="53" t="s">
        <v>171</v>
      </c>
    </row>
    <row r="129" spans="1:2" ht="13.5" x14ac:dyDescent="0.25">
      <c r="A129" s="71" t="s">
        <v>188</v>
      </c>
      <c r="B129" s="53" t="s">
        <v>189</v>
      </c>
    </row>
    <row r="130" spans="1:2" ht="13.5" x14ac:dyDescent="0.25">
      <c r="A130" s="71" t="s">
        <v>154</v>
      </c>
      <c r="B130" s="53" t="s">
        <v>172</v>
      </c>
    </row>
    <row r="131" spans="1:2" ht="13.5" x14ac:dyDescent="0.25">
      <c r="A131" s="71" t="s">
        <v>155</v>
      </c>
      <c r="B131" s="53" t="s">
        <v>173</v>
      </c>
    </row>
    <row r="132" spans="1:2" ht="13.5" x14ac:dyDescent="0.25">
      <c r="A132" s="71" t="s">
        <v>156</v>
      </c>
      <c r="B132" s="53" t="s">
        <v>174</v>
      </c>
    </row>
    <row r="133" spans="1:2" ht="13.5" x14ac:dyDescent="0.25">
      <c r="A133" s="71" t="s">
        <v>157</v>
      </c>
      <c r="B133" s="53" t="s">
        <v>175</v>
      </c>
    </row>
    <row r="134" spans="1:2" ht="13.5" x14ac:dyDescent="0.25">
      <c r="A134" s="71" t="s">
        <v>158</v>
      </c>
      <c r="B134" s="53" t="s">
        <v>176</v>
      </c>
    </row>
    <row r="135" spans="1:2" ht="13.5" x14ac:dyDescent="0.25">
      <c r="A135" s="71" t="s">
        <v>159</v>
      </c>
      <c r="B135" s="53" t="s">
        <v>177</v>
      </c>
    </row>
    <row r="136" spans="1:2" ht="13.5" x14ac:dyDescent="0.25">
      <c r="A136" s="71" t="s">
        <v>160</v>
      </c>
      <c r="B136" s="53" t="s">
        <v>179</v>
      </c>
    </row>
    <row r="137" spans="1:2" ht="13.5" x14ac:dyDescent="0.25">
      <c r="A137" s="71" t="s">
        <v>161</v>
      </c>
      <c r="B137" s="53" t="s">
        <v>178</v>
      </c>
    </row>
    <row r="138" spans="1:2" ht="13.5" x14ac:dyDescent="0.25">
      <c r="A138" s="71" t="s">
        <v>162</v>
      </c>
      <c r="B138" s="53" t="s">
        <v>180</v>
      </c>
    </row>
    <row r="139" spans="1:2" ht="13.5" x14ac:dyDescent="0.25">
      <c r="A139" s="71" t="s">
        <v>163</v>
      </c>
      <c r="B139" s="53" t="s">
        <v>182</v>
      </c>
    </row>
    <row r="140" spans="1:2" ht="13.5" x14ac:dyDescent="0.25">
      <c r="A140" s="71" t="s">
        <v>164</v>
      </c>
      <c r="B140" s="53" t="s">
        <v>183</v>
      </c>
    </row>
    <row r="141" spans="1:2" ht="13.5" x14ac:dyDescent="0.25">
      <c r="A141" s="71" t="s">
        <v>165</v>
      </c>
      <c r="B141" s="53" t="s">
        <v>181</v>
      </c>
    </row>
    <row r="142" spans="1:2" ht="13.5" x14ac:dyDescent="0.25">
      <c r="A142" s="71" t="s">
        <v>166</v>
      </c>
      <c r="B142" s="53" t="s">
        <v>184</v>
      </c>
    </row>
    <row r="143" spans="1:2" ht="13.5" x14ac:dyDescent="0.25">
      <c r="A143" s="71" t="s">
        <v>167</v>
      </c>
      <c r="B143" s="53" t="s">
        <v>185</v>
      </c>
    </row>
    <row r="144" spans="1:2" ht="13.5" x14ac:dyDescent="0.25">
      <c r="A144" s="71" t="s">
        <v>168</v>
      </c>
      <c r="B144" s="53" t="s">
        <v>186</v>
      </c>
    </row>
    <row r="145" spans="1:2" ht="13.5" x14ac:dyDescent="0.25">
      <c r="A145" s="71" t="s">
        <v>169</v>
      </c>
      <c r="B145" s="53" t="s">
        <v>187</v>
      </c>
    </row>
    <row r="146" spans="1:2" ht="13.5" x14ac:dyDescent="0.25">
      <c r="A146" s="71" t="s">
        <v>266</v>
      </c>
    </row>
    <row r="147" spans="1:2" ht="13.5" x14ac:dyDescent="0.25">
      <c r="A147" s="71" t="s">
        <v>267</v>
      </c>
      <c r="B147" s="53" t="s">
        <v>268</v>
      </c>
    </row>
    <row r="148" spans="1:2" ht="13.5" x14ac:dyDescent="0.25">
      <c r="A148" s="71"/>
    </row>
    <row r="149" spans="1:2" x14ac:dyDescent="0.2">
      <c r="A149" s="53" t="s">
        <v>190</v>
      </c>
    </row>
    <row r="150" spans="1:2" ht="13.5" x14ac:dyDescent="0.25">
      <c r="A150" s="71" t="s">
        <v>191</v>
      </c>
      <c r="B150" s="53" t="s">
        <v>192</v>
      </c>
    </row>
    <row r="151" spans="1:2" ht="13.5" x14ac:dyDescent="0.25">
      <c r="A151" s="71" t="s">
        <v>194</v>
      </c>
      <c r="B151" s="53" t="s">
        <v>193</v>
      </c>
    </row>
    <row r="152" spans="1:2" ht="13.5" x14ac:dyDescent="0.25">
      <c r="A152" s="71" t="s">
        <v>266</v>
      </c>
    </row>
    <row r="153" spans="1:2" ht="13.5" x14ac:dyDescent="0.25">
      <c r="A153" s="71" t="s">
        <v>267</v>
      </c>
      <c r="B153" s="53" t="s">
        <v>268</v>
      </c>
    </row>
    <row r="155" spans="1:2" x14ac:dyDescent="0.2">
      <c r="A155" s="70" t="s">
        <v>332</v>
      </c>
    </row>
    <row r="156" spans="1:2" x14ac:dyDescent="0.2">
      <c r="A156" s="53" t="s">
        <v>196</v>
      </c>
    </row>
    <row r="158" spans="1:2" x14ac:dyDescent="0.2">
      <c r="A158" s="53" t="s">
        <v>197</v>
      </c>
    </row>
    <row r="159" spans="1:2" ht="13.5" x14ac:dyDescent="0.25">
      <c r="A159" s="58" t="s">
        <v>287</v>
      </c>
      <c r="B159" s="58" t="s">
        <v>198</v>
      </c>
    </row>
    <row r="161" spans="1:22" x14ac:dyDescent="0.2">
      <c r="A161" s="53" t="s">
        <v>200</v>
      </c>
    </row>
    <row r="162" spans="1:22" ht="13.5" x14ac:dyDescent="0.25">
      <c r="A162" s="58" t="s">
        <v>287</v>
      </c>
      <c r="B162" s="58" t="s">
        <v>199</v>
      </c>
    </row>
    <row r="164" spans="1:22" x14ac:dyDescent="0.2">
      <c r="A164" s="53" t="s">
        <v>201</v>
      </c>
    </row>
    <row r="165" spans="1:22" ht="13.5" x14ac:dyDescent="0.25">
      <c r="A165" s="58" t="s">
        <v>287</v>
      </c>
      <c r="B165" s="58" t="s">
        <v>202</v>
      </c>
    </row>
    <row r="171" spans="1:22" ht="15.75" x14ac:dyDescent="0.25">
      <c r="A171" s="72" t="s">
        <v>211</v>
      </c>
    </row>
    <row r="172" spans="1:22" x14ac:dyDescent="0.2">
      <c r="A172" s="53" t="s">
        <v>212</v>
      </c>
    </row>
    <row r="174" spans="1:22" x14ac:dyDescent="0.2">
      <c r="A174" s="70" t="s">
        <v>215</v>
      </c>
    </row>
    <row r="176" spans="1:22" ht="13.5" x14ac:dyDescent="0.25">
      <c r="A176" s="76" t="s">
        <v>41</v>
      </c>
      <c r="B176" s="76" t="s">
        <v>133</v>
      </c>
      <c r="C176" s="76">
        <v>0.66300000000000003</v>
      </c>
      <c r="D176" s="76">
        <v>0.2</v>
      </c>
      <c r="E176" s="76">
        <v>4.7685999999999996E-3</v>
      </c>
      <c r="F176" s="76">
        <v>0</v>
      </c>
      <c r="G176" s="76">
        <v>0</v>
      </c>
      <c r="H176" s="76">
        <v>0</v>
      </c>
      <c r="I176" s="76">
        <v>0</v>
      </c>
      <c r="J176" s="76" t="s">
        <v>134</v>
      </c>
      <c r="K176" s="76" t="s">
        <v>135</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136</v>
      </c>
      <c r="C177" s="76">
        <v>0.50600000000000001</v>
      </c>
      <c r="D177" s="76">
        <v>0.2</v>
      </c>
      <c r="E177" s="76">
        <v>4.7685999999999996E-3</v>
      </c>
      <c r="F177" s="76">
        <v>90</v>
      </c>
      <c r="G177" s="76">
        <v>0</v>
      </c>
      <c r="H177" s="76">
        <v>0</v>
      </c>
      <c r="I177" s="76">
        <v>0</v>
      </c>
      <c r="J177" s="76" t="s">
        <v>134</v>
      </c>
      <c r="K177" s="76" t="s">
        <v>135</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72</v>
      </c>
      <c r="B179" s="75" t="s">
        <v>38</v>
      </c>
      <c r="C179" s="75" t="s">
        <v>38</v>
      </c>
      <c r="D179" s="75" t="s">
        <v>38</v>
      </c>
      <c r="E179" s="74">
        <v>1.302E-3</v>
      </c>
      <c r="F179" s="75" t="s">
        <v>38</v>
      </c>
      <c r="G179" s="75" t="s">
        <v>38</v>
      </c>
      <c r="H179" s="74">
        <v>0</v>
      </c>
      <c r="I179" s="74">
        <v>0</v>
      </c>
      <c r="J179" s="74" t="s">
        <v>58</v>
      </c>
      <c r="K179" s="75" t="s">
        <v>38</v>
      </c>
      <c r="L179" s="75" t="s">
        <v>38</v>
      </c>
      <c r="M179" s="74" t="s">
        <v>136</v>
      </c>
      <c r="N179" s="74" t="s">
        <v>138</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138</v>
      </c>
      <c r="C181" s="76">
        <v>0.51500000000000001</v>
      </c>
      <c r="D181" s="76">
        <v>0.2</v>
      </c>
      <c r="E181" s="76">
        <v>9.1947999999999995E-3</v>
      </c>
      <c r="F181" s="76">
        <v>0</v>
      </c>
      <c r="G181" s="76">
        <v>0</v>
      </c>
      <c r="H181" s="76">
        <v>0</v>
      </c>
      <c r="I181" s="76">
        <v>0</v>
      </c>
      <c r="J181" s="76" t="s">
        <v>139</v>
      </c>
      <c r="K181" s="76" t="s">
        <v>140</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141</v>
      </c>
      <c r="C182" s="76">
        <v>0.88700000000000001</v>
      </c>
      <c r="D182" s="76">
        <v>0.2</v>
      </c>
      <c r="E182" s="76">
        <v>9.1947999999999995E-3</v>
      </c>
      <c r="F182" s="76">
        <v>90</v>
      </c>
      <c r="G182" s="76">
        <v>0</v>
      </c>
      <c r="H182" s="76">
        <v>0</v>
      </c>
      <c r="I182" s="76">
        <v>0</v>
      </c>
      <c r="J182" s="76" t="s">
        <v>139</v>
      </c>
      <c r="K182" s="76" t="s">
        <v>140</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72</v>
      </c>
      <c r="B184" s="75" t="s">
        <v>38</v>
      </c>
      <c r="C184" s="75" t="s">
        <v>38</v>
      </c>
      <c r="D184" s="75" t="s">
        <v>38</v>
      </c>
      <c r="E184" s="74">
        <v>1.302E-3</v>
      </c>
      <c r="F184" s="75" t="s">
        <v>38</v>
      </c>
      <c r="G184" s="75" t="s">
        <v>38</v>
      </c>
      <c r="H184" s="74">
        <v>0</v>
      </c>
      <c r="I184" s="74">
        <v>0</v>
      </c>
      <c r="J184" s="74" t="s">
        <v>58</v>
      </c>
      <c r="K184" s="75" t="s">
        <v>38</v>
      </c>
      <c r="L184" s="75" t="s">
        <v>38</v>
      </c>
      <c r="M184" s="74" t="s">
        <v>136</v>
      </c>
      <c r="N184" s="74" t="s">
        <v>138</v>
      </c>
      <c r="O184" s="74">
        <v>2</v>
      </c>
      <c r="P184" s="74">
        <v>1</v>
      </c>
      <c r="Q184" s="75" t="s">
        <v>38</v>
      </c>
      <c r="R184" s="75" t="s">
        <v>38</v>
      </c>
      <c r="S184" s="75" t="s">
        <v>38</v>
      </c>
      <c r="T184" s="74">
        <v>0</v>
      </c>
      <c r="U184" s="74" t="s">
        <v>38</v>
      </c>
      <c r="V184" s="74" t="s">
        <v>38</v>
      </c>
    </row>
    <row r="186" spans="1:22" ht="13.5" x14ac:dyDescent="0.25">
      <c r="A186" s="58" t="s">
        <v>37</v>
      </c>
      <c r="B186" s="58" t="s">
        <v>213</v>
      </c>
      <c r="C186" s="58">
        <v>1</v>
      </c>
      <c r="D186" s="75" t="s">
        <v>38</v>
      </c>
      <c r="E186" s="58">
        <v>1</v>
      </c>
      <c r="F186" s="58">
        <v>0</v>
      </c>
      <c r="G186" s="58">
        <v>0</v>
      </c>
      <c r="H186" s="75" t="s">
        <v>38</v>
      </c>
      <c r="I186" s="75" t="s">
        <v>38</v>
      </c>
      <c r="J186" s="58" t="s">
        <v>53</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216</v>
      </c>
    </row>
    <row r="189" spans="1:22" ht="13.5" x14ac:dyDescent="0.25">
      <c r="A189" s="58" t="s">
        <v>76</v>
      </c>
      <c r="B189" s="78">
        <v>8000000</v>
      </c>
      <c r="C189" s="61">
        <v>300</v>
      </c>
    </row>
    <row r="192" spans="1:22" x14ac:dyDescent="0.2">
      <c r="A192" s="70" t="s">
        <v>217</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138</v>
      </c>
      <c r="C194" s="76">
        <v>0.51500000000000001</v>
      </c>
      <c r="D194" s="76">
        <v>0.2</v>
      </c>
      <c r="E194" s="76">
        <v>9.1947999999999995E-3</v>
      </c>
      <c r="F194" s="76">
        <v>0</v>
      </c>
      <c r="G194" s="76">
        <v>0</v>
      </c>
      <c r="H194" s="76">
        <v>0</v>
      </c>
      <c r="I194" s="76">
        <v>0</v>
      </c>
      <c r="J194" s="76" t="s">
        <v>139</v>
      </c>
      <c r="K194" s="76" t="s">
        <v>140</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141</v>
      </c>
      <c r="C195" s="76">
        <v>0.88700000000000001</v>
      </c>
      <c r="D195" s="76">
        <v>0.2</v>
      </c>
      <c r="E195" s="76">
        <v>9.1947999999999995E-3</v>
      </c>
      <c r="F195" s="76">
        <v>90</v>
      </c>
      <c r="G195" s="76">
        <v>0</v>
      </c>
      <c r="H195" s="76">
        <v>0</v>
      </c>
      <c r="I195" s="76">
        <v>0</v>
      </c>
      <c r="J195" s="76" t="s">
        <v>139</v>
      </c>
      <c r="K195" s="76" t="s">
        <v>140</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214</v>
      </c>
      <c r="C196" s="76">
        <v>0.88700000000000001</v>
      </c>
      <c r="D196" s="76">
        <v>0.2</v>
      </c>
      <c r="E196" s="76">
        <v>9.1947999999999995E-3</v>
      </c>
      <c r="F196" s="76">
        <v>90</v>
      </c>
      <c r="G196" s="76">
        <v>0</v>
      </c>
      <c r="H196" s="76">
        <v>0</v>
      </c>
      <c r="I196" s="76">
        <v>0</v>
      </c>
      <c r="J196" s="76" t="s">
        <v>139</v>
      </c>
      <c r="K196" s="76" t="s">
        <v>140</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141</v>
      </c>
    </row>
    <row r="204" spans="1:22" x14ac:dyDescent="0.2">
      <c r="A204" s="70" t="s">
        <v>218</v>
      </c>
    </row>
    <row r="205" spans="1:22" ht="13.5" x14ac:dyDescent="0.25">
      <c r="A205" s="58" t="s">
        <v>76</v>
      </c>
      <c r="B205" s="78">
        <v>8000000</v>
      </c>
      <c r="C205" s="61">
        <v>450</v>
      </c>
      <c r="D205" s="79" t="s">
        <v>141</v>
      </c>
      <c r="E205" s="79">
        <v>0.05</v>
      </c>
    </row>
    <row r="214" spans="1:1" ht="15.75" x14ac:dyDescent="0.25">
      <c r="A214" s="72" t="s">
        <v>219</v>
      </c>
    </row>
    <row r="215" spans="1:1" x14ac:dyDescent="0.2">
      <c r="A215" s="53" t="s">
        <v>220</v>
      </c>
    </row>
    <row r="217" spans="1:1" ht="13.5" x14ac:dyDescent="0.25">
      <c r="A217" s="71" t="s">
        <v>221</v>
      </c>
    </row>
    <row r="220" spans="1:1" x14ac:dyDescent="0.2">
      <c r="A220" s="53" t="s">
        <v>256</v>
      </c>
    </row>
    <row r="227" spans="1:1" x14ac:dyDescent="0.2">
      <c r="A227" s="70" t="s">
        <v>222</v>
      </c>
    </row>
    <row r="228" spans="1:1" x14ac:dyDescent="0.2">
      <c r="A228" s="53" t="s">
        <v>223</v>
      </c>
    </row>
    <row r="229" spans="1:1" x14ac:dyDescent="0.2">
      <c r="A229" s="53" t="s">
        <v>224</v>
      </c>
    </row>
    <row r="231" spans="1:1" ht="13.5" x14ac:dyDescent="0.25">
      <c r="A231" s="71" t="s">
        <v>226</v>
      </c>
    </row>
    <row r="232" spans="1:1" ht="13.5" x14ac:dyDescent="0.25">
      <c r="A232" s="71" t="s">
        <v>225</v>
      </c>
    </row>
    <row r="242" spans="1:11" ht="15.75" x14ac:dyDescent="0.25">
      <c r="A242" s="72" t="s">
        <v>270</v>
      </c>
    </row>
    <row r="244" spans="1:11" ht="13.5" x14ac:dyDescent="0.25">
      <c r="A244" s="71" t="s">
        <v>9</v>
      </c>
      <c r="C244" s="71" t="s">
        <v>228</v>
      </c>
    </row>
    <row r="245" spans="1:11" ht="13.5" x14ac:dyDescent="0.25">
      <c r="A245" s="71" t="s">
        <v>227</v>
      </c>
      <c r="C245" s="71" t="s">
        <v>230</v>
      </c>
      <c r="K245" s="53" t="s">
        <v>250</v>
      </c>
    </row>
    <row r="246" spans="1:11" ht="13.5" x14ac:dyDescent="0.25">
      <c r="A246" s="71" t="s">
        <v>229</v>
      </c>
      <c r="C246" s="71" t="s">
        <v>231</v>
      </c>
      <c r="K246" s="53" t="s">
        <v>251</v>
      </c>
    </row>
    <row r="247" spans="1:11" ht="13.5" x14ac:dyDescent="0.25">
      <c r="A247" s="71" t="s">
        <v>232</v>
      </c>
      <c r="C247" s="71" t="s">
        <v>233</v>
      </c>
      <c r="K247" s="53" t="s">
        <v>252</v>
      </c>
    </row>
    <row r="248" spans="1:11" ht="13.5" x14ac:dyDescent="0.25">
      <c r="A248" s="71" t="s">
        <v>234</v>
      </c>
      <c r="C248" s="71" t="s">
        <v>235</v>
      </c>
      <c r="K248" s="53" t="s">
        <v>253</v>
      </c>
    </row>
    <row r="249" spans="1:11" ht="13.5" x14ac:dyDescent="0.25">
      <c r="A249" s="71" t="s">
        <v>236</v>
      </c>
      <c r="C249" s="71" t="s">
        <v>237</v>
      </c>
      <c r="K249" s="53" t="s">
        <v>255</v>
      </c>
    </row>
    <row r="250" spans="1:11" ht="13.5" x14ac:dyDescent="0.25">
      <c r="A250" s="71" t="s">
        <v>238</v>
      </c>
      <c r="C250" s="71" t="s">
        <v>239</v>
      </c>
      <c r="K250" s="53" t="s">
        <v>254</v>
      </c>
    </row>
    <row r="251" spans="1:11" ht="13.5" x14ac:dyDescent="0.25">
      <c r="A251" s="71"/>
      <c r="C251" s="71"/>
    </row>
    <row r="252" spans="1:11" ht="13.5" x14ac:dyDescent="0.25">
      <c r="A252" s="71"/>
      <c r="C252" s="71"/>
    </row>
    <row r="253" spans="1:11" ht="13.5" x14ac:dyDescent="0.25">
      <c r="A253" s="71" t="s">
        <v>247</v>
      </c>
      <c r="C253" s="71"/>
    </row>
    <row r="254" spans="1:11" ht="13.5" x14ac:dyDescent="0.25">
      <c r="A254" s="71" t="s">
        <v>240</v>
      </c>
      <c r="C254" s="71" t="s">
        <v>241</v>
      </c>
      <c r="K254" s="53" t="s">
        <v>248</v>
      </c>
    </row>
    <row r="255" spans="1:11" ht="13.5" x14ac:dyDescent="0.25">
      <c r="A255" s="71" t="s">
        <v>245</v>
      </c>
      <c r="C255" s="71" t="s">
        <v>246</v>
      </c>
      <c r="K255" s="53" t="s">
        <v>244</v>
      </c>
    </row>
    <row r="256" spans="1:11" ht="13.5" x14ac:dyDescent="0.25">
      <c r="A256" s="71" t="s">
        <v>242</v>
      </c>
      <c r="C256" s="71" t="s">
        <v>243</v>
      </c>
      <c r="K256" s="53" t="s">
        <v>249</v>
      </c>
    </row>
    <row r="281" spans="1:22" ht="15.75" x14ac:dyDescent="0.25">
      <c r="A281" s="72" t="s">
        <v>262</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60</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263</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54</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54</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55</v>
      </c>
      <c r="B295" s="12" t="s">
        <v>38</v>
      </c>
      <c r="C295" s="13" t="s">
        <v>38</v>
      </c>
      <c r="D295" s="13" t="s">
        <v>38</v>
      </c>
      <c r="E295" s="14">
        <f>0.1^2*PI()/4</f>
        <v>7.8539816339744835E-3</v>
      </c>
      <c r="F295" s="15" t="s">
        <v>38</v>
      </c>
      <c r="G295" s="15" t="s">
        <v>38</v>
      </c>
      <c r="H295" s="15">
        <v>0</v>
      </c>
      <c r="I295" s="15">
        <v>0</v>
      </c>
      <c r="J295" s="11" t="s">
        <v>63</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56</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57</v>
      </c>
      <c r="B299" s="12" t="s">
        <v>38</v>
      </c>
      <c r="C299" s="13" t="s">
        <v>38</v>
      </c>
      <c r="D299" s="13" t="s">
        <v>38</v>
      </c>
      <c r="E299" s="14">
        <f>0.1^2*PI()/4</f>
        <v>7.8539816339744835E-3</v>
      </c>
      <c r="F299" s="15" t="s">
        <v>38</v>
      </c>
      <c r="G299" s="15" t="s">
        <v>38</v>
      </c>
      <c r="H299" s="15">
        <v>0</v>
      </c>
      <c r="I299" s="15">
        <v>0</v>
      </c>
      <c r="J299" s="11" t="s">
        <v>58</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56</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56</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265</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62</v>
      </c>
      <c r="B304" s="12" t="s">
        <v>38</v>
      </c>
      <c r="C304" s="13" t="s">
        <v>38</v>
      </c>
      <c r="D304" s="13" t="s">
        <v>38</v>
      </c>
      <c r="E304" s="14">
        <f>0.1^2*PI()/4</f>
        <v>7.8539816339744835E-3</v>
      </c>
      <c r="F304" s="15" t="s">
        <v>38</v>
      </c>
      <c r="G304" s="15" t="s">
        <v>38</v>
      </c>
      <c r="H304" s="15">
        <v>1</v>
      </c>
      <c r="I304" s="15">
        <v>1</v>
      </c>
      <c r="J304" s="11" t="s">
        <v>61</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59</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264</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269" priority="1" stopIfTrue="1">
      <formula>$A284="Pipe"</formula>
    </cfRule>
    <cfRule type="expression" dxfId="268" priority="2" stopIfTrue="1">
      <formula>OR($A284="Junction",$A284="Mtrvlv",$A284="Pump",$A284="Chkvlv",$A284="Trpvlv",$A284="Srvvlv",$A284="Rlfvlv",$A284="Inrvlv",$A284="Tmdpjun")</formula>
    </cfRule>
    <cfRule type="expression" dxfId="267" priority="3" stopIfTrue="1">
      <formula>OR($A284="Tmdpvol",$A284="Snglvol",$A284="Relapnr",$A284="Init",$A284="InitGas",$A284="Strip",$A284="Custom",$A284="Triggerwords")</formula>
    </cfRule>
  </conditionalFormatting>
  <conditionalFormatting sqref="B284:B306 B308 B310:B315">
    <cfRule type="expression" dxfId="266" priority="4" stopIfTrue="1">
      <formula>$A284="Pipe"</formula>
    </cfRule>
    <cfRule type="expression" dxfId="265" priority="5" stopIfTrue="1">
      <formula>OR($A284="Junction",$A284="Mtrvlv",$A284="Pump",$A284="Chkvlv",$A284="Trpvlv",$A284="Srvvlv",$A284="Rlfvlv",$A284="Inrvlv",$A284="Tmdpjun")</formula>
    </cfRule>
    <cfRule type="expression" dxfId="264" priority="6" stopIfTrue="1">
      <formula>OR($A284="Tmdpvol",$A284="Snglvol",$A284="Relapnr",$A284="Init",$A284="InitGas",$A284="Strip",$A284="Custom",$A284="Triggerwords")</formula>
    </cfRule>
  </conditionalFormatting>
  <conditionalFormatting sqref="C284:C306 C308 C310:C315">
    <cfRule type="expression" dxfId="263" priority="7" stopIfTrue="1">
      <formula>$A284="Pipe"</formula>
    </cfRule>
    <cfRule type="expression" dxfId="262" priority="8" stopIfTrue="1">
      <formula>OR($A284="Junction",$A284="Mtrvlv",$A284="Pump",$A284="Chkvlv",$A284="Trpvlv",$A284="Srvvlv",$A284="Rlfvlv",$A284="Inrvlv",$A284="Tmdpjun")</formula>
    </cfRule>
    <cfRule type="expression" dxfId="261" priority="9" stopIfTrue="1">
      <formula>OR($A284="Tmdpvol",$A284="Snglvol",$A284="Init",$A284="InitGas",$A284="Strip")</formula>
    </cfRule>
  </conditionalFormatting>
  <conditionalFormatting sqref="D284:D306 L284:L306 D308 L308 D310:D315 L310:L315">
    <cfRule type="expression" dxfId="260" priority="10" stopIfTrue="1">
      <formula>$A284="Pipe"</formula>
    </cfRule>
    <cfRule type="expression" dxfId="259" priority="11" stopIfTrue="1">
      <formula>OR($A284="Junction",$A284="Mtrvlv",$A284="Pump",$A284="Chkvlv",$A284="Trpvlv",$A284="Srvvlv",$A284="Rlfvlv",$A284="Inrvlv",$A284="Tmdpjun")</formula>
    </cfRule>
    <cfRule type="expression" dxfId="258" priority="12" stopIfTrue="1">
      <formula>OR($A284="Tmdpvol",$A284="Snglvol")</formula>
    </cfRule>
  </conditionalFormatting>
  <conditionalFormatting sqref="U284:V306 J310:K315 J284:K306 U308:V308 E308 J308:K308 U310:V315 E310:E315 E284:E306">
    <cfRule type="expression" dxfId="257" priority="13" stopIfTrue="1">
      <formula>$A284="Pipe"</formula>
    </cfRule>
    <cfRule type="expression" dxfId="256" priority="14" stopIfTrue="1">
      <formula>OR($A284="Junction",$A284="Mtrvlv",$A284="Pump",$A284="Chkvlv",$A284="Trpvlv",$A284="Srvvlv",$A284="Rlfvlv",$A284="Inrvlv",$A284="Tmdpjun")</formula>
    </cfRule>
    <cfRule type="expression" dxfId="255" priority="15" stopIfTrue="1">
      <formula>OR($A284="Tmdpvol",$A284="Snglvol")</formula>
    </cfRule>
  </conditionalFormatting>
  <conditionalFormatting sqref="Q284:Q306 F284:G306 Q308 F308:G308 Q310:Q315 F310:G315">
    <cfRule type="expression" dxfId="254" priority="16" stopIfTrue="1">
      <formula>$A284="Pipe"</formula>
    </cfRule>
    <cfRule type="expression" dxfId="253" priority="17" stopIfTrue="1">
      <formula>OR($A284="Junction",$A284="Mtrvlv",$A284="Pump",$A284="Chkvlv",$A284="Trpvlv",$A284="Srvvlv",$A284="Rlfvlv",$A284="Inrvlv",$A284="Tmdpjun")</formula>
    </cfRule>
    <cfRule type="expression" dxfId="252" priority="18" stopIfTrue="1">
      <formula>OR($A284="Tmdpvol",$A284="Snglvol")</formula>
    </cfRule>
  </conditionalFormatting>
  <conditionalFormatting sqref="H284:I306 H308:I308 H310:I315">
    <cfRule type="expression" dxfId="251" priority="19" stopIfTrue="1">
      <formula>$A284="Pipe"</formula>
    </cfRule>
    <cfRule type="expression" dxfId="250" priority="20" stopIfTrue="1">
      <formula>OR($A284="Junction",$A284="Mtrvlv",$A284="Pump",$A284="Chkvlv",$A284="Trpvlv",$A284="Srvvlv",$A284="Rlfvlv",$A284="Inrvlv",$A284="Tmdpjun")</formula>
    </cfRule>
    <cfRule type="expression" dxfId="249" priority="21" stopIfTrue="1">
      <formula>OR($A284="Tmdpvol",$A284="Snglvol")</formula>
    </cfRule>
  </conditionalFormatting>
  <conditionalFormatting sqref="M284:P306 M308:P308 M310:P315">
    <cfRule type="expression" dxfId="248" priority="22" stopIfTrue="1">
      <formula>$A284="Pipe"</formula>
    </cfRule>
    <cfRule type="expression" dxfId="247" priority="23" stopIfTrue="1">
      <formula>OR($A284="Junction",$A284="Mtrvlv",$A284="Pump",$A284="Chkvlv",$A284="Trpvlv",$A284="Srvvlv",$A284="Rlfvlv",$A284="Inrvlv",$A284="Tmdpjun")</formula>
    </cfRule>
    <cfRule type="expression" dxfId="246" priority="24" stopIfTrue="1">
      <formula>OR($A284="Tmdpvol",$A284="Snglvol")</formula>
    </cfRule>
  </conditionalFormatting>
  <conditionalFormatting sqref="R284:R306 R308 R310:R315">
    <cfRule type="expression" dxfId="245" priority="25" stopIfTrue="1">
      <formula>$A284="Pump"</formula>
    </cfRule>
    <cfRule type="expression" dxfId="244" priority="26" stopIfTrue="1">
      <formula>OR($A284="Junction",$A284="Mtrvlv",$A284="Pipe",$A284="Chkvlv",$A284="Trpvlv",$A284="Srvvlv",$A284="Rlfvlv",$A284="Inrvlv",$A284="Tmdpjun")</formula>
    </cfRule>
    <cfRule type="expression" dxfId="243" priority="27" stopIfTrue="1">
      <formula>OR($A284="Tmdpvol",$A284="Snglvol")</formula>
    </cfRule>
  </conditionalFormatting>
  <conditionalFormatting sqref="S284:S306 S308 S310:S315">
    <cfRule type="expression" dxfId="242" priority="28" stopIfTrue="1">
      <formula>$A284="Pump"</formula>
    </cfRule>
    <cfRule type="expression" dxfId="241" priority="29" stopIfTrue="1">
      <formula>OR($A284="Junction",$A284="Mtrvlv",$A284="Pipe",$A284="Chkvlv",$A284="Trpvlv",$A284="Srvvlv",$A284="Rlfvlv",$A284="Inrvlv",$A284="Tmdpjun")</formula>
    </cfRule>
    <cfRule type="expression" dxfId="240" priority="30" stopIfTrue="1">
      <formula>OR($A284="Tmdpvol",$A284="Snglvol")</formula>
    </cfRule>
  </conditionalFormatting>
  <conditionalFormatting sqref="T284:T306 T308 T310:T315">
    <cfRule type="expression" dxfId="239" priority="31" stopIfTrue="1">
      <formula>OR($A284="Pump",$A284="Mtrvlv",$A284="Chkvlv",$A284="Trpvlv",$A284="Srvvlv",$A284="Rlfvlv",$A284="Inrvlv",$A284="Tmdpjun")</formula>
    </cfRule>
    <cfRule type="expression" dxfId="238" priority="32" stopIfTrue="1">
      <formula>OR($A284="Junction",$A284="Pipe")</formula>
    </cfRule>
    <cfRule type="expression" dxfId="237"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4"/>
  <dimension ref="A1:D28"/>
  <sheetViews>
    <sheetView tabSelected="1" workbookViewId="0">
      <selection activeCell="G12" sqref="G12"/>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276</v>
      </c>
    </row>
    <row r="2" spans="1:4" ht="15" x14ac:dyDescent="0.25">
      <c r="A2" s="98" t="s">
        <v>277</v>
      </c>
    </row>
    <row r="4" spans="1:4" ht="15.75" thickBot="1" x14ac:dyDescent="0.3">
      <c r="A4" s="99" t="s">
        <v>278</v>
      </c>
      <c r="B4" s="99" t="s">
        <v>279</v>
      </c>
      <c r="C4" s="99" t="s">
        <v>288</v>
      </c>
      <c r="D4" s="99" t="s">
        <v>289</v>
      </c>
    </row>
    <row r="5" spans="1:4" ht="15.75" thickTop="1" x14ac:dyDescent="0.25">
      <c r="A5" s="100">
        <f>ROW()-ROW($A$4)</f>
        <v>1</v>
      </c>
      <c r="B5" s="100" t="s">
        <v>280</v>
      </c>
      <c r="C5" s="100">
        <v>-1</v>
      </c>
      <c r="D5" s="100"/>
    </row>
    <row r="6" spans="1:4" ht="15" x14ac:dyDescent="0.25">
      <c r="A6" s="101">
        <f t="shared" ref="A6:A28" si="0">ROW()-ROW($A$4)</f>
        <v>2</v>
      </c>
      <c r="B6" s="101" t="s">
        <v>281</v>
      </c>
      <c r="C6" s="101">
        <v>-1</v>
      </c>
      <c r="D6" s="101"/>
    </row>
    <row r="7" spans="1:4" ht="15" x14ac:dyDescent="0.25">
      <c r="A7" s="100">
        <f t="shared" si="0"/>
        <v>3</v>
      </c>
      <c r="B7" s="100" t="s">
        <v>282</v>
      </c>
      <c r="C7" s="100">
        <v>-1</v>
      </c>
      <c r="D7" s="100"/>
    </row>
    <row r="8" spans="1:4" ht="15" x14ac:dyDescent="0.25">
      <c r="A8" s="101">
        <f t="shared" si="0"/>
        <v>4</v>
      </c>
      <c r="B8" s="101" t="s">
        <v>283</v>
      </c>
      <c r="C8" s="101">
        <v>-1</v>
      </c>
      <c r="D8" s="101"/>
    </row>
    <row r="9" spans="1:4" ht="15" x14ac:dyDescent="0.25">
      <c r="A9" s="100">
        <f t="shared" si="0"/>
        <v>5</v>
      </c>
      <c r="B9" s="100" t="s">
        <v>284</v>
      </c>
      <c r="C9" s="100">
        <v>-1</v>
      </c>
      <c r="D9" s="100"/>
    </row>
    <row r="10" spans="1:4" ht="15" x14ac:dyDescent="0.25">
      <c r="A10" s="101">
        <f t="shared" si="0"/>
        <v>6</v>
      </c>
      <c r="B10" s="101" t="s">
        <v>290</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BDAHSG-01-SteadyState</vt:lpstr>
      <vt:lpstr>runMatrix</vt:lpstr>
      <vt:lpstr>Modellöversikt</vt:lpstr>
      <vt:lpstr>Info</vt:lpstr>
      <vt:lpstr>Tools</vt:lpstr>
      <vt:lpstr>'BDAHSG-01-SteadyState'!CurrentFilename</vt:lpstr>
      <vt:lpstr>'BDAHSG-01-SteadyState'!CurrentIndex</vt:lpstr>
      <vt:lpstr>'BDAHSG-01-SteadyState'!dx</vt:lpstr>
      <vt:lpstr>'BDAHSG-01-SteadyState'!roughness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2019-06-27T08:45:37Z</cp:lastPrinted>
  <dcterms:created xsi:type="dcterms:W3CDTF">2013-10-23T13:25:29Z</dcterms:created>
  <dcterms:modified xsi:type="dcterms:W3CDTF">2019-08-29T11:43:41Z</dcterms:modified>
</cp:coreProperties>
</file>